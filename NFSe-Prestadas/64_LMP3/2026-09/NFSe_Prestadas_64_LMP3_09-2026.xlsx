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 Prestadas" sheetId="1" state="visible" r:id="rId3"/>
    <sheet name="Inconsistências" sheetId="2" state="visible" r:id="rId4"/>
    <sheet name="Empresa e CNAEs" sheetId="3" state="visible" r:id="rId5"/>
  </sheets>
  <definedNames>
    <definedName function="false" hidden="true" localSheetId="1" name="_xlnm._FilterDatabase" vbProcedure="false">Inconsistências!$A$4:$G$31</definedName>
    <definedName function="false" hidden="true" localSheetId="0" name="_xlnm._FilterDatabase" vbProcedure="false">'Notas Prestadas'!$A$4:$AA$19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<sst xmlns="http://schemas.openxmlformats.org/spreadsheetml/2006/main" count="485" uniqueCount="191">
  <si>
    <t xml:space="preserve">NFS-e PRESTADAS - LMP3 SOLUCOES LTDA - 2026-09</t>
  </si>
  <si>
    <t xml:space="preserve">Sequência 54 a 68 | Faltando: nenhuma | Duplicadas: nenhuma</t>
  </si>
  <si>
    <t xml:space="preserve">Nº</t>
  </si>
  <si>
    <t xml:space="preserve">Emissão</t>
  </si>
  <si>
    <t xml:space="preserve">Compet.</t>
  </si>
  <si>
    <t xml:space="preserve">Situação</t>
  </si>
  <si>
    <t xml:space="preserve">CPF/CNPJ tomador</t>
  </si>
  <si>
    <t xml:space="preserve">Tomador</t>
  </si>
  <si>
    <t xml:space="preserve">Município do tomador</t>
  </si>
  <si>
    <t xml:space="preserve">Local da prestação</t>
  </si>
  <si>
    <t xml:space="preserve">Município de incidência do ISS</t>
  </si>
  <si>
    <t xml:space="preserve">Item LC 116 / cód.</t>
  </si>
  <si>
    <t xml:space="preserve">Atividade prestada</t>
  </si>
  <si>
    <t xml:space="preserve">Anexo Simples (atividade)</t>
  </si>
  <si>
    <t xml:space="preserve">Discriminação</t>
  </si>
  <si>
    <t xml:space="preserve">Informações complementares</t>
  </si>
  <si>
    <t xml:space="preserve">Valor serviço</t>
  </si>
  <si>
    <t xml:space="preserve">Base ISS</t>
  </si>
  <si>
    <t xml:space="preserve">Alíq. ISS %</t>
  </si>
  <si>
    <t xml:space="preserve">ISS</t>
  </si>
  <si>
    <t xml:space="preserve">ISS retido?</t>
  </si>
  <si>
    <t xml:space="preserve">IRRF</t>
  </si>
  <si>
    <t xml:space="preserve">PIS</t>
  </si>
  <si>
    <t xml:space="preserve">COFINS</t>
  </si>
  <si>
    <t xml:space="preserve">CSLL</t>
  </si>
  <si>
    <t xml:space="preserve">INSS</t>
  </si>
  <si>
    <t xml:space="preserve">Total retido</t>
  </si>
  <si>
    <t xml:space="preserve">Valor líquido</t>
  </si>
  <si>
    <t xml:space="preserve">Status</t>
  </si>
  <si>
    <t xml:space="preserve">54</t>
  </si>
  <si>
    <t xml:space="preserve">2026-09-01</t>
  </si>
  <si>
    <t xml:space="preserve">2026-09</t>
  </si>
  <si>
    <t xml:space="preserve">Normal</t>
  </si>
  <si>
    <t xml:space="preserve">81.048.837/0001-02</t>
  </si>
  <si>
    <t xml:space="preserve">NHS SISTEMAS ELETRONICOS LTDA</t>
  </si>
  <si>
    <t xml:space="preserve">Curitiba/PR</t>
  </si>
  <si>
    <t xml:space="preserve">Colombo/PR</t>
  </si>
  <si>
    <t xml:space="preserve">14.01</t>
  </si>
  <si>
    <t xml:space="preserve"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</si>
  <si>
    <t xml:space="preserve">III</t>
  </si>
  <si>
    <t xml:space="preserve">Serviço de Calibração de Equipamentos e Instrumentos e Assistência Técnica sobre Metrologia conforme contrato firmado entre NHS SISTEMAS ELETRÔNICOS LTDA e LMP3 SOLUÇÕES LTDA. Período: Agosto/2026. Multímetro (ML-55), Osciloscópio 4 Canais (OS-29, OS-30), Ponta de Prova de Corrente (PMC-36, PMC-49, PMC-57, PMC-63, PMC-66, PMC-67, PMC-75), Sistema Automático para Teste de Transformador (TAT-13), Termohigrômetro (TH-17), Unidade de Ensaio Dielétrico (UED-18) e Licença Autolab Client. DADOS PARA PAGAMENTO: DEPÓSITO BANCÁRIO BANCO INTER - AGÊNCIA: 0001 - CONTA CORRENTE: 3773258-7 OU PIX, CHAVE, CNPJ: 22.993.076/0001-06</t>
  </si>
  <si>
    <t xml:space="preserve">NBS: 1.2001.50.00 - Serviços de manutenção e reparação de maquinários e equipamentos de uso industrial | Tributos aproximados: 6.00% (Simples Nacional)</t>
  </si>
  <si>
    <t xml:space="preserve">Não</t>
  </si>
  <si>
    <t xml:space="preserve">Conferir</t>
  </si>
  <si>
    <t xml:space="preserve">55</t>
  </si>
  <si>
    <t xml:space="preserve">02.799.882/0001-22</t>
  </si>
  <si>
    <t xml:space="preserve">LOTUS INDUSTRIA E COMERCIO LTDA.</t>
  </si>
  <si>
    <t xml:space="preserve">Pato Branco/PR</t>
  </si>
  <si>
    <t xml:space="preserve">Serviço de Calibração de Equipamentos e Instrumentos e Assistência Técnica sobre Metrologia conforme contrato firmado entre LOTUS INDÚSTRIA E COMÉRCIO LTDA. e LMP3 Soluções Ltda. Parcela 11, de acordo com a Ordem de Compra 866660. PRAZO DE PAGAMENTO: 15 DDL  DADOS PARA PAGAMENTO: DEPÓSITO BANCÁRIO BANCO INTER - AGÊNCIA: 0001 - CONTA CORRENTE: 3773258-7 OU PIX, CHAVE, CNPJ: 22.993.076/0001-06</t>
  </si>
  <si>
    <t xml:space="preserve">56</t>
  </si>
  <si>
    <t xml:space="preserve">05.094.003/0001-55</t>
  </si>
  <si>
    <t xml:space="preserve">COLSON DO BRASIL LTDA.</t>
  </si>
  <si>
    <t xml:space="preserve">Araucária/PR</t>
  </si>
  <si>
    <t xml:space="preserve">PRESTAÇÃO DE SERVIÇO DE CALIBRAÇÃO DE INSTRUMENTOS DE MEDIÇÃO: 5 BALANÇAS, 1 CALIBRADOR DE PNEU, 6 PAQUÍMETROS, 1 TRANSFERIDOR DE GRAU, 1 TRENA E 1 DESLOCAMENTO TÉCNICO, CONFORME PROPOSTA 0089/26-R01, APROVADA EM 27/08/2026. PRAZO DE PAGAMENTO: 10 DDL  DADOS PARA PAGAMENTO: DEPÓSITO BANCÁRIO BANCO INTER: AGÊNCIA: 0001  /  CONTA CORRENTE: 3773258-7 OU PIX, CHAVE, CNPJ: 22.993.076/0001-06</t>
  </si>
  <si>
    <t xml:space="preserve">Tributos aproximados: 6.00% (Simples Nacional)</t>
  </si>
  <si>
    <t xml:space="preserve">57</t>
  </si>
  <si>
    <t xml:space="preserve">2026-09-04</t>
  </si>
  <si>
    <t xml:space="preserve">51.775.690/0001-91</t>
  </si>
  <si>
    <t xml:space="preserve">LIGHTERA LATAM S.A.</t>
  </si>
  <si>
    <t xml:space="preserve">PRESTAÇÃO DE SERVIÇO DE CALIBRAÇÃO DE INSTRUMENTOS DE MEDIÇÃO: 1 MÁQUINA AUTOMÁTICA DE CORTE E 1 DESLOCAMENTO TÉCNICO, CONFORME PROPOSTA 0084/26-R01. APROVADA EM 11/08/2026 DE ACORDO COM A ORDEM DE COMPRA 764506. PRAZO DE PAGAMENTO: 30 DDL  DADOS PARA PAGAMENTO: DEPÓSITO BANCÁRIO BANCO INTER: AGÊNCIA: 0001  /  CONTA CORRENTE: 3773258-7 OU PIX, CHAVE, CNPJ: 22.993.076/0001-06</t>
  </si>
  <si>
    <t xml:space="preserve">58</t>
  </si>
  <si>
    <t xml:space="preserve">2026-09-10</t>
  </si>
  <si>
    <t xml:space="preserve">90.195.892/0019-45</t>
  </si>
  <si>
    <t xml:space="preserve">GPC QUIMICA S/A</t>
  </si>
  <si>
    <t xml:space="preserve">Serviço de Calibração de Equipamentos e Instrumentos e Assistência Técnica sobre Metrologia conforme contrato firmado em 19/07/2024, entre GPC Química S.A. e LMP3 Soluções Ltda, proposta comercial 0056/26-R01. Aprovada em 10/09/2026 de acordo com pedido de compra 245317. Período: agosto de 2026. PRAZO DE PAGAMENTO: 15 DDL  DADOS PARA PAGAMENTO: DEPÓSITO BANCÁRIO BANCO INTER: AGÊNCIA: 0001  /  CONTA CORRENTE: 3773258-7 OU PIX, CHAVE, CNPJ: 22.993.076/0001-06</t>
  </si>
  <si>
    <t xml:space="preserve">59</t>
  </si>
  <si>
    <t xml:space="preserve">2026-09-11</t>
  </si>
  <si>
    <t xml:space="preserve">84.968.338/0001-21</t>
  </si>
  <si>
    <t xml:space="preserve">BRASMACOL INDUSTRIA E COMERCIO LTDA</t>
  </si>
  <si>
    <t xml:space="preserve">Chopinzinho/PR</t>
  </si>
  <si>
    <t xml:space="preserve">PRESTAÇÃO DE SERVIÇO DE CALIBRAÇÃO DE INSTRUMENTOS DE MEDIÇÃO: 20 PAQUÍMETROS, 1 TERMÔMETRO INFRAVERMELHO, 3 TRAVAS PARA CURSOR DE PAQUÍMETRO  E 1 AJUSTE DE PAQUÍMETRO, CONFORME PROPOSTA 0088/26-R02, APROVADA EM 27/08/2026. PRAZO DE PAGAMENTO: 10 DDL  DADOS PARA PAGAMENTO: DEPÓSITO BANCÁRIO BANCO INTER: AGÊNCIA: 0001  /  CONTA CORRENTE: 3773258-7 OU PIX, CHAVE, CNPJ: 22.993.076/0001-06</t>
  </si>
  <si>
    <t xml:space="preserve">60</t>
  </si>
  <si>
    <t xml:space="preserve">82.901.000/0014-41</t>
  </si>
  <si>
    <t xml:space="preserve">INTELBRAS S.A. INDUSTRIA DE TELECOMUNICACAO ELETRONICA BRASILEIRA</t>
  </si>
  <si>
    <t xml:space="preserve">São José/SC</t>
  </si>
  <si>
    <t xml:space="preserve">PRESTAÇÃO DE SERVIÇO DE CALIBRAÇÃO DE INSTRUMENTOS DE MEDIÇÃO: 9619-SC POWER METER. APROVADO EM 14/08/2026 DE ACORDO COM O PEDIDO DE COMPRA= 4501478305 ITEM=00010. PRAZO DE PAGAMENTO: 15 DDL  DADOS PARA PAGAMENTO: DEPÓSITO BANCÁRIO: BANCO INTER / AGÊNCIA: 0001 CONTA CORRENTE: 3773258-7 OU PIX, CHAVE, CNPJ: 22.993.076/0001-06</t>
  </si>
  <si>
    <t xml:space="preserve">61</t>
  </si>
  <si>
    <t xml:space="preserve">PRESTAÇÃO DE SERVIÇO DE CALIBRAÇÃO DE INSTRUMENTOS DE MEDIÇÃO: 8843-SC POWER METER E 5917-SC POWER METER. APROVADO EM 14/07/2026 DE ACORDO COM O PEDIDO DE COMPRA= 4501438342 ITEM=00010. PRAZO DE PAGAMENTO: 15 DDL  DADOS PARA PAGAMENTO: DEPÓSITO BANCÁRIO: BANCO INTER / AGÊNCIA: 0001 CONTA CORRENTE: 3773258-7 OU PIX, CHAVE, CNPJ: 22.993.076/0001-06</t>
  </si>
  <si>
    <t xml:space="preserve">62</t>
  </si>
  <si>
    <t xml:space="preserve">2026-09-21</t>
  </si>
  <si>
    <t xml:space="preserve">PRESTAÇÃO DE SERVIÇO DE CALIBRAÇÃO DE INSTRUMENTOS DE MEDIÇÃO: 1 TERMOVISOR. APROVADA EM 26/05/2026 DE ACORDO COM A ORDEM DE COMPRA 760745. PRAZO DE PAGAMENTO: 30 DDL  DADOS PARA PAGAMENTO: DEPÓSITO BANCÁRIO BANCO INTER: AGÊNCIA: 0001  /  CONTA CORRENTE: 3773258-7 OU PIX, CHAVE, CNPJ: 22.993.076/0001-06</t>
  </si>
  <si>
    <t xml:space="preserve">63</t>
  </si>
  <si>
    <t xml:space="preserve">2026-09-22</t>
  </si>
  <si>
    <t xml:space="preserve">PRESTAÇÃO DE SERVIÇO DE CALIBRAÇÃO DE INSTRUMENTOS DE MEDIÇÃO: 1 MEDIDOR DE POTÊNCIA ÓPTICA E 1 CARGA ELETRÔNICA. APROVADA EM 24/06/2026 DE ACORDO COM A ORDEM DE COMPRA 762169. PRAZO DE PAGAMENTO: 30 DDL  DADOS PARA PAGAMENTO: DEPÓSITO BANCÁRIO BANCO INTER: AGÊNCIA: 0001  /  CONTA CORRENTE: 3773258-7 OU PIX, CHAVE, CNPJ: 22.993.076/0001-06</t>
  </si>
  <si>
    <t xml:space="preserve">64</t>
  </si>
  <si>
    <t xml:space="preserve">25.132.423/0001-96</t>
  </si>
  <si>
    <t xml:space="preserve">TERRIS TECNOLOGIA  LTDA</t>
  </si>
  <si>
    <t xml:space="preserve">PRESTAÇÃO DE SERVIÇO DE CALIBRAÇÃO DE INSTRUMENTOS DE MEDIÇÃO: 1 TERMOHIGRÔMETRO DIGITAL E 1 TESTADOR DE PULSEIRA E CALCANHEIRA, CONFORME PROPOSTA 0093/26-R01, APROVADA EM 16/09/2026. PRAZO DE PAGAMENTO: 10 DDL  DADOS PARA PAGAMENTO: DEPÓSITO BANCÁRIO BANCO INTER: AGÊNCIA: 0001  /  CONTA CORRENTE: 3773258-7 OU PIX, CHAVE, CNPJ: 22.993.076/0001-06</t>
  </si>
  <si>
    <t xml:space="preserve">65</t>
  </si>
  <si>
    <t xml:space="preserve">2026-09-23</t>
  </si>
  <si>
    <t xml:space="preserve">02.538.436/0001-64</t>
  </si>
  <si>
    <t xml:space="preserve">DARNEL EMBALAGENS LTDA.</t>
  </si>
  <si>
    <t xml:space="preserve">PRESTAÇÃO DE SERVIÇO DE CALIBRAÇÃO DE INSTRUMENTOS DE MEDIÇÃO: 1 BANHO DE ÓLEO, 1 PLASTÔMETRO, 1 TERMOHIGRÔMETRO E 1 DESLOCAMENTO TÉCNICO, CONFORME PROPOSTA 0091/26-R01. APROVADA EM 14/09/2026 DE ACORDO COM A ORDEM DE COMPRA 36710. PRAZO DE PAGAMENTO: 14 DDL  DADOS PARA PAGAMENTO: BOLETO BANCÁRIO</t>
  </si>
  <si>
    <t xml:space="preserve">66</t>
  </si>
  <si>
    <t xml:space="preserve">PRESTAÇÃO DE SERVIÇO DE CALIBRAÇÃO DE INSTRUMENTOS DE MEDIÇÃO: 1 DINAMÔMETRO, 1 MICRÔMETRO, 3 PAQUÍMETROS E 1 TORQUÍMETRO, CONFORME PROPOSTA 0098/26-R01, APROVADA EM 23/09/2026. PRAZO DE PAGAMENTO: 10 DDL  DADOS PARA PAGAMENTO: DEPÓSITO BANCÁRIO BANCO INTER: AGÊNCIA: 0001  /  CONTA CORRENTE: 3773258-7 OU PIX, CHAVE, CNPJ: 22.993.076/0001-06</t>
  </si>
  <si>
    <t xml:space="preserve">67</t>
  </si>
  <si>
    <t xml:space="preserve">78.571.411/0001-24</t>
  </si>
  <si>
    <t xml:space="preserve">IMCOPA - IMPORTACAO, EXPORTACAO E INDUSTRIA DE OLEOS S.A - EM RECUPERACAO JUDICIAL</t>
  </si>
  <si>
    <t xml:space="preserve">PRESTAÇÃO DE SERVIÇO DE CALIBRAÇÃO DE INSTRUMENTOS DE MEDIÇÃO: 1 BALANÇA, CONFORME PROPOSTA 0092/26-R01. APROVADA EM 18/09/2026 DE ACORDO COM O PEDIDO DE COMPRA 4500369811. PRAZO DE PAGAMENTO: 10 DDL  DADOS PARA PAGAMENTO: DEPÓSITO BANCÁRIO BANCO INTER: AGÊNCIA: 0001  /  CONTA CORRENTE: 3773258-7 OU PIX, CHAVE, CNPJ: 22.993.076/0001-06</t>
  </si>
  <si>
    <t xml:space="preserve">68</t>
  </si>
  <si>
    <t xml:space="preserve">2026-09-25</t>
  </si>
  <si>
    <t xml:space="preserve">80.787.443/0001-03</t>
  </si>
  <si>
    <t xml:space="preserve">SERDIA ELETRONICA INDUSTRIAL S.A.</t>
  </si>
  <si>
    <t xml:space="preserve">PRESTAÇÃO DE SERVIÇO DE CALIBRAÇÃO DE INSTRUMENTOS DE MEDIÇÃO: 1 ALICATE AMPERÍMETRO, 5 MULTÍMETROS, 2 OSCILOSCÓPIOS E 2 PAQUÍMETROS, CONFORME PROPOSTA 0090/26-R01, APROVADA EM 04/09/2026. PRAZO DE PAGAMENTO: 10 DDL  DADOS PARA PAGAMENTO: BOLETO BANCÁRIO</t>
  </si>
  <si>
    <t xml:space="preserve">TOTAL (sem canceladas)</t>
  </si>
  <si>
    <t xml:space="preserve">Inconsistências e apontamentos</t>
  </si>
  <si>
    <t xml:space="preserve">ERRO = corrigir/esclarecer antes de apurar | ALERTA = conferir | APONTAMENTO = observação da leitura</t>
  </si>
  <si>
    <t xml:space="preserve">Nota</t>
  </si>
  <si>
    <t xml:space="preserve">Data</t>
  </si>
  <si>
    <t xml:space="preserve">Participante</t>
  </si>
  <si>
    <t xml:space="preserve">Gravidade</t>
  </si>
  <si>
    <t xml:space="preserve">Descrição</t>
  </si>
  <si>
    <t xml:space="preserve">Resolvido?</t>
  </si>
  <si>
    <t xml:space="preserve">Observação</t>
  </si>
  <si>
    <t xml:space="preserve">Geral</t>
  </si>
  <si>
    <t xml:space="preserve">APONTAMENTO</t>
  </si>
  <si>
    <t xml:space="preserve">Notas lidas dos 15 XMLs da pasta Doc's/Prestados (Emissor Nacional): nº 54 a 68, DPS 59 a 73, todas autorizadas (cStat 100), nenhuma cancelada. Total R$ 15.473,47.</t>
  </si>
  <si>
    <t xml:space="preserve">ALERTA</t>
  </si>
  <si>
    <t xml:space="preserve">Não há relatório da PREFEITURA de Colombo nem planilha do PORTAL NACIONAL na pasta Relatorio para conferir nota a nota. Baixar o relatório de NFS-e emitidas de 09/2026 e confirmar que não existem outras notas (inclusive emitidas em outubro com competência de setembro).</t>
  </si>
  <si>
    <t xml:space="preserve">Item 14.01 (manutenção e reparação) compatível com o CNAE principal 3312-1/02 (manutenção e reparação de aparelhos e instrumentos de medida, teste e controle). Calibração de instrumentos enquadrada como manutenção: Anexo III. ISS devido em Colombo (estabelecimento do prestador), não retido.</t>
  </si>
  <si>
    <t xml:space="preserve">As NF-e (modelo 55) nº 301 a 314 emitidas em 09/2026 são retornos/remessas de instrumentos recebidos para calibração (CFOP 5916/6916/5949), sem valor de receita. Não entram no faturamento do PGDAS-D.</t>
  </si>
  <si>
    <t xml:space="preserve">Local da prestação (Colombo/PR) diferente do município do tomador (Curitiba/PR) - confirmar onde o serviço foi feito</t>
  </si>
  <si>
    <t xml:space="preserve">Discriminação informa 'Período: Agosto/2026' (contrato mensal). Nota emitida em 01/09 com competência 09/2026: entra no faturamento de setembro. Conferir se o mesmo critério foi usado nos meses anteriores.</t>
  </si>
  <si>
    <t xml:space="preserve">Local da prestação (Colombo/PR) diferente do município do tomador (Pato Branco/PR) - confirmar onde o serviço foi feito</t>
  </si>
  <si>
    <t xml:space="preserve">Parcela 11 do contrato (OC 866660). Conferir o recebimento e o saldo de parcelas.</t>
  </si>
  <si>
    <t xml:space="preserve">Local da prestação (Colombo/PR) diferente do município do tomador (Araucária/PR) - confirmar onde o serviço foi feito</t>
  </si>
  <si>
    <t xml:space="preserve">Nota sem código NBS.</t>
  </si>
  <si>
    <t xml:space="preserve">Discriminação informa 'Período: agosto de 2026'. Nota emitida em 10/09 com competência 09/2026: entra no faturamento de setembro.</t>
  </si>
  <si>
    <t xml:space="preserve">Local da prestação (Colombo/PR) diferente do município do tomador (Chopinzinho/PR) - confirmar onde o serviço foi feito</t>
  </si>
  <si>
    <t xml:space="preserve">Local da prestação (Colombo/PR) diferente do município do tomador (São José/SC) - confirmar onde o serviço foi feito</t>
  </si>
  <si>
    <t xml:space="preserve">Pedido aprovado em 14/07/2026 e nota emitida em 11/09. Conferir a data de conclusão do serviço.</t>
  </si>
  <si>
    <t xml:space="preserve">Ordem de compra aprovada em 26/05/2026 e nota emitida em 21/09. Conferir a data de conclusão do serviço.</t>
  </si>
  <si>
    <t xml:space="preserve">Ordem de compra aprovada em 24/06/2026 e nota emitida em 22/09. Conferir a data de conclusão do serviço.</t>
  </si>
  <si>
    <t xml:space="preserve">Tomador em recuperação judicial: risco de não recebimento (R$ 131,00). Acompanhar o recebimento.</t>
  </si>
  <si>
    <t xml:space="preserve">LMP3 SOLUCOES LTDA - CNPJ 22.993.076/0001-06</t>
  </si>
  <si>
    <t xml:space="preserve">Consulta: BrasilAPI (base da Receita Federal)</t>
  </si>
  <si>
    <t xml:space="preserve">Situação cadastral</t>
  </si>
  <si>
    <t xml:space="preserve">ATIVA</t>
  </si>
  <si>
    <t xml:space="preserve">Município</t>
  </si>
  <si>
    <t xml:space="preserve">COLOMBO/PR</t>
  </si>
  <si>
    <t xml:space="preserve">Natureza jurídica</t>
  </si>
  <si>
    <t xml:space="preserve">Sociedade Empresária Limitada</t>
  </si>
  <si>
    <t xml:space="preserve">Porte</t>
  </si>
  <si>
    <t xml:space="preserve">MICRO EMPRESA</t>
  </si>
  <si>
    <t xml:space="preserve">Optante do Simples</t>
  </si>
  <si>
    <t xml:space="preserve">Sim</t>
  </si>
  <si>
    <t xml:space="preserve">Data opção Simples</t>
  </si>
  <si>
    <t xml:space="preserve">2015-07-31</t>
  </si>
  <si>
    <t xml:space="preserve">Data exclusão Simples</t>
  </si>
  <si>
    <t xml:space="preserve">MEI</t>
  </si>
  <si>
    <t xml:space="preserve">Início atividade</t>
  </si>
  <si>
    <t xml:space="preserve">Tipo</t>
  </si>
  <si>
    <t xml:space="preserve">CNAE</t>
  </si>
  <si>
    <t xml:space="preserve">Anexo sugerido</t>
  </si>
  <si>
    <t xml:space="preserve">Principal</t>
  </si>
  <si>
    <t xml:space="preserve">3312-1/02</t>
  </si>
  <si>
    <t xml:space="preserve">Manutenção e reparação de aparelhos e instrumentos de medida, teste e controle</t>
  </si>
  <si>
    <t xml:space="preserve">Manutenção e reparação (item 14.01) - atividade das notas do mês</t>
  </si>
  <si>
    <t xml:space="preserve">Secundário</t>
  </si>
  <si>
    <t xml:space="preserve">4751-2/01</t>
  </si>
  <si>
    <t xml:space="preserve">Comércio varejista especializado de equipamentos e suprimentos de informática</t>
  </si>
  <si>
    <t xml:space="preserve">I</t>
  </si>
  <si>
    <t xml:space="preserve">Comércio - revenda de mercadorias; sem notas no mês</t>
  </si>
  <si>
    <t xml:space="preserve">6201-5/01</t>
  </si>
  <si>
    <t xml:space="preserve">Desenvolvimento de programas de computador sob encomenda</t>
  </si>
  <si>
    <t xml:space="preserve">V (Fator R)</t>
  </si>
  <si>
    <t xml:space="preserve">Desenvolvimento de software sob encomenda (§5º-I) - sem notas no mês</t>
  </si>
  <si>
    <t xml:space="preserve">6202-3/00</t>
  </si>
  <si>
    <t xml:space="preserve">Desenvolvimento e licenciamento de programas de computador customizáveis</t>
  </si>
  <si>
    <t xml:space="preserve">Licenciamento customizável - conferir; sem notas no mês</t>
  </si>
  <si>
    <t xml:space="preserve">6204-0/00</t>
  </si>
  <si>
    <t xml:space="preserve">Consultoria em tecnologia da informação</t>
  </si>
  <si>
    <t xml:space="preserve">Consultoria em TI (§5º-I) - sem notas no mês</t>
  </si>
  <si>
    <t xml:space="preserve">6209-1/00</t>
  </si>
  <si>
    <t xml:space="preserve">Suporte técnico, manutenção e outros serviços em tecnologia da informação</t>
  </si>
  <si>
    <t xml:space="preserve">Suporte técnico em TI - sem notas no mês</t>
  </si>
  <si>
    <t xml:space="preserve">8211-3/00</t>
  </si>
  <si>
    <t xml:space="preserve">Serviços combinados de escritório e apoio administrativo</t>
  </si>
  <si>
    <t xml:space="preserve">Sem notas no mês</t>
  </si>
  <si>
    <t xml:space="preserve">8219-9/99</t>
  </si>
  <si>
    <t xml:space="preserve">Preparação de documentos e serviços especializados de apoio administrativo não especificados anteriormente</t>
  </si>
  <si>
    <t xml:space="preserve">8599-6/04</t>
  </si>
  <si>
    <t xml:space="preserve">Treinamento em desenvolvimento profissional e gerencial</t>
  </si>
  <si>
    <t xml:space="preserve">Treinamento - sem notas no mês</t>
  </si>
  <si>
    <t xml:space="preserve">Anexo</t>
  </si>
  <si>
    <t xml:space="preserve">Item LC 116</t>
  </si>
  <si>
    <t xml:space="preserve">Atividade</t>
  </si>
  <si>
    <t xml:space="preserve">Faturamento do mês</t>
  </si>
  <si>
    <t xml:space="preserve">CONCLUSÃO - ANEXO DE TRIBUTAÇÃO</t>
  </si>
  <si>
    <t xml:space="preserve">ANEXO III para todo o faturamento de 09/2026 (R$ 15.473,47 em 15 notas). Todas as notas usam o item 14.01 da LC 116 (manutenção e reparação), compatível com o CNAE principal 3312-1/02; os serviços descritos são calibração de instrumentos de medição e assistência técnica em metrologia, sem peças ou materiais na nota. ISS próprio, devido em Colombo/PR e recolhido no DAS; nenhuma retenção de ISS ou de tributos federais. Os CNAEs de TI (6201-5/01, 6202-3/00, 6204-0/00 - Anexo V/Fator R) e de comércio (4751-2/01 - Anexo I) não tiveram notas no mês.</t>
  </si>
  <si>
    <t xml:space="preserve">O anexo é da ATIVIDADE da nota (item da LC 116). "V (Fator R)" = Anexo V, ou III se o Fator R for &gt;= 28%. Referência: art. 18 LC 123/2006 e Anexo VI da Res. CGSN 140/2018.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</si>
</sst>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-#,##0.00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7"/>
    <col collapsed="false" customWidth="true" hidden="false" outlineLevel="0" max="6" min="6" style="0" width="30"/>
    <col collapsed="false" customWidth="true" hidden="false" outlineLevel="0" max="9" min="7" style="0" width="16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14"/>
    <col collapsed="false" customWidth="true" hidden="false" outlineLevel="0" max="13" min="13" style="0" width="45"/>
    <col collapsed="false" customWidth="true" hidden="false" outlineLevel="0" max="14" min="14" style="0" width="4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7"/>
    <col collapsed="false" customWidth="true" hidden="false" outlineLevel="0" max="18" min="18" style="0" width="10"/>
    <col collapsed="false" customWidth="true" hidden="false" outlineLevel="0" max="24" min="19" style="0" width="9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0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</row>
    <row r="5" customFormat="false" ht="151.5" hidden="false" customHeight="true" outlineLevel="0" collapsed="false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5" t="s">
        <v>34</v>
      </c>
      <c r="G5" s="5" t="s">
        <v>35</v>
      </c>
      <c r="H5" s="5" t="s">
        <v>36</v>
      </c>
      <c r="I5" s="5" t="s">
        <v>36</v>
      </c>
      <c r="J5" s="4" t="s">
        <v>37</v>
      </c>
      <c r="K5" s="5" t="s">
        <v>38</v>
      </c>
      <c r="L5" s="4" t="s">
        <v>39</v>
      </c>
      <c r="M5" s="5" t="s">
        <v>40</v>
      </c>
      <c r="N5" s="5" t="s">
        <v>41</v>
      </c>
      <c r="O5" s="6" t="n">
        <v>3150</v>
      </c>
      <c r="P5" s="6"/>
      <c r="Q5" s="6"/>
      <c r="R5" s="6"/>
      <c r="S5" s="4" t="s">
        <v>42</v>
      </c>
      <c r="T5" s="6"/>
      <c r="U5" s="6"/>
      <c r="V5" s="6"/>
      <c r="W5" s="6"/>
      <c r="X5" s="6"/>
      <c r="Y5" s="6" t="n">
        <f aca="false">IF(S5="Sim",R5,0)+SUM(T5:X5)</f>
        <v>0</v>
      </c>
      <c r="Z5" s="6" t="n">
        <f aca="false">O5-Y5</f>
        <v>3150</v>
      </c>
      <c r="AA5" s="7" t="s">
        <v>43</v>
      </c>
    </row>
    <row r="6" customFormat="false" ht="93.75" hidden="false" customHeight="true" outlineLevel="0" collapsed="false">
      <c r="A6" s="4" t="s">
        <v>44</v>
      </c>
      <c r="B6" s="4" t="s">
        <v>30</v>
      </c>
      <c r="C6" s="4" t="s">
        <v>31</v>
      </c>
      <c r="D6" s="4" t="s">
        <v>32</v>
      </c>
      <c r="E6" s="4" t="s">
        <v>45</v>
      </c>
      <c r="F6" s="5" t="s">
        <v>46</v>
      </c>
      <c r="G6" s="5" t="s">
        <v>47</v>
      </c>
      <c r="H6" s="5" t="s">
        <v>36</v>
      </c>
      <c r="I6" s="5" t="s">
        <v>36</v>
      </c>
      <c r="J6" s="4" t="s">
        <v>37</v>
      </c>
      <c r="K6" s="5" t="s">
        <v>38</v>
      </c>
      <c r="L6" s="4" t="s">
        <v>39</v>
      </c>
      <c r="M6" s="5" t="s">
        <v>48</v>
      </c>
      <c r="N6" s="5" t="s">
        <v>41</v>
      </c>
      <c r="O6" s="6" t="n">
        <v>954.17</v>
      </c>
      <c r="P6" s="6"/>
      <c r="Q6" s="6"/>
      <c r="R6" s="6"/>
      <c r="S6" s="4" t="s">
        <v>42</v>
      </c>
      <c r="T6" s="6"/>
      <c r="U6" s="6"/>
      <c r="V6" s="6"/>
      <c r="W6" s="6"/>
      <c r="X6" s="6"/>
      <c r="Y6" s="6" t="n">
        <f aca="false">IF(S6="Sim",R6,0)+SUM(T6:X6)</f>
        <v>0</v>
      </c>
      <c r="Z6" s="6" t="n">
        <f aca="false">O6-Y6</f>
        <v>954.17</v>
      </c>
      <c r="AA6" s="7" t="s">
        <v>43</v>
      </c>
    </row>
    <row r="7" customFormat="false" ht="93.75" hidden="false" customHeight="true" outlineLevel="0" collapsed="false">
      <c r="A7" s="4" t="s">
        <v>49</v>
      </c>
      <c r="B7" s="4" t="s">
        <v>30</v>
      </c>
      <c r="C7" s="4" t="s">
        <v>31</v>
      </c>
      <c r="D7" s="4" t="s">
        <v>32</v>
      </c>
      <c r="E7" s="4" t="s">
        <v>50</v>
      </c>
      <c r="F7" s="5" t="s">
        <v>51</v>
      </c>
      <c r="G7" s="5" t="s">
        <v>52</v>
      </c>
      <c r="H7" s="5" t="s">
        <v>36</v>
      </c>
      <c r="I7" s="5" t="s">
        <v>36</v>
      </c>
      <c r="J7" s="4" t="s">
        <v>37</v>
      </c>
      <c r="K7" s="5" t="s">
        <v>38</v>
      </c>
      <c r="L7" s="4" t="s">
        <v>39</v>
      </c>
      <c r="M7" s="5" t="s">
        <v>53</v>
      </c>
      <c r="N7" s="5" t="s">
        <v>54</v>
      </c>
      <c r="O7" s="6" t="n">
        <v>1169</v>
      </c>
      <c r="P7" s="6"/>
      <c r="Q7" s="6"/>
      <c r="R7" s="6"/>
      <c r="S7" s="4" t="s">
        <v>42</v>
      </c>
      <c r="T7" s="6"/>
      <c r="U7" s="6"/>
      <c r="V7" s="6"/>
      <c r="W7" s="6"/>
      <c r="X7" s="6"/>
      <c r="Y7" s="6" t="n">
        <f aca="false">IF(S7="Sim",R7,0)+SUM(T7:X7)</f>
        <v>0</v>
      </c>
      <c r="Z7" s="6" t="n">
        <f aca="false">O7-Y7</f>
        <v>1169</v>
      </c>
      <c r="AA7" s="7" t="s">
        <v>43</v>
      </c>
    </row>
    <row r="8" customFormat="false" ht="93.75" hidden="false" customHeight="true" outlineLevel="0" collapsed="false">
      <c r="A8" s="4" t="s">
        <v>55</v>
      </c>
      <c r="B8" s="4" t="s">
        <v>56</v>
      </c>
      <c r="C8" s="4" t="s">
        <v>31</v>
      </c>
      <c r="D8" s="4" t="s">
        <v>32</v>
      </c>
      <c r="E8" s="4" t="s">
        <v>57</v>
      </c>
      <c r="F8" s="5" t="s">
        <v>58</v>
      </c>
      <c r="G8" s="5" t="s">
        <v>35</v>
      </c>
      <c r="H8" s="5" t="s">
        <v>36</v>
      </c>
      <c r="I8" s="5" t="s">
        <v>36</v>
      </c>
      <c r="J8" s="4" t="s">
        <v>37</v>
      </c>
      <c r="K8" s="5" t="s">
        <v>38</v>
      </c>
      <c r="L8" s="4" t="s">
        <v>39</v>
      </c>
      <c r="M8" s="5" t="s">
        <v>59</v>
      </c>
      <c r="N8" s="5" t="s">
        <v>41</v>
      </c>
      <c r="O8" s="6" t="n">
        <v>450</v>
      </c>
      <c r="P8" s="6"/>
      <c r="Q8" s="6"/>
      <c r="R8" s="6"/>
      <c r="S8" s="4" t="s">
        <v>42</v>
      </c>
      <c r="T8" s="6"/>
      <c r="U8" s="6"/>
      <c r="V8" s="6"/>
      <c r="W8" s="6"/>
      <c r="X8" s="6"/>
      <c r="Y8" s="6" t="n">
        <f aca="false">IF(S8="Sim",R8,0)+SUM(T8:X8)</f>
        <v>0</v>
      </c>
      <c r="Z8" s="6" t="n">
        <f aca="false">O8-Y8</f>
        <v>450</v>
      </c>
      <c r="AA8" s="7" t="s">
        <v>43</v>
      </c>
    </row>
    <row r="9" customFormat="false" ht="105" hidden="false" customHeight="true" outlineLevel="0" collapsed="false">
      <c r="A9" s="4" t="s">
        <v>60</v>
      </c>
      <c r="B9" s="4" t="s">
        <v>61</v>
      </c>
      <c r="C9" s="4" t="s">
        <v>31</v>
      </c>
      <c r="D9" s="4" t="s">
        <v>32</v>
      </c>
      <c r="E9" s="4" t="s">
        <v>62</v>
      </c>
      <c r="F9" s="5" t="s">
        <v>63</v>
      </c>
      <c r="G9" s="5" t="s">
        <v>52</v>
      </c>
      <c r="H9" s="5" t="s">
        <v>36</v>
      </c>
      <c r="I9" s="5" t="s">
        <v>36</v>
      </c>
      <c r="J9" s="4" t="s">
        <v>37</v>
      </c>
      <c r="K9" s="5" t="s">
        <v>38</v>
      </c>
      <c r="L9" s="4" t="s">
        <v>39</v>
      </c>
      <c r="M9" s="5" t="s">
        <v>64</v>
      </c>
      <c r="N9" s="5" t="s">
        <v>41</v>
      </c>
      <c r="O9" s="6" t="n">
        <v>4209</v>
      </c>
      <c r="P9" s="6"/>
      <c r="Q9" s="6"/>
      <c r="R9" s="6"/>
      <c r="S9" s="4" t="s">
        <v>42</v>
      </c>
      <c r="T9" s="6"/>
      <c r="U9" s="6"/>
      <c r="V9" s="6"/>
      <c r="W9" s="6"/>
      <c r="X9" s="6"/>
      <c r="Y9" s="6" t="n">
        <f aca="false">IF(S9="Sim",R9,0)+SUM(T9:X9)</f>
        <v>0</v>
      </c>
      <c r="Z9" s="6" t="n">
        <f aca="false">O9-Y9</f>
        <v>4209</v>
      </c>
      <c r="AA9" s="7" t="s">
        <v>43</v>
      </c>
    </row>
    <row r="10" customFormat="false" ht="93.75" hidden="false" customHeight="true" outlineLevel="0" collapsed="false">
      <c r="A10" s="4" t="s">
        <v>65</v>
      </c>
      <c r="B10" s="4" t="s">
        <v>66</v>
      </c>
      <c r="C10" s="4" t="s">
        <v>31</v>
      </c>
      <c r="D10" s="4" t="s">
        <v>32</v>
      </c>
      <c r="E10" s="4" t="s">
        <v>67</v>
      </c>
      <c r="F10" s="5" t="s">
        <v>68</v>
      </c>
      <c r="G10" s="5" t="s">
        <v>69</v>
      </c>
      <c r="H10" s="5" t="s">
        <v>36</v>
      </c>
      <c r="I10" s="5" t="s">
        <v>36</v>
      </c>
      <c r="J10" s="4" t="s">
        <v>37</v>
      </c>
      <c r="K10" s="5" t="s">
        <v>38</v>
      </c>
      <c r="L10" s="4" t="s">
        <v>39</v>
      </c>
      <c r="M10" s="5" t="s">
        <v>70</v>
      </c>
      <c r="N10" s="5" t="s">
        <v>41</v>
      </c>
      <c r="O10" s="6" t="n">
        <v>927.5</v>
      </c>
      <c r="P10" s="6"/>
      <c r="Q10" s="6"/>
      <c r="R10" s="6"/>
      <c r="S10" s="4" t="s">
        <v>42</v>
      </c>
      <c r="T10" s="6"/>
      <c r="U10" s="6"/>
      <c r="V10" s="6"/>
      <c r="W10" s="6"/>
      <c r="X10" s="6"/>
      <c r="Y10" s="6" t="n">
        <f aca="false">IF(S10="Sim",R10,0)+SUM(T10:X10)</f>
        <v>0</v>
      </c>
      <c r="Z10" s="6" t="n">
        <f aca="false">O10-Y10</f>
        <v>927.5</v>
      </c>
      <c r="AA10" s="7" t="s">
        <v>43</v>
      </c>
    </row>
    <row r="11" customFormat="false" ht="93.75" hidden="false" customHeight="true" outlineLevel="0" collapsed="false">
      <c r="A11" s="4" t="s">
        <v>71</v>
      </c>
      <c r="B11" s="4" t="s">
        <v>66</v>
      </c>
      <c r="C11" s="4" t="s">
        <v>31</v>
      </c>
      <c r="D11" s="4" t="s">
        <v>32</v>
      </c>
      <c r="E11" s="4" t="s">
        <v>72</v>
      </c>
      <c r="F11" s="5" t="s">
        <v>73</v>
      </c>
      <c r="G11" s="5" t="s">
        <v>74</v>
      </c>
      <c r="H11" s="5" t="s">
        <v>36</v>
      </c>
      <c r="I11" s="5" t="s">
        <v>36</v>
      </c>
      <c r="J11" s="4" t="s">
        <v>37</v>
      </c>
      <c r="K11" s="5" t="s">
        <v>38</v>
      </c>
      <c r="L11" s="4" t="s">
        <v>39</v>
      </c>
      <c r="M11" s="5" t="s">
        <v>75</v>
      </c>
      <c r="N11" s="5" t="s">
        <v>41</v>
      </c>
      <c r="O11" s="6" t="n">
        <v>415</v>
      </c>
      <c r="P11" s="6"/>
      <c r="Q11" s="6"/>
      <c r="R11" s="6"/>
      <c r="S11" s="4" t="s">
        <v>42</v>
      </c>
      <c r="T11" s="6"/>
      <c r="U11" s="6"/>
      <c r="V11" s="6"/>
      <c r="W11" s="6"/>
      <c r="X11" s="6"/>
      <c r="Y11" s="6" t="n">
        <f aca="false">IF(S11="Sim",R11,0)+SUM(T11:X11)</f>
        <v>0</v>
      </c>
      <c r="Z11" s="6" t="n">
        <f aca="false">O11-Y11</f>
        <v>415</v>
      </c>
      <c r="AA11" s="7" t="s">
        <v>43</v>
      </c>
    </row>
    <row r="12" customFormat="false" ht="93.75" hidden="false" customHeight="true" outlineLevel="0" collapsed="false">
      <c r="A12" s="4" t="s">
        <v>76</v>
      </c>
      <c r="B12" s="4" t="s">
        <v>66</v>
      </c>
      <c r="C12" s="4" t="s">
        <v>31</v>
      </c>
      <c r="D12" s="4" t="s">
        <v>32</v>
      </c>
      <c r="E12" s="4" t="s">
        <v>72</v>
      </c>
      <c r="F12" s="5" t="s">
        <v>73</v>
      </c>
      <c r="G12" s="5" t="s">
        <v>74</v>
      </c>
      <c r="H12" s="5" t="s">
        <v>36</v>
      </c>
      <c r="I12" s="5" t="s">
        <v>36</v>
      </c>
      <c r="J12" s="4" t="s">
        <v>37</v>
      </c>
      <c r="K12" s="5" t="s">
        <v>38</v>
      </c>
      <c r="L12" s="4" t="s">
        <v>39</v>
      </c>
      <c r="M12" s="5" t="s">
        <v>77</v>
      </c>
      <c r="N12" s="5" t="s">
        <v>41</v>
      </c>
      <c r="O12" s="6" t="n">
        <v>830</v>
      </c>
      <c r="P12" s="6"/>
      <c r="Q12" s="6"/>
      <c r="R12" s="6"/>
      <c r="S12" s="4" t="s">
        <v>42</v>
      </c>
      <c r="T12" s="6"/>
      <c r="U12" s="6"/>
      <c r="V12" s="6"/>
      <c r="W12" s="6"/>
      <c r="X12" s="6"/>
      <c r="Y12" s="6" t="n">
        <f aca="false">IF(S12="Sim",R12,0)+SUM(T12:X12)</f>
        <v>0</v>
      </c>
      <c r="Z12" s="6" t="n">
        <f aca="false">O12-Y12</f>
        <v>830</v>
      </c>
      <c r="AA12" s="7" t="s">
        <v>43</v>
      </c>
    </row>
    <row r="13" customFormat="false" ht="93.75" hidden="false" customHeight="true" outlineLevel="0" collapsed="false">
      <c r="A13" s="4" t="s">
        <v>78</v>
      </c>
      <c r="B13" s="4" t="s">
        <v>79</v>
      </c>
      <c r="C13" s="4" t="s">
        <v>31</v>
      </c>
      <c r="D13" s="4" t="s">
        <v>32</v>
      </c>
      <c r="E13" s="4" t="s">
        <v>57</v>
      </c>
      <c r="F13" s="5" t="s">
        <v>58</v>
      </c>
      <c r="G13" s="5" t="s">
        <v>35</v>
      </c>
      <c r="H13" s="5" t="s">
        <v>36</v>
      </c>
      <c r="I13" s="5" t="s">
        <v>36</v>
      </c>
      <c r="J13" s="4" t="s">
        <v>37</v>
      </c>
      <c r="K13" s="5" t="s">
        <v>38</v>
      </c>
      <c r="L13" s="4" t="s">
        <v>39</v>
      </c>
      <c r="M13" s="5" t="s">
        <v>80</v>
      </c>
      <c r="N13" s="5" t="s">
        <v>41</v>
      </c>
      <c r="O13" s="6" t="n">
        <v>80</v>
      </c>
      <c r="P13" s="6"/>
      <c r="Q13" s="6"/>
      <c r="R13" s="6"/>
      <c r="S13" s="4" t="s">
        <v>42</v>
      </c>
      <c r="T13" s="6"/>
      <c r="U13" s="6"/>
      <c r="V13" s="6"/>
      <c r="W13" s="6"/>
      <c r="X13" s="6"/>
      <c r="Y13" s="6" t="n">
        <f aca="false">IF(S13="Sim",R13,0)+SUM(T13:X13)</f>
        <v>0</v>
      </c>
      <c r="Z13" s="6" t="n">
        <f aca="false">O13-Y13</f>
        <v>80</v>
      </c>
      <c r="AA13" s="7" t="s">
        <v>43</v>
      </c>
    </row>
    <row r="14" customFormat="false" ht="93.75" hidden="false" customHeight="true" outlineLevel="0" collapsed="false">
      <c r="A14" s="4" t="s">
        <v>81</v>
      </c>
      <c r="B14" s="4" t="s">
        <v>82</v>
      </c>
      <c r="C14" s="4" t="s">
        <v>31</v>
      </c>
      <c r="D14" s="4" t="s">
        <v>32</v>
      </c>
      <c r="E14" s="4" t="s">
        <v>57</v>
      </c>
      <c r="F14" s="5" t="s">
        <v>58</v>
      </c>
      <c r="G14" s="5" t="s">
        <v>35</v>
      </c>
      <c r="H14" s="5" t="s">
        <v>36</v>
      </c>
      <c r="I14" s="5" t="s">
        <v>36</v>
      </c>
      <c r="J14" s="4" t="s">
        <v>37</v>
      </c>
      <c r="K14" s="5" t="s">
        <v>38</v>
      </c>
      <c r="L14" s="4" t="s">
        <v>39</v>
      </c>
      <c r="M14" s="5" t="s">
        <v>83</v>
      </c>
      <c r="N14" s="5" t="s">
        <v>41</v>
      </c>
      <c r="O14" s="6" t="n">
        <v>720</v>
      </c>
      <c r="P14" s="6"/>
      <c r="Q14" s="6"/>
      <c r="R14" s="6"/>
      <c r="S14" s="4" t="s">
        <v>42</v>
      </c>
      <c r="T14" s="6"/>
      <c r="U14" s="6"/>
      <c r="V14" s="6"/>
      <c r="W14" s="6"/>
      <c r="X14" s="6"/>
      <c r="Y14" s="6" t="n">
        <f aca="false">IF(S14="Sim",R14,0)+SUM(T14:X14)</f>
        <v>0</v>
      </c>
      <c r="Z14" s="6" t="n">
        <f aca="false">O14-Y14</f>
        <v>720</v>
      </c>
      <c r="AA14" s="7" t="s">
        <v>43</v>
      </c>
    </row>
    <row r="15" customFormat="false" ht="93.75" hidden="false" customHeight="true" outlineLevel="0" collapsed="false">
      <c r="A15" s="4" t="s">
        <v>84</v>
      </c>
      <c r="B15" s="4" t="s">
        <v>82</v>
      </c>
      <c r="C15" s="4" t="s">
        <v>31</v>
      </c>
      <c r="D15" s="4" t="s">
        <v>32</v>
      </c>
      <c r="E15" s="4" t="s">
        <v>85</v>
      </c>
      <c r="F15" s="5" t="s">
        <v>86</v>
      </c>
      <c r="G15" s="5" t="s">
        <v>47</v>
      </c>
      <c r="H15" s="5" t="s">
        <v>36</v>
      </c>
      <c r="I15" s="5" t="s">
        <v>36</v>
      </c>
      <c r="J15" s="4" t="s">
        <v>37</v>
      </c>
      <c r="K15" s="5" t="s">
        <v>38</v>
      </c>
      <c r="L15" s="4" t="s">
        <v>39</v>
      </c>
      <c r="M15" s="5" t="s">
        <v>87</v>
      </c>
      <c r="N15" s="5" t="s">
        <v>41</v>
      </c>
      <c r="O15" s="6" t="n">
        <v>161</v>
      </c>
      <c r="P15" s="6"/>
      <c r="Q15" s="6"/>
      <c r="R15" s="6"/>
      <c r="S15" s="4" t="s">
        <v>42</v>
      </c>
      <c r="T15" s="6"/>
      <c r="U15" s="6"/>
      <c r="V15" s="6"/>
      <c r="W15" s="6"/>
      <c r="X15" s="6"/>
      <c r="Y15" s="6" t="n">
        <f aca="false">IF(S15="Sim",R15,0)+SUM(T15:X15)</f>
        <v>0</v>
      </c>
      <c r="Z15" s="6" t="n">
        <f aca="false">O15-Y15</f>
        <v>161</v>
      </c>
      <c r="AA15" s="7" t="s">
        <v>43</v>
      </c>
    </row>
    <row r="16" customFormat="false" ht="93.75" hidden="false" customHeight="true" outlineLevel="0" collapsed="false">
      <c r="A16" s="4" t="s">
        <v>88</v>
      </c>
      <c r="B16" s="4" t="s">
        <v>89</v>
      </c>
      <c r="C16" s="4" t="s">
        <v>31</v>
      </c>
      <c r="D16" s="4" t="s">
        <v>32</v>
      </c>
      <c r="E16" s="4" t="s">
        <v>90</v>
      </c>
      <c r="F16" s="5" t="s">
        <v>91</v>
      </c>
      <c r="G16" s="5" t="s">
        <v>35</v>
      </c>
      <c r="H16" s="5" t="s">
        <v>36</v>
      </c>
      <c r="I16" s="5" t="s">
        <v>36</v>
      </c>
      <c r="J16" s="4" t="s">
        <v>37</v>
      </c>
      <c r="K16" s="5" t="s">
        <v>38</v>
      </c>
      <c r="L16" s="4" t="s">
        <v>39</v>
      </c>
      <c r="M16" s="5" t="s">
        <v>92</v>
      </c>
      <c r="N16" s="5" t="s">
        <v>41</v>
      </c>
      <c r="O16" s="6" t="n">
        <v>395</v>
      </c>
      <c r="P16" s="6"/>
      <c r="Q16" s="6"/>
      <c r="R16" s="6"/>
      <c r="S16" s="4" t="s">
        <v>42</v>
      </c>
      <c r="T16" s="6"/>
      <c r="U16" s="6"/>
      <c r="V16" s="6"/>
      <c r="W16" s="6"/>
      <c r="X16" s="6"/>
      <c r="Y16" s="6" t="n">
        <f aca="false">IF(S16="Sim",R16,0)+SUM(T16:X16)</f>
        <v>0</v>
      </c>
      <c r="Z16" s="6" t="n">
        <f aca="false">O16-Y16</f>
        <v>395</v>
      </c>
      <c r="AA16" s="7" t="s">
        <v>43</v>
      </c>
    </row>
    <row r="17" customFormat="false" ht="93.75" hidden="false" customHeight="true" outlineLevel="0" collapsed="false">
      <c r="A17" s="4" t="s">
        <v>93</v>
      </c>
      <c r="B17" s="4" t="s">
        <v>89</v>
      </c>
      <c r="C17" s="4" t="s">
        <v>31</v>
      </c>
      <c r="D17" s="4" t="s">
        <v>32</v>
      </c>
      <c r="E17" s="4" t="s">
        <v>50</v>
      </c>
      <c r="F17" s="5" t="s">
        <v>51</v>
      </c>
      <c r="G17" s="5" t="s">
        <v>52</v>
      </c>
      <c r="H17" s="5" t="s">
        <v>36</v>
      </c>
      <c r="I17" s="5" t="s">
        <v>36</v>
      </c>
      <c r="J17" s="4" t="s">
        <v>37</v>
      </c>
      <c r="K17" s="5" t="s">
        <v>38</v>
      </c>
      <c r="L17" s="4" t="s">
        <v>39</v>
      </c>
      <c r="M17" s="5" t="s">
        <v>94</v>
      </c>
      <c r="N17" s="5" t="s">
        <v>41</v>
      </c>
      <c r="O17" s="6" t="n">
        <v>387</v>
      </c>
      <c r="P17" s="6"/>
      <c r="Q17" s="6"/>
      <c r="R17" s="6"/>
      <c r="S17" s="4" t="s">
        <v>42</v>
      </c>
      <c r="T17" s="6"/>
      <c r="U17" s="6"/>
      <c r="V17" s="6"/>
      <c r="W17" s="6"/>
      <c r="X17" s="6"/>
      <c r="Y17" s="6" t="n">
        <f aca="false">IF(S17="Sim",R17,0)+SUM(T17:X17)</f>
        <v>0</v>
      </c>
      <c r="Z17" s="6" t="n">
        <f aca="false">O17-Y17</f>
        <v>387</v>
      </c>
      <c r="AA17" s="7" t="s">
        <v>43</v>
      </c>
    </row>
    <row r="18" customFormat="false" ht="93.75" hidden="false" customHeight="true" outlineLevel="0" collapsed="false">
      <c r="A18" s="4" t="s">
        <v>95</v>
      </c>
      <c r="B18" s="4" t="s">
        <v>89</v>
      </c>
      <c r="C18" s="4" t="s">
        <v>31</v>
      </c>
      <c r="D18" s="4" t="s">
        <v>32</v>
      </c>
      <c r="E18" s="4" t="s">
        <v>96</v>
      </c>
      <c r="F18" s="5" t="s">
        <v>97</v>
      </c>
      <c r="G18" s="5" t="s">
        <v>52</v>
      </c>
      <c r="H18" s="5" t="s">
        <v>36</v>
      </c>
      <c r="I18" s="5" t="s">
        <v>36</v>
      </c>
      <c r="J18" s="4" t="s">
        <v>37</v>
      </c>
      <c r="K18" s="5" t="s">
        <v>38</v>
      </c>
      <c r="L18" s="4" t="s">
        <v>39</v>
      </c>
      <c r="M18" s="5" t="s">
        <v>98</v>
      </c>
      <c r="N18" s="5" t="s">
        <v>41</v>
      </c>
      <c r="O18" s="6" t="n">
        <v>131</v>
      </c>
      <c r="P18" s="6"/>
      <c r="Q18" s="6"/>
      <c r="R18" s="6"/>
      <c r="S18" s="4" t="s">
        <v>42</v>
      </c>
      <c r="T18" s="6"/>
      <c r="U18" s="6"/>
      <c r="V18" s="6"/>
      <c r="W18" s="6"/>
      <c r="X18" s="6"/>
      <c r="Y18" s="6" t="n">
        <f aca="false">IF(S18="Sim",R18,0)+SUM(T18:X18)</f>
        <v>0</v>
      </c>
      <c r="Z18" s="6" t="n">
        <f aca="false">O18-Y18</f>
        <v>131</v>
      </c>
      <c r="AA18" s="7" t="s">
        <v>43</v>
      </c>
    </row>
    <row r="19" customFormat="false" ht="93.75" hidden="false" customHeight="true" outlineLevel="0" collapsed="false">
      <c r="A19" s="4" t="s">
        <v>99</v>
      </c>
      <c r="B19" s="4" t="s">
        <v>100</v>
      </c>
      <c r="C19" s="4" t="s">
        <v>31</v>
      </c>
      <c r="D19" s="4" t="s">
        <v>32</v>
      </c>
      <c r="E19" s="4" t="s">
        <v>101</v>
      </c>
      <c r="F19" s="5" t="s">
        <v>102</v>
      </c>
      <c r="G19" s="5" t="s">
        <v>35</v>
      </c>
      <c r="H19" s="5" t="s">
        <v>36</v>
      </c>
      <c r="I19" s="5" t="s">
        <v>36</v>
      </c>
      <c r="J19" s="4" t="s">
        <v>37</v>
      </c>
      <c r="K19" s="5" t="s">
        <v>38</v>
      </c>
      <c r="L19" s="4" t="s">
        <v>39</v>
      </c>
      <c r="M19" s="5" t="s">
        <v>103</v>
      </c>
      <c r="N19" s="5" t="s">
        <v>41</v>
      </c>
      <c r="O19" s="6" t="n">
        <v>1494.8</v>
      </c>
      <c r="P19" s="6"/>
      <c r="Q19" s="6"/>
      <c r="R19" s="6"/>
      <c r="S19" s="4" t="s">
        <v>42</v>
      </c>
      <c r="T19" s="6"/>
      <c r="U19" s="6"/>
      <c r="V19" s="6"/>
      <c r="W19" s="6"/>
      <c r="X19" s="6"/>
      <c r="Y19" s="6" t="n">
        <f aca="false">IF(S19="Sim",R19,0)+SUM(T19:X19)</f>
        <v>0</v>
      </c>
      <c r="Z19" s="6" t="n">
        <f aca="false">O19-Y19</f>
        <v>1494.8</v>
      </c>
      <c r="AA19" s="7" t="s">
        <v>43</v>
      </c>
    </row>
    <row r="20" customFormat="false" ht="15" hidden="false" customHeight="false" outlineLevel="0" collapsed="false">
      <c r="A20" s="8" t="s">
        <v>104</v>
      </c>
      <c r="O20" s="9" t="n">
        <f aca="false">SUMIFS(O5:O19,$D$5:$D$19,"Normal")</f>
        <v>15473.47</v>
      </c>
      <c r="R20" s="9" t="n">
        <f aca="false">SUMIFS(R5:R19,$D$5:$D$19,"Normal")</f>
        <v>0</v>
      </c>
      <c r="T20" s="9" t="n">
        <f aca="false">SUMIFS(T5:T19,$D$5:$D$19,"Normal")</f>
        <v>0</v>
      </c>
      <c r="U20" s="9" t="n">
        <f aca="false">SUMIFS(U5:U19,$D$5:$D$19,"Normal")</f>
        <v>0</v>
      </c>
      <c r="V20" s="9" t="n">
        <f aca="false">SUMIFS(V5:V19,$D$5:$D$19,"Normal")</f>
        <v>0</v>
      </c>
      <c r="W20" s="9" t="n">
        <f aca="false">SUMIFS(W5:W19,$D$5:$D$19,"Normal")</f>
        <v>0</v>
      </c>
      <c r="X20" s="9" t="n">
        <f aca="false">SUMIFS(X5:X19,$D$5:$D$19,"Normal")</f>
        <v>0</v>
      </c>
      <c r="Y20" s="9" t="n">
        <f aca="false">SUMIFS(Y5:Y19,$D$5:$D$19,"Normal")</f>
        <v>0</v>
      </c>
      <c r="Z20" s="9" t="n">
        <f aca="false">SUMIFS(Z5:Z19,$D$5:$D$19,"Normal")</f>
        <v>15473.47</v>
      </c>
    </row>
  </sheetData>
  <autoFilter ref="A4:AA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90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15" hidden="false" customHeight="tru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30" hidden="false" customHeight="true" outlineLevel="0" collapsed="false">
      <c r="A4" s="3" t="s">
        <v>107</v>
      </c>
      <c r="B4" s="3" t="s">
        <v>108</v>
      </c>
      <c r="C4" s="3" t="s">
        <v>109</v>
      </c>
      <c r="D4" s="3" t="s">
        <v>110</v>
      </c>
      <c r="E4" s="3" t="s">
        <v>111</v>
      </c>
      <c r="F4" s="3" t="s">
        <v>112</v>
      </c>
      <c r="G4" s="3" t="s">
        <v>113</v>
      </c>
    </row>
    <row r="5" customFormat="false" ht="24.75" hidden="false" customHeight="true" outlineLevel="0" collapsed="false">
      <c r="A5" s="7" t="s">
        <v>114</v>
      </c>
      <c r="B5" s="7"/>
      <c r="C5" s="10"/>
      <c r="D5" s="7" t="s">
        <v>115</v>
      </c>
      <c r="E5" s="10" t="s">
        <v>116</v>
      </c>
      <c r="F5" s="7"/>
      <c r="G5" s="10"/>
    </row>
    <row r="6" customFormat="false" ht="36" hidden="false" customHeight="true" outlineLevel="0" collapsed="false">
      <c r="A6" s="7" t="s">
        <v>114</v>
      </c>
      <c r="B6" s="7"/>
      <c r="C6" s="10"/>
      <c r="D6" s="7" t="s">
        <v>117</v>
      </c>
      <c r="E6" s="10" t="s">
        <v>118</v>
      </c>
      <c r="F6" s="7"/>
      <c r="G6" s="10"/>
    </row>
    <row r="7" customFormat="false" ht="36" hidden="false" customHeight="true" outlineLevel="0" collapsed="false">
      <c r="A7" s="7" t="s">
        <v>114</v>
      </c>
      <c r="B7" s="7"/>
      <c r="C7" s="10"/>
      <c r="D7" s="7" t="s">
        <v>115</v>
      </c>
      <c r="E7" s="10" t="s">
        <v>119</v>
      </c>
      <c r="F7" s="7"/>
      <c r="G7" s="10"/>
    </row>
    <row r="8" customFormat="false" ht="24.75" hidden="false" customHeight="true" outlineLevel="0" collapsed="false">
      <c r="A8" s="7" t="s">
        <v>114</v>
      </c>
      <c r="B8" s="7"/>
      <c r="C8" s="10"/>
      <c r="D8" s="7" t="s">
        <v>115</v>
      </c>
      <c r="E8" s="10" t="s">
        <v>120</v>
      </c>
      <c r="F8" s="7"/>
      <c r="G8" s="10"/>
    </row>
    <row r="9" customFormat="false" ht="24.75" hidden="false" customHeight="true" outlineLevel="0" collapsed="false">
      <c r="A9" s="7" t="s">
        <v>29</v>
      </c>
      <c r="B9" s="7" t="s">
        <v>30</v>
      </c>
      <c r="C9" s="10" t="s">
        <v>34</v>
      </c>
      <c r="D9" s="7" t="s">
        <v>117</v>
      </c>
      <c r="E9" s="10" t="s">
        <v>121</v>
      </c>
      <c r="F9" s="7"/>
      <c r="G9" s="10"/>
    </row>
    <row r="10" customFormat="false" ht="24.75" hidden="false" customHeight="true" outlineLevel="0" collapsed="false">
      <c r="A10" s="4" t="s">
        <v>29</v>
      </c>
      <c r="B10" s="4" t="s">
        <v>30</v>
      </c>
      <c r="C10" s="5" t="s">
        <v>34</v>
      </c>
      <c r="D10" s="4" t="s">
        <v>115</v>
      </c>
      <c r="E10" s="5" t="s">
        <v>122</v>
      </c>
      <c r="F10" s="4"/>
      <c r="G10" s="5"/>
    </row>
    <row r="11" customFormat="false" ht="24.75" hidden="false" customHeight="true" outlineLevel="0" collapsed="false">
      <c r="A11" s="7" t="s">
        <v>44</v>
      </c>
      <c r="B11" s="7" t="s">
        <v>30</v>
      </c>
      <c r="C11" s="10" t="s">
        <v>46</v>
      </c>
      <c r="D11" s="7" t="s">
        <v>117</v>
      </c>
      <c r="E11" s="10" t="s">
        <v>123</v>
      </c>
      <c r="F11" s="7"/>
      <c r="G11" s="10"/>
    </row>
    <row r="12" customFormat="false" ht="22.5" hidden="false" customHeight="true" outlineLevel="0" collapsed="false">
      <c r="A12" s="4" t="s">
        <v>44</v>
      </c>
      <c r="B12" s="4" t="s">
        <v>30</v>
      </c>
      <c r="C12" s="5" t="s">
        <v>46</v>
      </c>
      <c r="D12" s="4" t="s">
        <v>115</v>
      </c>
      <c r="E12" s="5" t="s">
        <v>124</v>
      </c>
      <c r="F12" s="4"/>
      <c r="G12" s="5"/>
    </row>
    <row r="13" customFormat="false" ht="24.75" hidden="false" customHeight="true" outlineLevel="0" collapsed="false">
      <c r="A13" s="7" t="s">
        <v>49</v>
      </c>
      <c r="B13" s="7" t="s">
        <v>30</v>
      </c>
      <c r="C13" s="10" t="s">
        <v>51</v>
      </c>
      <c r="D13" s="7" t="s">
        <v>117</v>
      </c>
      <c r="E13" s="10" t="s">
        <v>125</v>
      </c>
      <c r="F13" s="7"/>
      <c r="G13" s="10"/>
    </row>
    <row r="14" customFormat="false" ht="22.5" hidden="false" customHeight="true" outlineLevel="0" collapsed="false">
      <c r="A14" s="4" t="s">
        <v>49</v>
      </c>
      <c r="B14" s="4" t="s">
        <v>30</v>
      </c>
      <c r="C14" s="5" t="s">
        <v>51</v>
      </c>
      <c r="D14" s="4" t="s">
        <v>115</v>
      </c>
      <c r="E14" s="5" t="s">
        <v>126</v>
      </c>
      <c r="F14" s="4"/>
      <c r="G14" s="5"/>
    </row>
    <row r="15" customFormat="false" ht="24.75" hidden="false" customHeight="true" outlineLevel="0" collapsed="false">
      <c r="A15" s="7" t="s">
        <v>55</v>
      </c>
      <c r="B15" s="7" t="s">
        <v>56</v>
      </c>
      <c r="C15" s="10" t="s">
        <v>58</v>
      </c>
      <c r="D15" s="7" t="s">
        <v>117</v>
      </c>
      <c r="E15" s="10" t="s">
        <v>121</v>
      </c>
      <c r="F15" s="7"/>
      <c r="G15" s="10"/>
    </row>
    <row r="16" customFormat="false" ht="24.75" hidden="false" customHeight="true" outlineLevel="0" collapsed="false">
      <c r="A16" s="7" t="s">
        <v>60</v>
      </c>
      <c r="B16" s="7" t="s">
        <v>61</v>
      </c>
      <c r="C16" s="10" t="s">
        <v>63</v>
      </c>
      <c r="D16" s="7" t="s">
        <v>117</v>
      </c>
      <c r="E16" s="10" t="s">
        <v>125</v>
      </c>
      <c r="F16" s="7"/>
      <c r="G16" s="10"/>
    </row>
    <row r="17" customFormat="false" ht="24.75" hidden="false" customHeight="true" outlineLevel="0" collapsed="false">
      <c r="A17" s="4" t="s">
        <v>60</v>
      </c>
      <c r="B17" s="4" t="s">
        <v>61</v>
      </c>
      <c r="C17" s="5" t="s">
        <v>63</v>
      </c>
      <c r="D17" s="4" t="s">
        <v>115</v>
      </c>
      <c r="E17" s="5" t="s">
        <v>127</v>
      </c>
      <c r="F17" s="4"/>
      <c r="G17" s="5"/>
    </row>
    <row r="18" customFormat="false" ht="24.75" hidden="false" customHeight="true" outlineLevel="0" collapsed="false">
      <c r="A18" s="7" t="s">
        <v>65</v>
      </c>
      <c r="B18" s="7" t="s">
        <v>66</v>
      </c>
      <c r="C18" s="10" t="s">
        <v>68</v>
      </c>
      <c r="D18" s="7" t="s">
        <v>117</v>
      </c>
      <c r="E18" s="10" t="s">
        <v>128</v>
      </c>
      <c r="F18" s="7"/>
      <c r="G18" s="10"/>
    </row>
    <row r="19" customFormat="false" ht="24.75" hidden="false" customHeight="true" outlineLevel="0" collapsed="false">
      <c r="A19" s="7" t="s">
        <v>71</v>
      </c>
      <c r="B19" s="7" t="s">
        <v>66</v>
      </c>
      <c r="C19" s="10" t="s">
        <v>73</v>
      </c>
      <c r="D19" s="7" t="s">
        <v>117</v>
      </c>
      <c r="E19" s="10" t="s">
        <v>129</v>
      </c>
      <c r="F19" s="7"/>
      <c r="G19" s="10"/>
    </row>
    <row r="20" customFormat="false" ht="24.75" hidden="false" customHeight="true" outlineLevel="0" collapsed="false">
      <c r="A20" s="7" t="s">
        <v>76</v>
      </c>
      <c r="B20" s="7" t="s">
        <v>66</v>
      </c>
      <c r="C20" s="10" t="s">
        <v>73</v>
      </c>
      <c r="D20" s="7" t="s">
        <v>117</v>
      </c>
      <c r="E20" s="10" t="s">
        <v>129</v>
      </c>
      <c r="F20" s="7"/>
      <c r="G20" s="10"/>
    </row>
    <row r="21" customFormat="false" ht="24.75" hidden="false" customHeight="true" outlineLevel="0" collapsed="false">
      <c r="A21" s="4" t="s">
        <v>76</v>
      </c>
      <c r="B21" s="4" t="s">
        <v>66</v>
      </c>
      <c r="C21" s="5" t="s">
        <v>73</v>
      </c>
      <c r="D21" s="4" t="s">
        <v>115</v>
      </c>
      <c r="E21" s="5" t="s">
        <v>130</v>
      </c>
      <c r="F21" s="4"/>
      <c r="G21" s="5"/>
    </row>
    <row r="22" customFormat="false" ht="24.75" hidden="false" customHeight="true" outlineLevel="0" collapsed="false">
      <c r="A22" s="7" t="s">
        <v>78</v>
      </c>
      <c r="B22" s="7" t="s">
        <v>79</v>
      </c>
      <c r="C22" s="10" t="s">
        <v>58</v>
      </c>
      <c r="D22" s="7" t="s">
        <v>117</v>
      </c>
      <c r="E22" s="10" t="s">
        <v>121</v>
      </c>
      <c r="F22" s="7"/>
      <c r="G22" s="10"/>
    </row>
    <row r="23" customFormat="false" ht="24.75" hidden="false" customHeight="true" outlineLevel="0" collapsed="false">
      <c r="A23" s="4" t="s">
        <v>78</v>
      </c>
      <c r="B23" s="4" t="s">
        <v>79</v>
      </c>
      <c r="C23" s="5" t="s">
        <v>58</v>
      </c>
      <c r="D23" s="4" t="s">
        <v>115</v>
      </c>
      <c r="E23" s="5" t="s">
        <v>131</v>
      </c>
      <c r="F23" s="4"/>
      <c r="G23" s="5"/>
    </row>
    <row r="24" customFormat="false" ht="24.75" hidden="false" customHeight="true" outlineLevel="0" collapsed="false">
      <c r="A24" s="7" t="s">
        <v>81</v>
      </c>
      <c r="B24" s="7" t="s">
        <v>82</v>
      </c>
      <c r="C24" s="10" t="s">
        <v>58</v>
      </c>
      <c r="D24" s="7" t="s">
        <v>117</v>
      </c>
      <c r="E24" s="10" t="s">
        <v>121</v>
      </c>
      <c r="F24" s="7"/>
      <c r="G24" s="10"/>
    </row>
    <row r="25" customFormat="false" ht="24.75" hidden="false" customHeight="true" outlineLevel="0" collapsed="false">
      <c r="A25" s="4" t="s">
        <v>81</v>
      </c>
      <c r="B25" s="4" t="s">
        <v>82</v>
      </c>
      <c r="C25" s="5" t="s">
        <v>58</v>
      </c>
      <c r="D25" s="4" t="s">
        <v>115</v>
      </c>
      <c r="E25" s="5" t="s">
        <v>132</v>
      </c>
      <c r="F25" s="4"/>
      <c r="G25" s="5"/>
    </row>
    <row r="26" customFormat="false" ht="24.75" hidden="false" customHeight="true" outlineLevel="0" collapsed="false">
      <c r="A26" s="7" t="s">
        <v>84</v>
      </c>
      <c r="B26" s="7" t="s">
        <v>82</v>
      </c>
      <c r="C26" s="10" t="s">
        <v>86</v>
      </c>
      <c r="D26" s="7" t="s">
        <v>117</v>
      </c>
      <c r="E26" s="10" t="s">
        <v>123</v>
      </c>
      <c r="F26" s="7"/>
      <c r="G26" s="10"/>
    </row>
    <row r="27" customFormat="false" ht="24.75" hidden="false" customHeight="true" outlineLevel="0" collapsed="false">
      <c r="A27" s="7" t="s">
        <v>88</v>
      </c>
      <c r="B27" s="7" t="s">
        <v>89</v>
      </c>
      <c r="C27" s="10" t="s">
        <v>91</v>
      </c>
      <c r="D27" s="7" t="s">
        <v>117</v>
      </c>
      <c r="E27" s="10" t="s">
        <v>121</v>
      </c>
      <c r="F27" s="7"/>
      <c r="G27" s="10"/>
    </row>
    <row r="28" customFormat="false" ht="24.75" hidden="false" customHeight="true" outlineLevel="0" collapsed="false">
      <c r="A28" s="7" t="s">
        <v>93</v>
      </c>
      <c r="B28" s="7" t="s">
        <v>89</v>
      </c>
      <c r="C28" s="10" t="s">
        <v>51</v>
      </c>
      <c r="D28" s="7" t="s">
        <v>117</v>
      </c>
      <c r="E28" s="10" t="s">
        <v>125</v>
      </c>
      <c r="F28" s="7"/>
      <c r="G28" s="10"/>
    </row>
    <row r="29" customFormat="false" ht="36" hidden="false" customHeight="true" outlineLevel="0" collapsed="false">
      <c r="A29" s="7" t="s">
        <v>95</v>
      </c>
      <c r="B29" s="7" t="s">
        <v>89</v>
      </c>
      <c r="C29" s="10" t="s">
        <v>97</v>
      </c>
      <c r="D29" s="7" t="s">
        <v>117</v>
      </c>
      <c r="E29" s="10" t="s">
        <v>125</v>
      </c>
      <c r="F29" s="7"/>
      <c r="G29" s="10"/>
    </row>
    <row r="30" customFormat="false" ht="36" hidden="false" customHeight="true" outlineLevel="0" collapsed="false">
      <c r="A30" s="7" t="s">
        <v>95</v>
      </c>
      <c r="B30" s="7" t="s">
        <v>89</v>
      </c>
      <c r="C30" s="10" t="s">
        <v>97</v>
      </c>
      <c r="D30" s="7" t="s">
        <v>117</v>
      </c>
      <c r="E30" s="10" t="s">
        <v>133</v>
      </c>
      <c r="F30" s="7"/>
      <c r="G30" s="10"/>
    </row>
    <row r="31" customFormat="false" ht="24.75" hidden="false" customHeight="true" outlineLevel="0" collapsed="false">
      <c r="A31" s="7" t="s">
        <v>99</v>
      </c>
      <c r="B31" s="7" t="s">
        <v>100</v>
      </c>
      <c r="C31" s="10" t="s">
        <v>102</v>
      </c>
      <c r="D31" s="7" t="s">
        <v>117</v>
      </c>
      <c r="E31" s="10" t="s">
        <v>121</v>
      </c>
      <c r="F31" s="7"/>
      <c r="G31" s="10"/>
    </row>
  </sheetData>
  <autoFilter ref="A4:G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5" hidden="false" customHeight="tru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8" t="s">
        <v>136</v>
      </c>
      <c r="B4" s="11" t="s">
        <v>137</v>
      </c>
    </row>
    <row r="5" customFormat="false" ht="15" hidden="false" customHeight="false" outlineLevel="0" collapsed="false">
      <c r="A5" s="8" t="s">
        <v>138</v>
      </c>
      <c r="B5" s="11" t="s">
        <v>139</v>
      </c>
    </row>
    <row r="6" customFormat="false" ht="15" hidden="false" customHeight="false" outlineLevel="0" collapsed="false">
      <c r="A6" s="8" t="s">
        <v>140</v>
      </c>
      <c r="B6" s="11" t="s">
        <v>141</v>
      </c>
    </row>
    <row r="7" customFormat="false" ht="15" hidden="false" customHeight="false" outlineLevel="0" collapsed="false">
      <c r="A7" s="8" t="s">
        <v>142</v>
      </c>
      <c r="B7" s="11" t="s">
        <v>143</v>
      </c>
    </row>
    <row r="8" customFormat="false" ht="15" hidden="false" customHeight="false" outlineLevel="0" collapsed="false">
      <c r="A8" s="8" t="s">
        <v>144</v>
      </c>
      <c r="B8" s="11" t="s">
        <v>145</v>
      </c>
    </row>
    <row r="9" customFormat="false" ht="15" hidden="false" customHeight="false" outlineLevel="0" collapsed="false">
      <c r="A9" s="8" t="s">
        <v>146</v>
      </c>
      <c r="B9" s="11" t="s">
        <v>147</v>
      </c>
    </row>
    <row r="10" customFormat="false" ht="15" hidden="false" customHeight="false" outlineLevel="0" collapsed="false">
      <c r="A10" s="8" t="s">
        <v>148</v>
      </c>
      <c r="B10" s="11"/>
    </row>
    <row r="11" customFormat="false" ht="15" hidden="false" customHeight="false" outlineLevel="0" collapsed="false">
      <c r="A11" s="8" t="s">
        <v>149</v>
      </c>
      <c r="B11" s="11" t="s">
        <v>42</v>
      </c>
    </row>
    <row r="12" customFormat="false" ht="15" hidden="false" customHeight="false" outlineLevel="0" collapsed="false">
      <c r="A12" s="8" t="s">
        <v>150</v>
      </c>
      <c r="B12" s="11" t="s">
        <v>147</v>
      </c>
    </row>
    <row r="14" customFormat="false" ht="30" hidden="false" customHeight="true" outlineLevel="0" collapsed="false">
      <c r="A14" s="3" t="s">
        <v>151</v>
      </c>
      <c r="B14" s="3" t="s">
        <v>152</v>
      </c>
      <c r="C14" s="3" t="s">
        <v>111</v>
      </c>
      <c r="D14" s="3" t="s">
        <v>153</v>
      </c>
      <c r="E14" s="3" t="s">
        <v>113</v>
      </c>
    </row>
    <row r="15" customFormat="false" ht="24.75" hidden="false" customHeight="true" outlineLevel="0" collapsed="false">
      <c r="A15" s="4" t="s">
        <v>154</v>
      </c>
      <c r="B15" s="4" t="s">
        <v>155</v>
      </c>
      <c r="C15" s="5" t="s">
        <v>156</v>
      </c>
      <c r="D15" s="4" t="s">
        <v>39</v>
      </c>
      <c r="E15" s="5" t="s">
        <v>157</v>
      </c>
    </row>
    <row r="16" customFormat="false" ht="24.75" hidden="false" customHeight="true" outlineLevel="0" collapsed="false">
      <c r="A16" s="4" t="s">
        <v>158</v>
      </c>
      <c r="B16" s="4" t="s">
        <v>159</v>
      </c>
      <c r="C16" s="5" t="s">
        <v>160</v>
      </c>
      <c r="D16" s="4" t="s">
        <v>161</v>
      </c>
      <c r="E16" s="5" t="s">
        <v>162</v>
      </c>
    </row>
    <row r="17" customFormat="false" ht="13.5" hidden="false" customHeight="true" outlineLevel="0" collapsed="false">
      <c r="A17" s="4" t="s">
        <v>158</v>
      </c>
      <c r="B17" s="4" t="s">
        <v>163</v>
      </c>
      <c r="C17" s="5" t="s">
        <v>164</v>
      </c>
      <c r="D17" s="4" t="s">
        <v>165</v>
      </c>
      <c r="E17" s="5" t="s">
        <v>166</v>
      </c>
    </row>
    <row r="18" customFormat="false" ht="24.75" hidden="false" customHeight="true" outlineLevel="0" collapsed="false">
      <c r="A18" s="4" t="s">
        <v>158</v>
      </c>
      <c r="B18" s="4" t="s">
        <v>167</v>
      </c>
      <c r="C18" s="5" t="s">
        <v>168</v>
      </c>
      <c r="D18" s="4" t="s">
        <v>165</v>
      </c>
      <c r="E18" s="5" t="s">
        <v>169</v>
      </c>
    </row>
    <row r="19" customFormat="false" ht="13.5" hidden="false" customHeight="true" outlineLevel="0" collapsed="false">
      <c r="A19" s="4" t="s">
        <v>158</v>
      </c>
      <c r="B19" s="4" t="s">
        <v>170</v>
      </c>
      <c r="C19" s="5" t="s">
        <v>171</v>
      </c>
      <c r="D19" s="4" t="s">
        <v>165</v>
      </c>
      <c r="E19" s="5" t="s">
        <v>172</v>
      </c>
    </row>
    <row r="20" customFormat="false" ht="24.75" hidden="false" customHeight="true" outlineLevel="0" collapsed="false">
      <c r="A20" s="4" t="s">
        <v>158</v>
      </c>
      <c r="B20" s="4" t="s">
        <v>173</v>
      </c>
      <c r="C20" s="5" t="s">
        <v>174</v>
      </c>
      <c r="D20" s="4" t="s">
        <v>39</v>
      </c>
      <c r="E20" s="5" t="s">
        <v>175</v>
      </c>
    </row>
    <row r="21" customFormat="false" ht="13.5" hidden="false" customHeight="true" outlineLevel="0" collapsed="false">
      <c r="A21" s="4" t="s">
        <v>158</v>
      </c>
      <c r="B21" s="4" t="s">
        <v>176</v>
      </c>
      <c r="C21" s="5" t="s">
        <v>177</v>
      </c>
      <c r="D21" s="4" t="s">
        <v>39</v>
      </c>
      <c r="E21" s="5" t="s">
        <v>178</v>
      </c>
    </row>
    <row r="22" customFormat="false" ht="24.75" hidden="false" customHeight="true" outlineLevel="0" collapsed="false">
      <c r="A22" s="4" t="s">
        <v>158</v>
      </c>
      <c r="B22" s="4" t="s">
        <v>179</v>
      </c>
      <c r="C22" s="5" t="s">
        <v>180</v>
      </c>
      <c r="D22" s="4" t="s">
        <v>39</v>
      </c>
      <c r="E22" s="5" t="s">
        <v>178</v>
      </c>
    </row>
    <row r="23" customFormat="false" ht="13.5" hidden="false" customHeight="true" outlineLevel="0" collapsed="false">
      <c r="A23" s="4" t="s">
        <v>158</v>
      </c>
      <c r="B23" s="4" t="s">
        <v>181</v>
      </c>
      <c r="C23" s="5" t="s">
        <v>182</v>
      </c>
      <c r="D23" s="4" t="s">
        <v>39</v>
      </c>
      <c r="E23" s="5" t="s">
        <v>183</v>
      </c>
    </row>
    <row r="25" customFormat="false" ht="30" hidden="false" customHeight="true" outlineLevel="0" collapsed="false">
      <c r="A25" s="3" t="s">
        <v>184</v>
      </c>
      <c r="B25" s="3" t="s">
        <v>185</v>
      </c>
      <c r="C25" s="3" t="s">
        <v>186</v>
      </c>
      <c r="D25" s="3" t="s">
        <v>187</v>
      </c>
    </row>
    <row r="26" customFormat="false" ht="43.25" hidden="false" customHeight="false" outlineLevel="0" collapsed="false">
      <c r="A26" s="4" t="s">
        <v>39</v>
      </c>
      <c r="B26" s="4" t="s">
        <v>37</v>
      </c>
      <c r="C26" s="5" t="s">
        <v>38</v>
      </c>
      <c r="D26" s="6" t="n">
        <f aca="false">SUMIFS('Notas Prestadas'!$O$5:$O$19,'Notas Prestadas'!$J$5:$J$19,B26,'Notas Prestadas'!$D$5:$D$19,"Normal")</f>
        <v>15473.47</v>
      </c>
    </row>
    <row r="28" customFormat="false" ht="48" hidden="false" customHeight="true" outlineLevel="0" collapsed="false">
      <c r="A28" s="12" t="s">
        <v>188</v>
      </c>
      <c r="B28" s="13" t="s">
        <v>189</v>
      </c>
      <c r="C28" s="13"/>
      <c r="D28" s="13"/>
      <c r="E28" s="13"/>
    </row>
    <row r="30" customFormat="false" ht="15" hidden="false" customHeight="false" outlineLevel="0" collapsed="false">
      <c r="A30" s="2" t="s">
        <v>190</v>
      </c>
    </row>
  </sheetData>
  <mergeCells count="1"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2026-10-13T14:44:32Z</dcterms:created>
  <dc:creator>openpyxl</dc:creator>
  <dc:description/>
  <dc:language>en-US</dc:language>
  <cp:lastModifiedBy/>
  <dcterms:modified xsi:type="dcterms:W3CDTF">2026-10-13T14:44:32Z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