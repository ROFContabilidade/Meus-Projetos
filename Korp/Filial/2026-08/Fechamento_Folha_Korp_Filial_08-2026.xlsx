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08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-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</cols>
  <sheetData>
    <row r="1">
      <c r="A1" s="1" t="inlineStr">
        <is>
          <t>KORP Filial (145) - Fechamento da folha - Contas patrimoniais</t>
        </is>
      </c>
    </row>
    <row r="2">
      <c r="A2" s="2" t="inlineStr">
        <is>
          <t>Valores = movimento do mês (crédito - débito). Confere = folha do mês + competência de outros meses = TXT corrigido.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08-2026</t>
        </is>
      </c>
    </row>
    <row r="5">
      <c r="A5" s="4" t="inlineStr">
        <is>
          <t>2521</t>
        </is>
      </c>
      <c r="B5" s="4" t="inlineStr">
        <is>
          <t>Salários a Pagar</t>
        </is>
      </c>
      <c r="C5" s="5">
        <f>'08-2026'!F5</f>
        <v/>
      </c>
    </row>
    <row r="6">
      <c r="A6" s="4" t="inlineStr">
        <is>
          <t>2523</t>
        </is>
      </c>
      <c r="B6" s="4" t="inlineStr">
        <is>
          <t>Indenizações Trabalhistas (rescisões)</t>
        </is>
      </c>
      <c r="C6" s="5">
        <f>'08-2026'!F6</f>
        <v/>
      </c>
    </row>
    <row r="7">
      <c r="A7" s="4" t="inlineStr">
        <is>
          <t>2524</t>
        </is>
      </c>
      <c r="B7" s="4" t="inlineStr">
        <is>
          <t>Férias a Pagar</t>
        </is>
      </c>
      <c r="C7" s="5">
        <f>'08-2026'!F7</f>
        <v/>
      </c>
    </row>
    <row r="8">
      <c r="A8" s="4" t="inlineStr">
        <is>
          <t>2526</t>
        </is>
      </c>
      <c r="B8" s="4" t="inlineStr">
        <is>
          <t>Estágios a pagar</t>
        </is>
      </c>
      <c r="C8" s="5">
        <f>'08-2026'!F8</f>
        <v/>
      </c>
    </row>
    <row r="9">
      <c r="A9" s="4" t="inlineStr">
        <is>
          <t>2530</t>
        </is>
      </c>
      <c r="B9" s="4" t="inlineStr">
        <is>
          <t>FGTS a Recolher</t>
        </is>
      </c>
      <c r="C9" s="5">
        <f>'08-2026'!F9</f>
        <v/>
      </c>
    </row>
    <row r="10">
      <c r="A10" s="4" t="inlineStr">
        <is>
          <t>2531</t>
        </is>
      </c>
      <c r="B10" s="4" t="inlineStr">
        <is>
          <t>INSS a Recolher</t>
        </is>
      </c>
      <c r="C10" s="5">
        <f>'08-2026'!F10</f>
        <v/>
      </c>
    </row>
    <row r="11">
      <c r="A11" s="4" t="inlineStr">
        <is>
          <t>2533</t>
        </is>
      </c>
      <c r="B11" s="4" t="inlineStr">
        <is>
          <t>IRRF a Recolher s/ Folha</t>
        </is>
      </c>
      <c r="C11" s="5">
        <f>'08-2026'!F11</f>
        <v/>
      </c>
    </row>
    <row r="12">
      <c r="A12" s="4" t="inlineStr">
        <is>
          <t>3137</t>
        </is>
      </c>
      <c r="B12" s="4" t="inlineStr">
        <is>
          <t>Empréstimo a Funcionário (consignado)</t>
        </is>
      </c>
      <c r="C12" s="5">
        <f>'08-2026'!F12</f>
        <v/>
      </c>
    </row>
    <row r="13">
      <c r="A13" s="4" t="inlineStr">
        <is>
          <t>2463</t>
        </is>
      </c>
      <c r="B13" s="4" t="inlineStr">
        <is>
          <t>Adiantamento de Férias (ativo)</t>
        </is>
      </c>
      <c r="C13" s="5">
        <f>'08-2026'!F13</f>
        <v/>
      </c>
    </row>
    <row r="14">
      <c r="B14" s="6" t="inlineStr">
        <is>
          <t>Confere com a folha?</t>
        </is>
      </c>
      <c r="C14" s="7">
        <f>IF(COUNTIF('08-2026'!H5:H13,"Não")=0,"Sim","Não")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5" customWidth="1" min="4" max="4"/>
    <col width="13" customWidth="1" min="5" max="5"/>
    <col width="16" customWidth="1" min="6" max="6"/>
    <col width="16" customWidth="1" min="7" max="7"/>
    <col width="10" customWidth="1" min="8" max="8"/>
    <col width="90" customWidth="1" min="9" max="9"/>
  </cols>
  <sheetData>
    <row r="1">
      <c r="A1" s="1" t="inlineStr">
        <is>
          <t>KORP Filial (145) - Fechamento da folha - Contas patrimoniais - 08/2026</t>
        </is>
      </c>
    </row>
    <row r="2">
      <c r="A2" s="2" t="inlineStr">
        <is>
          <t>Folha 08/2026. Outros meses no TXT de 08: rescisão de estágio da Isabele (07); parte das férias do Matheus e da Ana de 09 (férias pagas integralmente em 08); férias da Fernanda lançadas no TXT de 07. Faltam no TXT de 08: rescisões de Guilherme, Enzo e Wellington (devem vir no TXT de 09). Consignado da Ana: estorno e provisão excluídos (confirmado).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Valor pela folha (extrato do mês)</t>
        </is>
      </c>
      <c r="D4" s="3" t="inlineStr">
        <is>
          <t>Valor no TXT do Domínio</t>
        </is>
      </c>
      <c r="E4" s="3" t="inlineStr">
        <is>
          <t>Correções de conta</t>
        </is>
      </c>
      <c r="F4" s="3" t="inlineStr">
        <is>
          <t>TXT corrigido (lançado na Korp)</t>
        </is>
      </c>
      <c r="G4" s="3" t="inlineStr">
        <is>
          <t>Competência de outros meses no TXT</t>
        </is>
      </c>
      <c r="H4" s="3" t="inlineStr">
        <is>
          <t>Confere?</t>
        </is>
      </c>
      <c r="I4" s="3" t="inlineStr">
        <is>
          <t>Composição</t>
        </is>
      </c>
    </row>
    <row r="5" ht="42" customHeight="1">
      <c r="A5" s="8" t="inlineStr">
        <is>
          <t>2521</t>
        </is>
      </c>
      <c r="B5" s="9" t="inlineStr">
        <is>
          <t>Salários a Pagar</t>
        </is>
      </c>
      <c r="C5" s="10" t="n">
        <v>74358.67</v>
      </c>
      <c r="D5" s="10" t="n">
        <v>81670.02</v>
      </c>
      <c r="E5" s="10" t="n">
        <v>-7311.35</v>
      </c>
      <c r="F5" s="10">
        <f>D5+E5</f>
        <v/>
      </c>
      <c r="G5" s="10" t="n">
        <v>0</v>
      </c>
      <c r="H5" s="8">
        <f>IF(ABS(C5+G5-F5)&lt;1,"Sim","Não")</f>
        <v/>
      </c>
      <c r="I5" s="11" t="inlineStr">
        <is>
          <t>Correções: -3.800,00 e -3.900,00 bolsas (CC 7 e 13) para 2526; +3.339,00 salário do Bruno com D/C na mesma conta; -3.329,46 verbas e descontos da rescisão Alyson/Wendel para 2523; +1.730,46 afastamento invertido (CC 8); +94,98 diferença de férias da Fernanda; +2,62 horas extras Isabele; -70,00 contribuição do CC 14 invertida; -1.378,95 consignado da Ana (exclusão do estorno 459,65 e da provisão 919,30)</t>
        </is>
      </c>
    </row>
    <row r="6" ht="42" customHeight="1">
      <c r="A6" s="8" t="inlineStr">
        <is>
          <t>2523</t>
        </is>
      </c>
      <c r="B6" s="9" t="inlineStr">
        <is>
          <t>Indenizações Trabalhistas (rescisões)</t>
        </is>
      </c>
      <c r="C6" s="10" t="n">
        <v>35826.55</v>
      </c>
      <c r="D6" s="10" t="n">
        <v>-258.79</v>
      </c>
      <c r="E6" s="10" t="n">
        <v>11384.54</v>
      </c>
      <c r="F6" s="10">
        <f>D6+E6</f>
        <v/>
      </c>
      <c r="G6" s="10" t="n">
        <v>-24700.8</v>
      </c>
      <c r="H6" s="8">
        <f>IF(ABS(C6+G6-F6)&lt;1,"Sim","Não")</f>
        <v/>
      </c>
      <c r="I6" s="11" t="inlineStr">
        <is>
          <t>Folha = líquido das 5 rescisões de 08. Correções: verbas e descontos da rescisão Alyson/Wendel para 2523 (fica 11.125,75). Outros meses: -24.700,80 rescisões de Guilherme 9.151,01, Enzo 6.958,54 e Wellington 8.591,25 (TXT de 09)</t>
        </is>
      </c>
    </row>
    <row r="7" ht="42" customHeight="1">
      <c r="A7" s="8" t="inlineStr">
        <is>
          <t>2524</t>
        </is>
      </c>
      <c r="B7" s="9" t="inlineStr">
        <is>
          <t>Férias a Pagar</t>
        </is>
      </c>
      <c r="C7" s="10" t="n">
        <v>272.15</v>
      </c>
      <c r="D7" s="10" t="n">
        <v>16071.07</v>
      </c>
      <c r="E7" s="10" t="n">
        <v>-13551.34</v>
      </c>
      <c r="F7" s="10">
        <f>D7+E7</f>
        <v/>
      </c>
      <c r="G7" s="10" t="n">
        <v>2247.58</v>
      </c>
      <c r="H7" s="8">
        <f>IF(ABS(C7+G7-F7)&lt;1,"Sim","Não")</f>
        <v/>
      </c>
      <c r="I7" s="11" t="inlineStr">
        <is>
          <t>Correções: -5.278,74 verbas da rescisão Alyson/Wendel para 2523; -7.741,67 adiantamentos de férias (Matheus, Ana, Fernanda) não exportados; -433,33 bolsa férias Isabele para 2526; -94,98 diferença de férias Fernanda e -2,62 horas extras Isabele para 2521. Outros meses: +1.534,30 férias do Matheus e +2.467,96 da Ana referentes a 09; -1.754,68 férias da Fernanda lançadas no TXT de 07</t>
        </is>
      </c>
    </row>
    <row r="8" ht="42" customHeight="1">
      <c r="A8" s="8" t="inlineStr">
        <is>
          <t>2526</t>
        </is>
      </c>
      <c r="B8" s="9" t="inlineStr">
        <is>
          <t>Estágios a pagar</t>
        </is>
      </c>
      <c r="C8" s="10" t="n">
        <v>9587.1</v>
      </c>
      <c r="D8" s="10" t="n">
        <v>3187.1</v>
      </c>
      <c r="E8" s="10" t="n">
        <v>8133.33</v>
      </c>
      <c r="F8" s="10">
        <f>D8+E8</f>
        <v/>
      </c>
      <c r="G8" s="10" t="n">
        <v>1733.33</v>
      </c>
      <c r="H8" s="8">
        <f>IF(ABS(C8+G8-F8)&lt;1,"Sim","Não")</f>
        <v/>
      </c>
      <c r="I8" s="11" t="inlineStr">
        <is>
          <t>Correções: +3.800,00, +3.900,00 bolsas e +433,33 bolsa férias Isabele. Outros meses: +1.733,33 rescisão de estágio da Isabele (competência 07)</t>
        </is>
      </c>
    </row>
    <row r="9" ht="42" customHeight="1">
      <c r="A9" s="8" t="inlineStr">
        <is>
          <t>2530</t>
        </is>
      </c>
      <c r="B9" s="9" t="inlineStr">
        <is>
          <t>FGTS a Recolher</t>
        </is>
      </c>
      <c r="C9" s="10" t="n">
        <v>12857.16</v>
      </c>
      <c r="D9" s="10" t="n">
        <v>8348.98</v>
      </c>
      <c r="E9" s="10" t="n">
        <v>253.99</v>
      </c>
      <c r="F9" s="10">
        <f>D9+E9</f>
        <v/>
      </c>
      <c r="G9" s="10" t="n">
        <v>-4254.19</v>
      </c>
      <c r="H9" s="8">
        <f>IF(ABS(C9+G9-F9)&lt;1,"Sim","Não")</f>
        <v/>
      </c>
      <c r="I9" s="11" t="inlineStr">
        <is>
          <t>Folha = Valor do FGTS 8.330,01 + FGTS rescisório 4.527,15. Correção: +253,99 FGTS de aviso prévio creditado em IRRF. Outros meses: -4.254,19 FGTS das rescisões de Guilherme 1.669,39, Enzo 1.988,87 e Wellington 595,93 (TXT de 09)</t>
        </is>
      </c>
    </row>
    <row r="10" ht="42" customHeight="1">
      <c r="A10" s="8" t="inlineStr">
        <is>
          <t>2531</t>
        </is>
      </c>
      <c r="B10" s="9" t="inlineStr">
        <is>
          <t>INSS a Recolher</t>
        </is>
      </c>
      <c r="C10" s="10" t="n">
        <v>40437.54</v>
      </c>
      <c r="D10" s="10" t="n">
        <v>39798.67</v>
      </c>
      <c r="E10" s="10" t="n">
        <v>0</v>
      </c>
      <c r="F10" s="10">
        <f>D10+E10</f>
        <v/>
      </c>
      <c r="G10" s="10" t="n">
        <v>-638.3</v>
      </c>
      <c r="H10" s="8">
        <f>IF(ABS(C10+G10-F10)&lt;1,"Sim","Não")</f>
        <v/>
      </c>
      <c r="I10" s="11" t="inlineStr">
        <is>
          <t>Outros meses: -1.023,65 INSS das rescisões de 09 (Guilherme, Enzo, Wellington); +532,16 INSS férias de 09 (Matheus 223,90; Ana 308,26); -146,81 INSS férias Fernanda (TXT de 07). Diferença de 0,57 = arredondamento</t>
        </is>
      </c>
    </row>
    <row r="11" ht="42" customHeight="1">
      <c r="A11" s="8" t="inlineStr">
        <is>
          <t>2533</t>
        </is>
      </c>
      <c r="B11" s="9" t="inlineStr">
        <is>
          <t>IRRF a Recolher s/ Folha</t>
        </is>
      </c>
      <c r="C11" s="10" t="n">
        <v>2237.82</v>
      </c>
      <c r="D11" s="10" t="n">
        <v>2866.42</v>
      </c>
      <c r="E11" s="10" t="n">
        <v>-253.99</v>
      </c>
      <c r="F11" s="10">
        <f>D11+E11</f>
        <v/>
      </c>
      <c r="G11" s="10" t="n">
        <v>374.61</v>
      </c>
      <c r="H11" s="8">
        <f>IF(ABS(C11+G11-F11)&lt;1,"Sim","Não")</f>
        <v/>
      </c>
      <c r="I11" s="11" t="inlineStr">
        <is>
          <t>Correção: -253,99 FGTS de aviso prévio lançado em IRRF. Outros meses: +374,61 IRRF férias de 09 (Matheus 228,13; Ana 146,48)</t>
        </is>
      </c>
    </row>
    <row r="12" ht="42" customHeight="1">
      <c r="A12" s="8" t="inlineStr">
        <is>
          <t>3137</t>
        </is>
      </c>
      <c r="B12" s="9" t="inlineStr">
        <is>
          <t>Empréstimo a Funcionário (consignado)</t>
        </is>
      </c>
      <c r="C12" s="10" t="n">
        <v>3811.33</v>
      </c>
      <c r="D12" s="10" t="n">
        <v>15.67</v>
      </c>
      <c r="E12" s="10" t="n">
        <v>1378.95</v>
      </c>
      <c r="F12" s="10">
        <f>D12+E12</f>
        <v/>
      </c>
      <c r="G12" s="10" t="n">
        <v>-2416.71</v>
      </c>
      <c r="H12" s="8">
        <f>IF(ABS(C12+G12-F12)&lt;1,"Sim","Não")</f>
        <v/>
      </c>
      <c r="I12" s="11" t="inlineStr">
        <is>
          <t>Folha = Ana 919,30 + Jhonatan 475,32 + Enzo (rescisão) 2.416,71. Correção: +1.378,95 exclusão do estorno 459,65 e da provisão 919,30 do consignado da Ana (confirmado). Outros meses: -2.416,71 consignado da rescisão do Enzo (TXT de 09)</t>
        </is>
      </c>
    </row>
    <row r="13" ht="42" customHeight="1">
      <c r="A13" s="8" t="inlineStr">
        <is>
          <t>2463</t>
        </is>
      </c>
      <c r="B13" s="9" t="inlineStr">
        <is>
          <t>Adiantamento de Férias (ativo)</t>
        </is>
      </c>
      <c r="C13" s="10" t="n">
        <v>7741.67</v>
      </c>
      <c r="D13" s="10" t="n">
        <v>0</v>
      </c>
      <c r="E13" s="10" t="n">
        <v>7741.67</v>
      </c>
      <c r="F13" s="10">
        <f>D13+E13</f>
        <v/>
      </c>
      <c r="G13" s="10" t="n">
        <v>0</v>
      </c>
      <c r="H13" s="8">
        <f>IF(ABS(C13+G13-F13)&lt;1,"Sim","Não")</f>
        <v/>
      </c>
      <c r="I13" s="11" t="inlineStr">
        <is>
          <t>Correção: +7.741,67 baixa dos adiantamentos de férias (Matheus 4.063,10; Ana 1.923,89; Fernanda 1.754,68) não exportados</t>
        </is>
      </c>
    </row>
    <row r="15">
      <c r="A15" s="6" t="inlineStr">
        <is>
          <t>Salários + Indenizações + Férias + Estágios a pagar</t>
        </is>
      </c>
    </row>
    <row r="16">
      <c r="B16" s="6" t="inlineStr">
        <is>
          <t>Total</t>
        </is>
      </c>
      <c r="C16" s="12">
        <f>C5+C6+C7+C8</f>
        <v/>
      </c>
      <c r="D16" s="12">
        <f>D5+D6+D7+D8</f>
        <v/>
      </c>
      <c r="F16" s="12">
        <f>F5+F6+F7+F8</f>
        <v/>
      </c>
      <c r="G16" s="12">
        <f>G5+G6+G7+G8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2026-09-28T19:46:26Z</dcterms:created>
  <dcterms:modified xsi:type="dcterms:W3CDTF">2026-09-28T19:46:26Z</dcterms:modified>
</cp:coreProperties>
</file>