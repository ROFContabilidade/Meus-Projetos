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05-2026" sheetId="2" state="visible" r:id="rId2"/>
    <sheet name="06-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-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KORP Filial (145) - Fechamento da folha - Contas patrimoniais</t>
        </is>
      </c>
    </row>
    <row r="2">
      <c r="A2" s="2" t="inlineStr">
        <is>
          <t>Valor pela folha = movimento do mês (crédito - débito). Cada mês tem sua aba com a conferência Folha × TXT.</t>
        </is>
      </c>
    </row>
    <row r="4">
      <c r="A4" s="3" t="inlineStr">
        <is>
          <t>Conta</t>
        </is>
      </c>
      <c r="B4" s="3" t="inlineStr">
        <is>
          <t>Descrição</t>
        </is>
      </c>
      <c r="C4" s="3" t="inlineStr">
        <is>
          <t>05-2026</t>
        </is>
      </c>
      <c r="D4" s="3" t="inlineStr">
        <is>
          <t>06-2026</t>
        </is>
      </c>
      <c r="E4" s="3" t="inlineStr">
        <is>
          <t>07-2026</t>
        </is>
      </c>
      <c r="F4" s="3" t="inlineStr">
        <is>
          <t>08-2026</t>
        </is>
      </c>
      <c r="G4" s="3" t="inlineStr">
        <is>
          <t>09-2026</t>
        </is>
      </c>
      <c r="H4" s="3" t="inlineStr">
        <is>
          <t>10-2026</t>
        </is>
      </c>
      <c r="I4" s="3" t="inlineStr">
        <is>
          <t>11-2026</t>
        </is>
      </c>
      <c r="J4" s="3" t="inlineStr">
        <is>
          <t>12-2026</t>
        </is>
      </c>
    </row>
    <row r="5">
      <c r="A5" s="4" t="inlineStr">
        <is>
          <t>2521</t>
        </is>
      </c>
      <c r="B5" s="4" t="inlineStr">
        <is>
          <t>Salários a Pagar</t>
        </is>
      </c>
      <c r="C5" s="5">
        <f>'05-2026'!C5</f>
        <v/>
      </c>
      <c r="D5" s="5">
        <f>'06-2026'!C5</f>
        <v/>
      </c>
      <c r="E5" s="5" t="n"/>
      <c r="F5" s="5" t="n"/>
      <c r="G5" s="5" t="n"/>
      <c r="H5" s="5" t="n"/>
      <c r="I5" s="5" t="n"/>
      <c r="J5" s="5" t="n"/>
    </row>
    <row r="6">
      <c r="A6" s="4" t="inlineStr">
        <is>
          <t>2523</t>
        </is>
      </c>
      <c r="B6" s="4" t="inlineStr">
        <is>
          <t>Indenizações Trabalhistas (rescisões)</t>
        </is>
      </c>
      <c r="C6" s="5">
        <f>'05-2026'!C6</f>
        <v/>
      </c>
      <c r="D6" s="5">
        <f>'06-2026'!C6</f>
        <v/>
      </c>
      <c r="E6" s="5" t="n"/>
      <c r="F6" s="5" t="n"/>
      <c r="G6" s="5" t="n"/>
      <c r="H6" s="5" t="n"/>
      <c r="I6" s="5" t="n"/>
      <c r="J6" s="5" t="n"/>
    </row>
    <row r="7">
      <c r="A7" s="4" t="inlineStr">
        <is>
          <t>2524</t>
        </is>
      </c>
      <c r="B7" s="4" t="inlineStr">
        <is>
          <t>Férias a Pagar</t>
        </is>
      </c>
      <c r="C7" s="5">
        <f>'05-2026'!C7</f>
        <v/>
      </c>
      <c r="D7" s="5">
        <f>'06-2026'!C7</f>
        <v/>
      </c>
      <c r="E7" s="5" t="n"/>
      <c r="F7" s="5" t="n"/>
      <c r="G7" s="5" t="n"/>
      <c r="H7" s="5" t="n"/>
      <c r="I7" s="5" t="n"/>
      <c r="J7" s="5" t="n"/>
    </row>
    <row r="8">
      <c r="A8" s="4" t="inlineStr">
        <is>
          <t>2526</t>
        </is>
      </c>
      <c r="B8" s="4" t="inlineStr">
        <is>
          <t>Estágios a pagar</t>
        </is>
      </c>
      <c r="C8" s="5">
        <f>'05-2026'!C8</f>
        <v/>
      </c>
      <c r="D8" s="5">
        <f>'06-2026'!C8</f>
        <v/>
      </c>
      <c r="E8" s="5" t="n"/>
      <c r="F8" s="5" t="n"/>
      <c r="G8" s="5" t="n"/>
      <c r="H8" s="5" t="n"/>
      <c r="I8" s="5" t="n"/>
      <c r="J8" s="5" t="n"/>
    </row>
    <row r="9">
      <c r="A9" s="4" t="inlineStr">
        <is>
          <t>2530</t>
        </is>
      </c>
      <c r="B9" s="4" t="inlineStr">
        <is>
          <t>FGTS a Recolher</t>
        </is>
      </c>
      <c r="C9" s="5">
        <f>'05-2026'!C9</f>
        <v/>
      </c>
      <c r="D9" s="5">
        <f>'06-2026'!C9</f>
        <v/>
      </c>
      <c r="E9" s="5" t="n"/>
      <c r="F9" s="5" t="n"/>
      <c r="G9" s="5" t="n"/>
      <c r="H9" s="5" t="n"/>
      <c r="I9" s="5" t="n"/>
      <c r="J9" s="5" t="n"/>
    </row>
    <row r="10">
      <c r="A10" s="4" t="inlineStr">
        <is>
          <t>2531</t>
        </is>
      </c>
      <c r="B10" s="4" t="inlineStr">
        <is>
          <t>INSS a Recolher</t>
        </is>
      </c>
      <c r="C10" s="5">
        <f>'05-2026'!C10</f>
        <v/>
      </c>
      <c r="D10" s="5">
        <f>'06-2026'!C10</f>
        <v/>
      </c>
      <c r="E10" s="5" t="n"/>
      <c r="F10" s="5" t="n"/>
      <c r="G10" s="5" t="n"/>
      <c r="H10" s="5" t="n"/>
      <c r="I10" s="5" t="n"/>
      <c r="J10" s="5" t="n"/>
    </row>
    <row r="11">
      <c r="A11" s="4" t="inlineStr">
        <is>
          <t>2533</t>
        </is>
      </c>
      <c r="B11" s="4" t="inlineStr">
        <is>
          <t>IRRF a Recolher s/ Folha</t>
        </is>
      </c>
      <c r="C11" s="5">
        <f>'05-2026'!C11</f>
        <v/>
      </c>
      <c r="D11" s="5">
        <f>'06-2026'!C11</f>
        <v/>
      </c>
      <c r="E11" s="5" t="n"/>
      <c r="F11" s="5" t="n"/>
      <c r="G11" s="5" t="n"/>
      <c r="H11" s="5" t="n"/>
      <c r="I11" s="5" t="n"/>
      <c r="J11" s="5" t="n"/>
    </row>
    <row r="12">
      <c r="A12" s="4" t="inlineStr">
        <is>
          <t>3137</t>
        </is>
      </c>
      <c r="B12" s="4" t="inlineStr">
        <is>
          <t>Empréstimo a Funcionário (consignado)</t>
        </is>
      </c>
      <c r="C12" s="5">
        <f>'05-2026'!C12</f>
        <v/>
      </c>
      <c r="D12" s="5">
        <f>'06-2026'!C12</f>
        <v/>
      </c>
      <c r="E12" s="5" t="n"/>
      <c r="F12" s="5" t="n"/>
      <c r="G12" s="5" t="n"/>
      <c r="H12" s="5" t="n"/>
      <c r="I12" s="5" t="n"/>
      <c r="J12" s="5" t="n"/>
    </row>
    <row r="13">
      <c r="A13" s="4" t="inlineStr">
        <is>
          <t>2463</t>
        </is>
      </c>
      <c r="B13" s="4" t="inlineStr">
        <is>
          <t>Adiantamento de Férias (ativo)</t>
        </is>
      </c>
      <c r="C13" s="5">
        <f>'05-2026'!C13</f>
        <v/>
      </c>
      <c r="D13" s="5">
        <f>'06-2026'!C13</f>
        <v/>
      </c>
      <c r="E13" s="5" t="n"/>
      <c r="F13" s="5" t="n"/>
      <c r="G13" s="5" t="n"/>
      <c r="H13" s="5" t="n"/>
      <c r="I13" s="5" t="n"/>
      <c r="J13" s="5" t="n"/>
    </row>
    <row r="14">
      <c r="B14" s="6" t="inlineStr">
        <is>
          <t>Confere (TXT após ajustes = folha)?</t>
        </is>
      </c>
      <c r="C14" s="7">
        <f>IF(COUNTIF('05-2026'!H5:H13,"Não")=0,"Sim","Não")</f>
        <v/>
      </c>
      <c r="D14" s="7">
        <f>IF(COUNTIF('06-2026'!H5:H13,"Não")=0,"Sim","Não")</f>
        <v/>
      </c>
      <c r="E14" s="8" t="n"/>
      <c r="F14" s="8" t="n"/>
      <c r="G14" s="8" t="n"/>
      <c r="H14" s="8" t="n"/>
      <c r="I14" s="8" t="n"/>
      <c r="J14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4" customWidth="1" min="4" max="4"/>
    <col width="13" customWidth="1" min="5" max="5"/>
    <col width="14" customWidth="1" min="6" max="6"/>
    <col width="15" customWidth="1" min="7" max="7"/>
    <col width="10" customWidth="1" min="8" max="8"/>
    <col width="90" customWidth="1" min="9" max="9"/>
  </cols>
  <sheetData>
    <row r="1">
      <c r="A1" s="1" t="inlineStr">
        <is>
          <t>KORP Filial (145) - Fechamento da folha - Contas patrimoniais - 05/2026</t>
        </is>
      </c>
    </row>
    <row r="2">
      <c r="A2" s="2" t="inlineStr">
        <is>
          <t>Liquido do extrato 05/2026: 83.431,14 (sem rescisões). Situação: TXT corrigido gerado e importado na Korp.</t>
        </is>
      </c>
    </row>
    <row r="4">
      <c r="A4" s="3" t="inlineStr">
        <is>
          <t>Conta</t>
        </is>
      </c>
      <c r="B4" s="3" t="inlineStr">
        <is>
          <t>Descrição</t>
        </is>
      </c>
      <c r="C4" s="3" t="inlineStr">
        <is>
          <t>Valor pela folha (extrato)</t>
        </is>
      </c>
      <c r="D4" s="3" t="inlineStr">
        <is>
          <t>Valor no TXT</t>
        </is>
      </c>
      <c r="E4" s="3" t="inlineStr">
        <is>
          <t>Diferença</t>
        </is>
      </c>
      <c r="F4" s="3" t="inlineStr">
        <is>
          <t>Ajustes identificados</t>
        </is>
      </c>
      <c r="G4" s="3" t="inlineStr">
        <is>
          <t>TXT após ajustes</t>
        </is>
      </c>
      <c r="H4" s="3" t="inlineStr">
        <is>
          <t>Confere?</t>
        </is>
      </c>
      <c r="I4" s="3" t="inlineStr">
        <is>
          <t>Composição dos ajustes</t>
        </is>
      </c>
    </row>
    <row r="5" ht="42" customHeight="1">
      <c r="A5" s="9" t="inlineStr">
        <is>
          <t>2521</t>
        </is>
      </c>
      <c r="B5" s="10" t="inlineStr">
        <is>
          <t>Salários a Pagar</t>
        </is>
      </c>
      <c r="C5" s="11" t="n">
        <v>78487.17999999999</v>
      </c>
      <c r="D5" s="11" t="n">
        <v>78065.32000000001</v>
      </c>
      <c r="E5" s="11">
        <f>C5-D5</f>
        <v/>
      </c>
      <c r="F5" s="11" t="n">
        <v>421.86</v>
      </c>
      <c r="G5" s="11">
        <f>D5+F5</f>
        <v/>
      </c>
      <c r="H5" s="9">
        <f>IF(ABS(C5-G5)&lt;1,"Sim","Não")</f>
        <v/>
      </c>
      <c r="I5" s="12" t="inlineStr">
        <is>
          <t>+3.180,00 salário do Bruno (8781, CC 5) com D/C na mesma conta; -2.961,30 bolsas DES (CC 7 e 13) que vão para 2526; +203,16 afastamento do Michael (CC 8) lançado invertido</t>
        </is>
      </c>
    </row>
    <row r="6" ht="42" customHeight="1">
      <c r="A6" s="9" t="inlineStr">
        <is>
          <t>2523</t>
        </is>
      </c>
      <c r="B6" s="10" t="inlineStr">
        <is>
          <t>Indenizações Trabalhistas (rescisões)</t>
        </is>
      </c>
      <c r="C6" s="11" t="n">
        <v>0</v>
      </c>
      <c r="D6" s="11" t="n">
        <v>0</v>
      </c>
      <c r="E6" s="11">
        <f>C6-D6</f>
        <v/>
      </c>
      <c r="F6" s="11" t="n">
        <v>0</v>
      </c>
      <c r="G6" s="11">
        <f>D6+F6</f>
        <v/>
      </c>
      <c r="H6" s="9">
        <f>IF(ABS(C6-G6)&lt;1,"Sim","Não")</f>
        <v/>
      </c>
      <c r="I6" s="12" t="inlineStr">
        <is>
          <t>Sem rescisões em 05/2026</t>
        </is>
      </c>
    </row>
    <row r="7" ht="42" customHeight="1">
      <c r="A7" s="9" t="inlineStr">
        <is>
          <t>2524</t>
        </is>
      </c>
      <c r="B7" s="10" t="inlineStr">
        <is>
          <t>Férias a Pagar</t>
        </is>
      </c>
      <c r="C7" s="11" t="n">
        <v>-188.76</v>
      </c>
      <c r="D7" s="11" t="n">
        <v>4146.44</v>
      </c>
      <c r="E7" s="11">
        <f>C7-D7</f>
        <v/>
      </c>
      <c r="F7" s="11" t="n">
        <v>-4335.2</v>
      </c>
      <c r="G7" s="11">
        <f>D7+F7</f>
        <v/>
      </c>
      <c r="H7" s="9">
        <f>IF(ABS(C7-G7)&lt;1,"Sim","Não")</f>
        <v/>
      </c>
      <c r="I7" s="12" t="inlineStr">
        <is>
          <t>+651,08 férias da Atalia não exportadas; -60,24 INSS férias Atalia; -4.926,04 adiantamento de férias (Ana Paula, Atalia, Fernanda) não exportado. Saldo devedor: o adiantamento foi pago antes da folha</t>
        </is>
      </c>
    </row>
    <row r="8" ht="42" customHeight="1">
      <c r="A8" s="9" t="inlineStr">
        <is>
          <t>2526</t>
        </is>
      </c>
      <c r="B8" s="10" t="inlineStr">
        <is>
          <t>Estágios a pagar</t>
        </is>
      </c>
      <c r="C8" s="11" t="n">
        <v>5132.72</v>
      </c>
      <c r="D8" s="11" t="n">
        <v>2171.42</v>
      </c>
      <c r="E8" s="11">
        <f>C8-D8</f>
        <v/>
      </c>
      <c r="F8" s="11" t="n">
        <v>2961.3</v>
      </c>
      <c r="G8" s="11">
        <f>D8+F8</f>
        <v/>
      </c>
      <c r="H8" s="9">
        <f>IF(ABS(C8-G8)&lt;1,"Sim","Não")</f>
        <v/>
      </c>
      <c r="I8" s="12" t="inlineStr">
        <is>
          <t>+2.961,30 bolsas DES (CC 7 e 13) creditadas em 2521</t>
        </is>
      </c>
    </row>
    <row r="9" ht="16" customHeight="1">
      <c r="A9" s="9" t="inlineStr">
        <is>
          <t>2530</t>
        </is>
      </c>
      <c r="B9" s="10" t="inlineStr">
        <is>
          <t>FGTS a Recolher</t>
        </is>
      </c>
      <c r="C9" s="11" t="n">
        <v>7558.72</v>
      </c>
      <c r="D9" s="11" t="n">
        <v>7558.72</v>
      </c>
      <c r="E9" s="11">
        <f>C9-D9</f>
        <v/>
      </c>
      <c r="F9" s="11" t="n">
        <v>0</v>
      </c>
      <c r="G9" s="11">
        <f>D9+F9</f>
        <v/>
      </c>
      <c r="H9" s="9">
        <f>IF(ABS(C9-G9)&lt;1,"Sim","Não")</f>
        <v/>
      </c>
      <c r="I9" s="12" t="inlineStr"/>
    </row>
    <row r="10" ht="42" customHeight="1">
      <c r="A10" s="9" t="inlineStr">
        <is>
          <t>2531</t>
        </is>
      </c>
      <c r="B10" s="10" t="inlineStr">
        <is>
          <t>INSS a Recolher</t>
        </is>
      </c>
      <c r="C10" s="11" t="n">
        <v>34220.62</v>
      </c>
      <c r="D10" s="11" t="n">
        <v>33988.79</v>
      </c>
      <c r="E10" s="11">
        <f>C10-D10</f>
        <v/>
      </c>
      <c r="F10" s="11" t="n">
        <v>231.5</v>
      </c>
      <c r="G10" s="11">
        <f>D10+F10</f>
        <v/>
      </c>
      <c r="H10" s="9">
        <f>IF(ABS(C10-G10)&lt;1,"Sim","Não")</f>
        <v/>
      </c>
      <c r="I10" s="12" t="inlineStr">
        <is>
          <t>+171,26 INSS férias Fernanda lançado em 3017; +60,24 INSS férias Atalia não exportado; 0,33 restante = arredondamento</t>
        </is>
      </c>
    </row>
    <row r="11" ht="16" customHeight="1">
      <c r="A11" s="9" t="inlineStr">
        <is>
          <t>2533</t>
        </is>
      </c>
      <c r="B11" s="10" t="inlineStr">
        <is>
          <t>IRRF a Recolher s/ Folha</t>
        </is>
      </c>
      <c r="C11" s="11" t="n">
        <v>1039.26</v>
      </c>
      <c r="D11" s="11" t="n">
        <v>1039.26</v>
      </c>
      <c r="E11" s="11">
        <f>C11-D11</f>
        <v/>
      </c>
      <c r="F11" s="11" t="n">
        <v>0</v>
      </c>
      <c r="G11" s="11">
        <f>D11+F11</f>
        <v/>
      </c>
      <c r="H11" s="9">
        <f>IF(ABS(C11-G11)&lt;1,"Sim","Não")</f>
        <v/>
      </c>
      <c r="I11" s="12" t="inlineStr"/>
    </row>
    <row r="12" ht="16" customHeight="1">
      <c r="A12" s="9" t="inlineStr">
        <is>
          <t>3137</t>
        </is>
      </c>
      <c r="B12" s="10" t="inlineStr">
        <is>
          <t>Empréstimo a Funcionário (consignado)</t>
        </is>
      </c>
      <c r="C12" s="11" t="n">
        <v>1990.95</v>
      </c>
      <c r="D12" s="11" t="n">
        <v>1990.95</v>
      </c>
      <c r="E12" s="11">
        <f>C12-D12</f>
        <v/>
      </c>
      <c r="F12" s="11" t="n">
        <v>0</v>
      </c>
      <c r="G12" s="11">
        <f>D12+F12</f>
        <v/>
      </c>
      <c r="H12" s="9">
        <f>IF(ABS(C12-G12)&lt;1,"Sim","Não")</f>
        <v/>
      </c>
      <c r="I12" s="12" t="inlineStr"/>
    </row>
    <row r="13" ht="42" customHeight="1">
      <c r="A13" s="9" t="inlineStr">
        <is>
          <t>2463</t>
        </is>
      </c>
      <c r="B13" s="10" t="inlineStr">
        <is>
          <t>Adiantamento de Férias (ativo)</t>
        </is>
      </c>
      <c r="C13" s="11" t="n">
        <v>4926.04</v>
      </c>
      <c r="D13" s="11" t="n">
        <v>0</v>
      </c>
      <c r="E13" s="11">
        <f>C13-D13</f>
        <v/>
      </c>
      <c r="F13" s="11" t="n">
        <v>4926.04</v>
      </c>
      <c r="G13" s="11">
        <f>D13+F13</f>
        <v/>
      </c>
      <c r="H13" s="9">
        <f>IF(ABS(C13-G13)&lt;1,"Sim","Não")</f>
        <v/>
      </c>
      <c r="I13" s="12" t="inlineStr">
        <is>
          <t>Baixa do adiantamento de férias (Ana Paula 2.333,33; Atalia 590,84; Fernanda 2.001,87) não exportada</t>
        </is>
      </c>
    </row>
    <row r="15">
      <c r="A15" s="6" t="inlineStr">
        <is>
          <t>Salários + Indenizações + Férias + Estágios a pagar</t>
        </is>
      </c>
    </row>
    <row r="16">
      <c r="B16" s="6" t="inlineStr">
        <is>
          <t>Total</t>
        </is>
      </c>
      <c r="C16" s="13">
        <f>C5+C6+C7+C8</f>
        <v/>
      </c>
      <c r="D16" s="13">
        <f>D5+D6+D7+D8</f>
        <v/>
      </c>
      <c r="G16" s="13">
        <f>G5+G6+G7+G8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4" customWidth="1" min="4" max="4"/>
    <col width="13" customWidth="1" min="5" max="5"/>
    <col width="14" customWidth="1" min="6" max="6"/>
    <col width="15" customWidth="1" min="7" max="7"/>
    <col width="10" customWidth="1" min="8" max="8"/>
    <col width="90" customWidth="1" min="9" max="9"/>
  </cols>
  <sheetData>
    <row r="1">
      <c r="A1" s="1" t="inlineStr">
        <is>
          <t>KORP Filial (145) - Fechamento da folha - Contas patrimoniais - 06/2026</t>
        </is>
      </c>
    </row>
    <row r="2">
      <c r="A2" s="2" t="inlineStr">
        <is>
          <t>Líquido do extrato 06/2026: 87.618,90 + rescisões 7.698,37. Horas extras 100% do Bruno (fora do extrato) mantidas por decisão e somadas ao valor pela folha.</t>
        </is>
      </c>
    </row>
    <row r="4">
      <c r="A4" s="3" t="inlineStr">
        <is>
          <t>Conta</t>
        </is>
      </c>
      <c r="B4" s="3" t="inlineStr">
        <is>
          <t>Descrição</t>
        </is>
      </c>
      <c r="C4" s="3" t="inlineStr">
        <is>
          <t>Valor pela folha (extrato)</t>
        </is>
      </c>
      <c r="D4" s="3" t="inlineStr">
        <is>
          <t>Valor no TXT</t>
        </is>
      </c>
      <c r="E4" s="3" t="inlineStr">
        <is>
          <t>Diferença</t>
        </is>
      </c>
      <c r="F4" s="3" t="inlineStr">
        <is>
          <t>Ajustes identificados</t>
        </is>
      </c>
      <c r="G4" s="3" t="inlineStr">
        <is>
          <t>TXT após ajustes</t>
        </is>
      </c>
      <c r="H4" s="3" t="inlineStr">
        <is>
          <t>Confere?</t>
        </is>
      </c>
      <c r="I4" s="3" t="inlineStr">
        <is>
          <t>Composição dos ajustes</t>
        </is>
      </c>
    </row>
    <row r="5" ht="42" customHeight="1">
      <c r="A5" s="9" t="inlineStr">
        <is>
          <t>2521</t>
        </is>
      </c>
      <c r="B5" s="10" t="inlineStr">
        <is>
          <t>Salários a Pagar</t>
        </is>
      </c>
      <c r="C5" s="11" t="n">
        <v>78617.06</v>
      </c>
      <c r="D5" s="11" t="n">
        <v>82721.06</v>
      </c>
      <c r="E5" s="11">
        <f>C5-D5</f>
        <v/>
      </c>
      <c r="F5" s="11" t="n">
        <v>-4104</v>
      </c>
      <c r="G5" s="11">
        <f>D5+F5</f>
        <v/>
      </c>
      <c r="H5" s="9">
        <f>IF(ABS(C5-G5)&lt;1,"Sim","Não")</f>
        <v/>
      </c>
      <c r="I5" s="12" t="inlineStr">
        <is>
          <t>Folha = extrato 78.436,90 + 180,16 horas extras do Bruno mantidas. Ajustes: -6.790,00 bolsas (CC 7, 13 e 16) para 2526; +2.756,00 salário do Bruno (8781, CC 5) com D/C na mesma conta; -70,00 contribuição do CC 14 invertida</t>
        </is>
      </c>
    </row>
    <row r="6" ht="42" customHeight="1">
      <c r="A6" s="9" t="inlineStr">
        <is>
          <t>2523</t>
        </is>
      </c>
      <c r="B6" s="10" t="inlineStr">
        <is>
          <t>Indenizações Trabalhistas (rescisões)</t>
        </is>
      </c>
      <c r="C6" s="11" t="n">
        <v>7698.37</v>
      </c>
      <c r="D6" s="11" t="n">
        <v>1982.4</v>
      </c>
      <c r="E6" s="11">
        <f>C6-D6</f>
        <v/>
      </c>
      <c r="F6" s="11" t="n">
        <v>5715.97</v>
      </c>
      <c r="G6" s="11">
        <f>D6+F6</f>
        <v/>
      </c>
      <c r="H6" s="9">
        <f>IF(ABS(C6-G6)&lt;1,"Sim","Não")</f>
        <v/>
      </c>
      <c r="I6" s="12" t="inlineStr">
        <is>
          <t>+5.583,50 rescisão do Antônio Henrique (CC 7) não exportada; +132,47 lançados nas contas 252/253 (rescisões Edgard e Marina)</t>
        </is>
      </c>
    </row>
    <row r="7" ht="42" customHeight="1">
      <c r="A7" s="9" t="inlineStr">
        <is>
          <t>2524</t>
        </is>
      </c>
      <c r="B7" s="10" t="inlineStr">
        <is>
          <t>Férias a Pagar</t>
        </is>
      </c>
      <c r="C7" s="11" t="n">
        <v>0</v>
      </c>
      <c r="D7" s="11" t="n">
        <v>0</v>
      </c>
      <c r="E7" s="11">
        <f>C7-D7</f>
        <v/>
      </c>
      <c r="F7" s="11" t="n">
        <v>0</v>
      </c>
      <c r="G7" s="11">
        <f>D7+F7</f>
        <v/>
      </c>
      <c r="H7" s="9">
        <f>IF(ABS(C7-G7)&lt;1,"Sim","Não")</f>
        <v/>
      </c>
      <c r="I7" s="12" t="inlineStr">
        <is>
          <t>Sem férias na folha de 06/2026</t>
        </is>
      </c>
    </row>
    <row r="8" ht="42" customHeight="1">
      <c r="A8" s="9" t="inlineStr">
        <is>
          <t>2526</t>
        </is>
      </c>
      <c r="B8" s="10" t="inlineStr">
        <is>
          <t>Estágios a pagar</t>
        </is>
      </c>
      <c r="C8" s="11" t="n">
        <v>9182</v>
      </c>
      <c r="D8" s="11" t="n">
        <v>2392</v>
      </c>
      <c r="E8" s="11">
        <f>C8-D8</f>
        <v/>
      </c>
      <c r="F8" s="11" t="n">
        <v>6790</v>
      </c>
      <c r="G8" s="11">
        <f>D8+F8</f>
        <v/>
      </c>
      <c r="H8" s="9">
        <f>IF(ABS(C8-G8)&lt;1,"Sim","Não")</f>
        <v/>
      </c>
      <c r="I8" s="12" t="inlineStr">
        <is>
          <t>+6.790,00 bolsas creditadas em 2521 (CC 7: 2.890,00; CC 13: 2.600,00; CC 16: 1.300,00)</t>
        </is>
      </c>
    </row>
    <row r="9" ht="42" customHeight="1">
      <c r="A9" s="9" t="inlineStr">
        <is>
          <t>2530</t>
        </is>
      </c>
      <c r="B9" s="10" t="inlineStr">
        <is>
          <t>FGTS a Recolher</t>
        </is>
      </c>
      <c r="C9" s="11" t="n">
        <v>8003.69</v>
      </c>
      <c r="D9" s="11" t="n">
        <v>7466.04</v>
      </c>
      <c r="E9" s="11">
        <f>C9-D9</f>
        <v/>
      </c>
      <c r="F9" s="11" t="n">
        <v>537.65</v>
      </c>
      <c r="G9" s="11">
        <f>D9+F9</f>
        <v/>
      </c>
      <c r="H9" s="9">
        <f>IF(ABS(C9-G9)&lt;1,"Sim","Não")</f>
        <v/>
      </c>
      <c r="I9" s="12" t="inlineStr">
        <is>
          <t>Folha = Valor do FGTS 7.449,67 + FGTS rescisório do Antônio Henrique 537,65 + 16,37 horas extras do Bruno mantidas. Ajuste: +537,65 FGTS da rescisão do Antônio não exportado</t>
        </is>
      </c>
    </row>
    <row r="10" ht="42" customHeight="1">
      <c r="A10" s="9" t="inlineStr">
        <is>
          <t>2531</t>
        </is>
      </c>
      <c r="B10" s="10" t="inlineStr">
        <is>
          <t>INSS a Recolher</t>
        </is>
      </c>
      <c r="C10" s="11" t="n">
        <v>34963.59</v>
      </c>
      <c r="D10" s="11" t="n">
        <v>34648.06</v>
      </c>
      <c r="E10" s="11">
        <f>C10-D10</f>
        <v/>
      </c>
      <c r="F10" s="11" t="n">
        <v>315.15</v>
      </c>
      <c r="G10" s="11">
        <f>D10+F10</f>
        <v/>
      </c>
      <c r="H10" s="9">
        <f>IF(ABS(C10-G10)&lt;1,"Sim","Não")</f>
        <v/>
      </c>
      <c r="I10" s="12" t="inlineStr">
        <is>
          <t>Folha = Total INSS 34.884,20 + 79,39 horas extras do Bruno mantidas. Ajuste: +315,15 INSS da rescisão do Antônio Henrique; 0,38 restante = arredondamento</t>
        </is>
      </c>
    </row>
    <row r="11" ht="16" customHeight="1">
      <c r="A11" s="9" t="inlineStr">
        <is>
          <t>2533</t>
        </is>
      </c>
      <c r="B11" s="10" t="inlineStr">
        <is>
          <t>IRRF a Recolher s/ Folha</t>
        </is>
      </c>
      <c r="C11" s="11" t="n">
        <v>833.86</v>
      </c>
      <c r="D11" s="11" t="n">
        <v>833.86</v>
      </c>
      <c r="E11" s="11">
        <f>C11-D11</f>
        <v/>
      </c>
      <c r="F11" s="11" t="n">
        <v>0</v>
      </c>
      <c r="G11" s="11">
        <f>D11+F11</f>
        <v/>
      </c>
      <c r="H11" s="9">
        <f>IF(ABS(C11-G11)&lt;1,"Sim","Não")</f>
        <v/>
      </c>
      <c r="I11" s="12" t="inlineStr"/>
    </row>
    <row r="12" ht="16" customHeight="1">
      <c r="A12" s="9" t="inlineStr">
        <is>
          <t>3137</t>
        </is>
      </c>
      <c r="B12" s="10" t="inlineStr">
        <is>
          <t>Empréstimo a Funcionário (consignado)</t>
        </is>
      </c>
      <c r="C12" s="11" t="n">
        <v>2248.56</v>
      </c>
      <c r="D12" s="11" t="n">
        <v>2248.56</v>
      </c>
      <c r="E12" s="11">
        <f>C12-D12</f>
        <v/>
      </c>
      <c r="F12" s="11" t="n">
        <v>0</v>
      </c>
      <c r="G12" s="11">
        <f>D12+F12</f>
        <v/>
      </c>
      <c r="H12" s="9">
        <f>IF(ABS(C12-G12)&lt;1,"Sim","Não")</f>
        <v/>
      </c>
      <c r="I12" s="12" t="inlineStr"/>
    </row>
    <row r="13" ht="42" customHeight="1">
      <c r="A13" s="9" t="inlineStr">
        <is>
          <t>2463</t>
        </is>
      </c>
      <c r="B13" s="10" t="inlineStr">
        <is>
          <t>Adiantamento de Férias (ativo)</t>
        </is>
      </c>
      <c r="C13" s="11" t="n">
        <v>0</v>
      </c>
      <c r="D13" s="11" t="n">
        <v>0</v>
      </c>
      <c r="E13" s="11">
        <f>C13-D13</f>
        <v/>
      </c>
      <c r="F13" s="11" t="n">
        <v>0</v>
      </c>
      <c r="G13" s="11">
        <f>D13+F13</f>
        <v/>
      </c>
      <c r="H13" s="9">
        <f>IF(ABS(C13-G13)&lt;1,"Sim","Não")</f>
        <v/>
      </c>
      <c r="I13" s="12" t="inlineStr">
        <is>
          <t>Sem adiantamento de férias descontado em 06/2026</t>
        </is>
      </c>
    </row>
    <row r="15">
      <c r="A15" s="6" t="inlineStr">
        <is>
          <t>Salários + Indenizações + Férias + Estágios a pagar</t>
        </is>
      </c>
    </row>
    <row r="16">
      <c r="B16" s="6" t="inlineStr">
        <is>
          <t>Total</t>
        </is>
      </c>
      <c r="C16" s="13">
        <f>C5+C6+C7+C8</f>
        <v/>
      </c>
      <c r="D16" s="13">
        <f>D5+D6+D7+D8</f>
        <v/>
      </c>
      <c r="G16" s="13">
        <f>G5+G6+G7+G8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2026-09-28T15:32:10Z</dcterms:created>
  <dcterms:modified xsi:type="dcterms:W3CDTF">2026-09-28T15:32:10Z</dcterms:modified>
</cp:coreProperties>
</file>