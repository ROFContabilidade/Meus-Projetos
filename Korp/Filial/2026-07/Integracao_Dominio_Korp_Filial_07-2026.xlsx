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ções 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4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6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2" customWidth="1" min="9" max="9"/>
    <col width="46" customWidth="1" min="10" max="10"/>
    <col width="11" customWidth="1" min="11" max="11"/>
    <col width="34" customWidth="1" min="12" max="12"/>
  </cols>
  <sheetData>
    <row r="1">
      <c r="A1" s="1" t="inlineStr">
        <is>
          <t>KORP Filial (145) - Folha 07/2026 - Correções na integração do Domínio</t>
        </is>
      </c>
    </row>
    <row r="2">
      <c r="A2" s="2" t="inlineStr">
        <is>
          <t>Preencha apenas as colunas amarelas ("Corrigido?" e "Observação"). Células laranja = aguardando confirmação.</t>
        </is>
      </c>
    </row>
    <row r="4">
      <c r="A4" s="3" t="inlineStr">
        <is>
          <t>Valor</t>
        </is>
      </c>
      <c r="B4" s="3" t="inlineStr">
        <is>
          <t>CC Domínio</t>
        </is>
      </c>
      <c r="C4" s="3" t="inlineStr">
        <is>
          <t>Rubrica</t>
        </is>
      </c>
      <c r="D4" s="3" t="inlineStr">
        <is>
          <t>Aba Domínio</t>
        </is>
      </c>
      <c r="E4" s="3" t="inlineStr">
        <is>
          <t>Débito atual</t>
        </is>
      </c>
      <c r="F4" s="3" t="inlineStr">
        <is>
          <t>Crédito atual</t>
        </is>
      </c>
      <c r="G4" s="3" t="inlineStr">
        <is>
          <t>Débito sugerido</t>
        </is>
      </c>
      <c r="H4" s="3" t="inlineStr">
        <is>
          <t>Crédito sugerido</t>
        </is>
      </c>
      <c r="I4" s="3" t="inlineStr">
        <is>
          <t>Já ocorreu no mês anterior?</t>
        </is>
      </c>
      <c r="J4" s="3" t="inlineStr">
        <is>
          <t>Nota</t>
        </is>
      </c>
      <c r="K4" s="3" t="inlineStr">
        <is>
          <t>Corrigido?</t>
        </is>
      </c>
      <c r="L4" s="3" t="inlineStr">
        <is>
          <t>Observação</t>
        </is>
      </c>
    </row>
    <row r="5">
      <c r="A5" s="4" t="n">
        <v>35</v>
      </c>
      <c r="B5" s="5" t="inlineStr">
        <is>
          <t>5 - COM BRUNO ECKS</t>
        </is>
      </c>
      <c r="C5" s="5" t="inlineStr">
        <is>
          <t>690 - CONTRIBUIÇÃO ASSISTENCIAL</t>
        </is>
      </c>
      <c r="D5" s="6" t="inlineStr">
        <is>
          <t>Folha</t>
        </is>
      </c>
      <c r="E5" s="6" t="inlineStr">
        <is>
          <t>2521</t>
        </is>
      </c>
      <c r="F5" s="6" t="inlineStr">
        <is>
          <t>2867</t>
        </is>
      </c>
      <c r="G5" s="6" t="inlineStr">
        <is>
          <t>2521</t>
        </is>
      </c>
      <c r="H5" s="6" t="inlineStr">
        <is>
          <t>3148</t>
        </is>
      </c>
      <c r="I5" s="6" t="inlineStr">
        <is>
          <t>Sim</t>
        </is>
      </c>
      <c r="J5" s="7" t="inlineStr"/>
      <c r="K5" s="8" t="inlineStr"/>
      <c r="L5" s="9" t="inlineStr"/>
    </row>
    <row r="6">
      <c r="A6" s="4" t="n">
        <v>2261.9</v>
      </c>
      <c r="B6" s="5" t="inlineStr">
        <is>
          <t>5 - COM BRUNO ECKS</t>
        </is>
      </c>
      <c r="C6" s="5" t="inlineStr">
        <is>
          <t>8781 - DIAS NORMAIS</t>
        </is>
      </c>
      <c r="D6" s="6" t="inlineStr">
        <is>
          <t>Folha</t>
        </is>
      </c>
      <c r="E6" s="6" t="inlineStr">
        <is>
          <t>2323</t>
        </is>
      </c>
      <c r="F6" s="6" t="inlineStr">
        <is>
          <t>2323</t>
        </is>
      </c>
      <c r="G6" s="6" t="inlineStr">
        <is>
          <t>2323</t>
        </is>
      </c>
      <c r="H6" s="6" t="inlineStr">
        <is>
          <t>2521</t>
        </is>
      </c>
      <c r="I6" s="6" t="inlineStr">
        <is>
          <t>Sim</t>
        </is>
      </c>
      <c r="J6" s="7" t="inlineStr">
        <is>
          <t>Débito e crédito na mesma conta</t>
        </is>
      </c>
      <c r="K6" s="8" t="inlineStr"/>
      <c r="L6" s="9" t="inlineStr"/>
    </row>
    <row r="7">
      <c r="A7" s="4" t="n">
        <v>500</v>
      </c>
      <c r="B7" s="5" t="inlineStr">
        <is>
          <t>5 - COM BRUNO ECKS</t>
        </is>
      </c>
      <c r="C7" s="5" t="inlineStr">
        <is>
          <t>853 - REFLEXO COMISSOES DSR.</t>
        </is>
      </c>
      <c r="D7" s="6" t="inlineStr">
        <is>
          <t>Folha</t>
        </is>
      </c>
      <c r="E7" s="6" t="inlineStr">
        <is>
          <t>2867</t>
        </is>
      </c>
      <c r="F7" s="6" t="inlineStr">
        <is>
          <t>2524</t>
        </is>
      </c>
      <c r="G7" s="6" t="inlineStr">
        <is>
          <t>2867</t>
        </is>
      </c>
      <c r="H7" s="6" t="inlineStr">
        <is>
          <t>2521</t>
        </is>
      </c>
      <c r="I7" s="6" t="inlineStr">
        <is>
          <t>Não</t>
        </is>
      </c>
      <c r="J7" s="7" t="inlineStr">
        <is>
          <t>DSR de comissão creditado em Férias a Pagar</t>
        </is>
      </c>
      <c r="K7" s="8" t="inlineStr"/>
      <c r="L7" s="9" t="inlineStr"/>
    </row>
    <row r="8">
      <c r="A8" s="4" t="n">
        <v>51.29</v>
      </c>
      <c r="B8" s="5" t="inlineStr">
        <is>
          <t>5 - COM BRUNO ECKS</t>
        </is>
      </c>
      <c r="C8" s="5" t="inlineStr">
        <is>
          <t>940 - DIFERENCA DE FERIAS</t>
        </is>
      </c>
      <c r="D8" s="6" t="inlineStr">
        <is>
          <t>Folha</t>
        </is>
      </c>
      <c r="E8" s="6" t="inlineStr">
        <is>
          <t>2867</t>
        </is>
      </c>
      <c r="F8" s="6" t="inlineStr">
        <is>
          <t>2524</t>
        </is>
      </c>
      <c r="G8" s="6" t="inlineStr">
        <is>
          <t>2576</t>
        </is>
      </c>
      <c r="H8" s="6" t="inlineStr">
        <is>
          <t>2521</t>
        </is>
      </c>
      <c r="I8" s="6" t="inlineStr">
        <is>
          <t>Não</t>
        </is>
      </c>
      <c r="J8" s="7" t="inlineStr">
        <is>
          <t>Diferença de férias paga na folha: débito em Férias (comercial), crédito em Salários a Pagar</t>
        </is>
      </c>
      <c r="K8" s="8" t="inlineStr"/>
      <c r="L8" s="9" t="inlineStr"/>
    </row>
    <row r="9">
      <c r="A9" s="4" t="n">
        <v>17.12</v>
      </c>
      <c r="B9" s="5" t="inlineStr">
        <is>
          <t>5 - COM BRUNO ECKS</t>
        </is>
      </c>
      <c r="C9" s="5" t="inlineStr">
        <is>
          <t>8112 - DIFERENCA DE 1/3 DE FERIAS</t>
        </is>
      </c>
      <c r="D9" s="6" t="inlineStr">
        <is>
          <t>Folha</t>
        </is>
      </c>
      <c r="E9" s="6" t="inlineStr">
        <is>
          <t>2867</t>
        </is>
      </c>
      <c r="F9" s="6" t="inlineStr">
        <is>
          <t>2524</t>
        </is>
      </c>
      <c r="G9" s="6" t="inlineStr">
        <is>
          <t>2576</t>
        </is>
      </c>
      <c r="H9" s="6" t="inlineStr">
        <is>
          <t>2521</t>
        </is>
      </c>
      <c r="I9" s="6" t="inlineStr">
        <is>
          <t>Não</t>
        </is>
      </c>
      <c r="J9" s="7" t="inlineStr">
        <is>
          <t>Idem</t>
        </is>
      </c>
      <c r="K9" s="8" t="inlineStr"/>
      <c r="L9" s="9" t="inlineStr"/>
    </row>
    <row r="10">
      <c r="A10" s="4" t="n">
        <v>0.08</v>
      </c>
      <c r="B10" s="5" t="inlineStr">
        <is>
          <t>5 - COM BRUNO ECKS</t>
        </is>
      </c>
      <c r="C10" s="5" t="inlineStr">
        <is>
          <t>8189 - DIFERENCA MEDIA HORA FERIAS</t>
        </is>
      </c>
      <c r="D10" s="6" t="inlineStr">
        <is>
          <t>Folha</t>
        </is>
      </c>
      <c r="E10" s="6" t="inlineStr">
        <is>
          <t>2867</t>
        </is>
      </c>
      <c r="F10" s="6" t="inlineStr">
        <is>
          <t>2524</t>
        </is>
      </c>
      <c r="G10" s="6" t="inlineStr">
        <is>
          <t>2576</t>
        </is>
      </c>
      <c r="H10" s="6" t="inlineStr">
        <is>
          <t>2521</t>
        </is>
      </c>
      <c r="I10" s="6" t="inlineStr">
        <is>
          <t>Não</t>
        </is>
      </c>
      <c r="J10" s="7" t="inlineStr">
        <is>
          <t>Idem</t>
        </is>
      </c>
      <c r="K10" s="8" t="inlineStr"/>
      <c r="L10" s="9" t="inlineStr"/>
    </row>
    <row r="11">
      <c r="A11" s="4" t="n">
        <v>168.98</v>
      </c>
      <c r="B11" s="5" t="inlineStr">
        <is>
          <t>5 - COM BRUNO ECKS</t>
        </is>
      </c>
      <c r="C11" s="5" t="inlineStr">
        <is>
          <t>812 - INSS FERIAS</t>
        </is>
      </c>
      <c r="D11" s="6" t="inlineStr">
        <is>
          <t>Férias</t>
        </is>
      </c>
      <c r="E11" s="6" t="inlineStr">
        <is>
          <t>2524</t>
        </is>
      </c>
      <c r="F11" s="6" t="inlineStr">
        <is>
          <t>2576</t>
        </is>
      </c>
      <c r="G11" s="6" t="inlineStr">
        <is>
          <t>2524</t>
        </is>
      </c>
      <c r="H11" s="6" t="inlineStr">
        <is>
          <t>2531</t>
        </is>
      </c>
      <c r="I11" s="6" t="inlineStr">
        <is>
          <t>Não</t>
        </is>
      </c>
      <c r="J11" s="7" t="inlineStr">
        <is>
          <t>INSS das férias creditado em despesa (férias pagas em 03/07)</t>
        </is>
      </c>
      <c r="K11" s="8" t="inlineStr"/>
      <c r="L11" s="9" t="inlineStr"/>
    </row>
    <row r="12">
      <c r="A12" s="4" t="n">
        <v>1978.86</v>
      </c>
      <c r="B12" s="5" t="inlineStr">
        <is>
          <t>5 - COM BRUNO ECKS</t>
        </is>
      </c>
      <c r="C12" s="5" t="inlineStr">
        <is>
          <t>937 - ADIANTAMENTO DE FERIAS</t>
        </is>
      </c>
      <c r="D12" s="6" t="inlineStr">
        <is>
          <t>Folha</t>
        </is>
      </c>
      <c r="E12" s="6" t="inlineStr">
        <is>
          <t>Não lançado</t>
        </is>
      </c>
      <c r="F12" s="6" t="inlineStr">
        <is>
          <t>Não lançado</t>
        </is>
      </c>
      <c r="G12" s="6" t="inlineStr">
        <is>
          <t>2524</t>
        </is>
      </c>
      <c r="H12" s="6" t="inlineStr">
        <is>
          <t>2463</t>
        </is>
      </c>
      <c r="I12" s="6" t="inlineStr">
        <is>
          <t>Sim</t>
        </is>
      </c>
      <c r="J12" s="7" t="inlineStr">
        <is>
          <t>Em 05/2026 faltou no CC 8</t>
        </is>
      </c>
      <c r="K12" s="8" t="inlineStr"/>
      <c r="L12" s="9" t="inlineStr"/>
    </row>
    <row r="13">
      <c r="A13" s="4" t="n">
        <v>1287.6</v>
      </c>
      <c r="B13" s="5" t="inlineStr">
        <is>
          <t>5 - COM BRUNO ECKS</t>
        </is>
      </c>
      <c r="C13" s="5" t="inlineStr">
        <is>
          <t>INSS Empresa (encargo)</t>
        </is>
      </c>
      <c r="D13" s="6" t="inlineStr">
        <is>
          <t>Empresa</t>
        </is>
      </c>
      <c r="E13" s="6" t="inlineStr">
        <is>
          <t>3143</t>
        </is>
      </c>
      <c r="F13" s="6" t="inlineStr">
        <is>
          <t>2531</t>
        </is>
      </c>
      <c r="G13" s="6" t="inlineStr">
        <is>
          <t>2332</t>
        </is>
      </c>
      <c r="H13" s="6" t="inlineStr">
        <is>
          <t>2531</t>
        </is>
      </c>
      <c r="I13" s="6" t="inlineStr">
        <is>
          <t>Sim</t>
        </is>
      </c>
      <c r="J13" s="7" t="inlineStr"/>
      <c r="K13" s="8" t="inlineStr"/>
      <c r="L13" s="9" t="inlineStr"/>
    </row>
    <row r="14">
      <c r="A14" s="4" t="n">
        <v>373.39</v>
      </c>
      <c r="B14" s="5" t="inlineStr">
        <is>
          <t>5 - COM BRUNO ECKS</t>
        </is>
      </c>
      <c r="C14" s="5" t="inlineStr">
        <is>
          <t>INSS Terceiros (encargo)</t>
        </is>
      </c>
      <c r="D14" s="6" t="inlineStr">
        <is>
          <t>Empresa</t>
        </is>
      </c>
      <c r="E14" s="6" t="inlineStr">
        <is>
          <t>3143</t>
        </is>
      </c>
      <c r="F14" s="6" t="inlineStr">
        <is>
          <t>2531</t>
        </is>
      </c>
      <c r="G14" s="6" t="inlineStr">
        <is>
          <t>2332</t>
        </is>
      </c>
      <c r="H14" s="6" t="inlineStr">
        <is>
          <t>2531</t>
        </is>
      </c>
      <c r="I14" s="6" t="inlineStr">
        <is>
          <t>Sim</t>
        </is>
      </c>
      <c r="J14" s="7" t="inlineStr"/>
      <c r="K14" s="8" t="inlineStr"/>
      <c r="L14" s="9" t="inlineStr"/>
    </row>
    <row r="15">
      <c r="A15" s="4" t="n">
        <v>64.38</v>
      </c>
      <c r="B15" s="5" t="inlineStr">
        <is>
          <t>5 - COM BRUNO ECKS</t>
        </is>
      </c>
      <c r="C15" s="5" t="inlineStr">
        <is>
          <t>INSS RAT (encargo)</t>
        </is>
      </c>
      <c r="D15" s="6" t="inlineStr">
        <is>
          <t>Empresa</t>
        </is>
      </c>
      <c r="E15" s="6" t="inlineStr">
        <is>
          <t>3143</t>
        </is>
      </c>
      <c r="F15" s="6" t="inlineStr">
        <is>
          <t>2531</t>
        </is>
      </c>
      <c r="G15" s="6" t="inlineStr">
        <is>
          <t>2332</t>
        </is>
      </c>
      <c r="H15" s="6" t="inlineStr">
        <is>
          <t>2531</t>
        </is>
      </c>
      <c r="I15" s="6" t="inlineStr">
        <is>
          <t>Sim</t>
        </is>
      </c>
      <c r="J15" s="7" t="inlineStr"/>
      <c r="K15" s="8" t="inlineStr"/>
      <c r="L15" s="9" t="inlineStr"/>
    </row>
    <row r="16">
      <c r="A16" s="4" t="n">
        <v>429.56</v>
      </c>
      <c r="B16" s="5" t="inlineStr">
        <is>
          <t>5 - COM BRUNO ECKS</t>
        </is>
      </c>
      <c r="C16" s="5" t="inlineStr">
        <is>
          <t>INSS Empresa Férias (encargo)</t>
        </is>
      </c>
      <c r="D16" s="6" t="inlineStr">
        <is>
          <t>Empresa</t>
        </is>
      </c>
      <c r="E16" s="6" t="inlineStr">
        <is>
          <t>3143</t>
        </is>
      </c>
      <c r="F16" s="6" t="inlineStr">
        <is>
          <t>2531</t>
        </is>
      </c>
      <c r="G16" s="6" t="inlineStr">
        <is>
          <t>2332</t>
        </is>
      </c>
      <c r="H16" s="6" t="inlineStr">
        <is>
          <t>2531</t>
        </is>
      </c>
      <c r="I16" s="6" t="inlineStr">
        <is>
          <t>Sim</t>
        </is>
      </c>
      <c r="J16" s="7" t="inlineStr"/>
      <c r="K16" s="8" t="inlineStr"/>
      <c r="L16" s="9" t="inlineStr"/>
    </row>
    <row r="17">
      <c r="A17" s="4" t="n">
        <v>124.54</v>
      </c>
      <c r="B17" s="5" t="inlineStr">
        <is>
          <t>5 - COM BRUNO ECKS</t>
        </is>
      </c>
      <c r="C17" s="5" t="inlineStr">
        <is>
          <t>INSS Terceiros Férias (encargo)</t>
        </is>
      </c>
      <c r="D17" s="6" t="inlineStr">
        <is>
          <t>Empresa</t>
        </is>
      </c>
      <c r="E17" s="6" t="inlineStr">
        <is>
          <t>3143</t>
        </is>
      </c>
      <c r="F17" s="6" t="inlineStr">
        <is>
          <t>2531</t>
        </is>
      </c>
      <c r="G17" s="6" t="inlineStr">
        <is>
          <t>2332</t>
        </is>
      </c>
      <c r="H17" s="6" t="inlineStr">
        <is>
          <t>2531</t>
        </is>
      </c>
      <c r="I17" s="6" t="inlineStr">
        <is>
          <t>Sim</t>
        </is>
      </c>
      <c r="J17" s="7" t="inlineStr"/>
      <c r="K17" s="8" t="inlineStr"/>
      <c r="L17" s="9" t="inlineStr"/>
    </row>
    <row r="18">
      <c r="A18" s="4" t="n">
        <v>21.48</v>
      </c>
      <c r="B18" s="5" t="inlineStr">
        <is>
          <t>5 - COM BRUNO ECKS</t>
        </is>
      </c>
      <c r="C18" s="5" t="inlineStr">
        <is>
          <t>INSS RAT Férias (encargo)</t>
        </is>
      </c>
      <c r="D18" s="6" t="inlineStr">
        <is>
          <t>Empresa</t>
        </is>
      </c>
      <c r="E18" s="6" t="inlineStr">
        <is>
          <t>3143</t>
        </is>
      </c>
      <c r="F18" s="6" t="inlineStr">
        <is>
          <t>2531</t>
        </is>
      </c>
      <c r="G18" s="6" t="inlineStr">
        <is>
          <t>2332</t>
        </is>
      </c>
      <c r="H18" s="6" t="inlineStr">
        <is>
          <t>2531</t>
        </is>
      </c>
      <c r="I18" s="6" t="inlineStr">
        <is>
          <t>Sim</t>
        </is>
      </c>
      <c r="J18" s="7" t="inlineStr"/>
      <c r="K18" s="8" t="inlineStr"/>
      <c r="L18" s="9" t="inlineStr"/>
    </row>
    <row r="19">
      <c r="A19" s="4" t="n">
        <v>520.83</v>
      </c>
      <c r="B19" s="5" t="inlineStr">
        <is>
          <t>5 - COM BRUNO ECKS</t>
        </is>
      </c>
      <c r="C19" s="5" t="inlineStr">
        <is>
          <t>302 - HORAS EXTRAS 75%</t>
        </is>
      </c>
      <c r="D19" s="6" t="inlineStr">
        <is>
          <t>Folha</t>
        </is>
      </c>
      <c r="E19" s="6" t="inlineStr">
        <is>
          <t>2577</t>
        </is>
      </c>
      <c r="F19" s="6" t="inlineStr">
        <is>
          <t>2521</t>
        </is>
      </c>
      <c r="G19" s="6" t="inlineStr">
        <is>
          <t>2577</t>
        </is>
      </c>
      <c r="H19" s="6" t="inlineStr">
        <is>
          <t>2521</t>
        </is>
      </c>
      <c r="I19" s="6" t="inlineStr">
        <is>
          <t>Sim</t>
        </is>
      </c>
      <c r="J19" s="7" t="inlineStr">
        <is>
          <t>Conta certa; histórico sai como "HORAS EXTRAS 50%"</t>
        </is>
      </c>
      <c r="K19" s="8" t="inlineStr"/>
      <c r="L19" s="9" t="inlineStr"/>
    </row>
    <row r="20">
      <c r="A20" s="4" t="n">
        <v>3.19</v>
      </c>
      <c r="B20" s="5" t="inlineStr">
        <is>
          <t>7 - DES TECNOLOGIA</t>
        </is>
      </c>
      <c r="C20" s="5" t="inlineStr">
        <is>
          <t>250 - REFLEXO EXTRAS DSR</t>
        </is>
      </c>
      <c r="D20" s="6" t="inlineStr">
        <is>
          <t>Rescisão</t>
        </is>
      </c>
      <c r="E20" s="6" t="inlineStr">
        <is>
          <t>2905</t>
        </is>
      </c>
      <c r="F20" s="6" t="inlineStr">
        <is>
          <t>2523</t>
        </is>
      </c>
      <c r="G20" s="6" t="inlineStr">
        <is>
          <t>2904</t>
        </is>
      </c>
      <c r="H20" s="6" t="inlineStr">
        <is>
          <t>2523</t>
        </is>
      </c>
      <c r="I20" s="6" t="inlineStr">
        <is>
          <t>Não</t>
        </is>
      </c>
      <c r="J20" s="7" t="inlineStr">
        <is>
          <t>Rescisão do Antônio Henrique (competência 06, paga em 09/07): DSR lançado em Contribuição Assistencial</t>
        </is>
      </c>
      <c r="K20" s="8" t="inlineStr"/>
      <c r="L20" s="9" t="inlineStr"/>
    </row>
    <row r="21">
      <c r="A21" s="4" t="n">
        <v>3800</v>
      </c>
      <c r="B21" s="5" t="inlineStr">
        <is>
          <t>7 - DES TECNOLOGIA</t>
        </is>
      </c>
      <c r="C21" s="5" t="inlineStr">
        <is>
          <t>8797 - DIAS BOLSA AUXILIO</t>
        </is>
      </c>
      <c r="D21" s="6" t="inlineStr">
        <is>
          <t>Folha</t>
        </is>
      </c>
      <c r="E21" s="6" t="inlineStr">
        <is>
          <t>2910</t>
        </is>
      </c>
      <c r="F21" s="6" t="inlineStr">
        <is>
          <t>2521</t>
        </is>
      </c>
      <c r="G21" s="6" t="inlineStr">
        <is>
          <t>2910</t>
        </is>
      </c>
      <c r="H21" s="6" t="inlineStr">
        <is>
          <t>2526</t>
        </is>
      </c>
      <c r="I21" s="6" t="inlineStr">
        <is>
          <t>Sim</t>
        </is>
      </c>
      <c r="J21" s="7" t="inlineStr"/>
      <c r="K21" s="8" t="inlineStr"/>
      <c r="L21" s="9" t="inlineStr"/>
    </row>
    <row r="22">
      <c r="A22" s="4" t="n">
        <v>350</v>
      </c>
      <c r="B22" s="5" t="inlineStr">
        <is>
          <t>8 - SD SUPORTE</t>
        </is>
      </c>
      <c r="C22" s="5" t="inlineStr">
        <is>
          <t>690 - CONTRIBUIÇÃO ASSISTENCIAL</t>
        </is>
      </c>
      <c r="D22" s="6" t="inlineStr">
        <is>
          <t>Folha</t>
        </is>
      </c>
      <c r="E22" s="6" t="inlineStr">
        <is>
          <t>2521</t>
        </is>
      </c>
      <c r="F22" s="6" t="inlineStr">
        <is>
          <t>2905</t>
        </is>
      </c>
      <c r="G22" s="6" t="inlineStr">
        <is>
          <t>2521</t>
        </is>
      </c>
      <c r="H22" s="6" t="inlineStr">
        <is>
          <t>2923</t>
        </is>
      </c>
      <c r="I22" s="6" t="inlineStr">
        <is>
          <t>Sim</t>
        </is>
      </c>
      <c r="J22" s="7" t="inlineStr"/>
      <c r="K22" s="8" t="inlineStr"/>
      <c r="L22" s="9" t="inlineStr"/>
    </row>
    <row r="23">
      <c r="A23" s="4" t="n">
        <v>333.87</v>
      </c>
      <c r="B23" s="5" t="inlineStr">
        <is>
          <t>8 - SD SUPORTE</t>
        </is>
      </c>
      <c r="C23" s="5" t="inlineStr">
        <is>
          <t>8870 - DIAS AFAST. P/DOENCA C/DIR.INTEGRAIS</t>
        </is>
      </c>
      <c r="D23" s="6" t="inlineStr">
        <is>
          <t>Folha</t>
        </is>
      </c>
      <c r="E23" s="6" t="inlineStr">
        <is>
          <t>2521</t>
        </is>
      </c>
      <c r="F23" s="6" t="inlineStr">
        <is>
          <t>2900</t>
        </is>
      </c>
      <c r="G23" s="6" t="inlineStr">
        <is>
          <t>2891</t>
        </is>
      </c>
      <c r="H23" s="6" t="inlineStr">
        <is>
          <t>2521</t>
        </is>
      </c>
      <c r="I23" s="6" t="inlineStr">
        <is>
          <t>Sim</t>
        </is>
      </c>
      <c r="J23" s="7" t="inlineStr">
        <is>
          <t>Invertido e em conta de Qualidade (Ana Paula 237,10; Atalia 96,77)</t>
        </is>
      </c>
      <c r="K23" s="8" t="inlineStr"/>
      <c r="L23" s="9" t="inlineStr"/>
    </row>
    <row r="24">
      <c r="A24" s="4" t="n">
        <v>85.75</v>
      </c>
      <c r="B24" s="5" t="inlineStr">
        <is>
          <t>8 - SD SUPORTE</t>
        </is>
      </c>
      <c r="C24" s="5" t="inlineStr">
        <is>
          <t>617 - REEMBOLSO</t>
        </is>
      </c>
      <c r="D24" s="6" t="inlineStr">
        <is>
          <t>Folha</t>
        </is>
      </c>
      <c r="E24" s="6" t="inlineStr">
        <is>
          <t>2891</t>
        </is>
      </c>
      <c r="F24" s="6" t="inlineStr">
        <is>
          <t>2521</t>
        </is>
      </c>
      <c r="G24" s="10" t="inlineStr">
        <is>
          <t>Confirmar</t>
        </is>
      </c>
      <c r="H24" s="6" t="inlineStr">
        <is>
          <t>2521</t>
        </is>
      </c>
      <c r="I24" s="6" t="inlineStr">
        <is>
          <t>Não</t>
        </is>
      </c>
      <c r="J24" s="7" t="inlineStr">
        <is>
          <t>Lançado na Folha Pgto do Suporte; o plano só tem Reembolsos de Viagem no DES (3134)</t>
        </is>
      </c>
      <c r="K24" s="8" t="inlineStr"/>
      <c r="L24" s="9" t="inlineStr"/>
    </row>
    <row r="25">
      <c r="A25" s="4" t="n">
        <v>1422.19</v>
      </c>
      <c r="B25" s="5" t="inlineStr">
        <is>
          <t>8 - SD SUPORTE</t>
        </is>
      </c>
      <c r="C25" s="5" t="inlineStr">
        <is>
          <t>8783 - DIAS FERIAS</t>
        </is>
      </c>
      <c r="D25" s="6" t="inlineStr">
        <is>
          <t>Férias</t>
        </is>
      </c>
      <c r="E25" s="6" t="inlineStr">
        <is>
          <t>3017</t>
        </is>
      </c>
      <c r="F25" s="6" t="inlineStr">
        <is>
          <t>2524</t>
        </is>
      </c>
      <c r="G25" s="6" t="inlineStr">
        <is>
          <t>3152</t>
        </is>
      </c>
      <c r="H25" s="6" t="inlineStr">
        <is>
          <t>2524</t>
        </is>
      </c>
      <c r="I25" s="6" t="inlineStr">
        <is>
          <t>Sim</t>
        </is>
      </c>
      <c r="J25" s="7" t="inlineStr">
        <is>
          <t>Férias da Fernanda (gozo em 08/2026, pagas em 31/07) lançadas no ADM</t>
        </is>
      </c>
      <c r="K25" s="8" t="inlineStr"/>
      <c r="L25" s="9" t="inlineStr"/>
    </row>
    <row r="26">
      <c r="A26" s="4" t="n">
        <v>475.37</v>
      </c>
      <c r="B26" s="5" t="inlineStr">
        <is>
          <t>8 - SD SUPORTE</t>
        </is>
      </c>
      <c r="C26" s="5" t="inlineStr">
        <is>
          <t>931 - 1/3 DAS FERIAS</t>
        </is>
      </c>
      <c r="D26" s="6" t="inlineStr">
        <is>
          <t>Férias</t>
        </is>
      </c>
      <c r="E26" s="6" t="inlineStr">
        <is>
          <t>3017</t>
        </is>
      </c>
      <c r="F26" s="6" t="inlineStr">
        <is>
          <t>2524</t>
        </is>
      </c>
      <c r="G26" s="6" t="inlineStr">
        <is>
          <t>3152</t>
        </is>
      </c>
      <c r="H26" s="6" t="inlineStr">
        <is>
          <t>2524</t>
        </is>
      </c>
      <c r="I26" s="6" t="inlineStr">
        <is>
          <t>Sim</t>
        </is>
      </c>
      <c r="J26" s="7" t="inlineStr">
        <is>
          <t>Idem</t>
        </is>
      </c>
      <c r="K26" s="8" t="inlineStr"/>
      <c r="L26" s="9" t="inlineStr"/>
    </row>
    <row r="27">
      <c r="A27" s="4" t="n">
        <v>1.63</v>
      </c>
      <c r="B27" s="5" t="inlineStr">
        <is>
          <t>8 - SD SUPORTE</t>
        </is>
      </c>
      <c r="C27" s="5" t="inlineStr">
        <is>
          <t>805 - MEDIA VALOR FERIAS</t>
        </is>
      </c>
      <c r="D27" s="6" t="inlineStr">
        <is>
          <t>Férias</t>
        </is>
      </c>
      <c r="E27" s="6" t="inlineStr">
        <is>
          <t>3017</t>
        </is>
      </c>
      <c r="F27" s="6" t="inlineStr">
        <is>
          <t>2524</t>
        </is>
      </c>
      <c r="G27" s="6" t="inlineStr">
        <is>
          <t>3152</t>
        </is>
      </c>
      <c r="H27" s="6" t="inlineStr">
        <is>
          <t>2524</t>
        </is>
      </c>
      <c r="I27" s="6" t="inlineStr">
        <is>
          <t>Sim</t>
        </is>
      </c>
      <c r="J27" s="7" t="inlineStr">
        <is>
          <t>Idem</t>
        </is>
      </c>
      <c r="K27" s="8" t="inlineStr"/>
      <c r="L27" s="9" t="inlineStr"/>
    </row>
    <row r="28">
      <c r="A28" s="4" t="n">
        <v>2.3</v>
      </c>
      <c r="B28" s="5" t="inlineStr">
        <is>
          <t>8 - SD SUPORTE</t>
        </is>
      </c>
      <c r="C28" s="5" t="inlineStr">
        <is>
          <t>806 - MEDIA HORAS FERIAS</t>
        </is>
      </c>
      <c r="D28" s="6" t="inlineStr">
        <is>
          <t>Férias</t>
        </is>
      </c>
      <c r="E28" s="6" t="inlineStr">
        <is>
          <t>3017</t>
        </is>
      </c>
      <c r="F28" s="6" t="inlineStr">
        <is>
          <t>2524</t>
        </is>
      </c>
      <c r="G28" s="6" t="inlineStr">
        <is>
          <t>3152</t>
        </is>
      </c>
      <c r="H28" s="6" t="inlineStr">
        <is>
          <t>2524</t>
        </is>
      </c>
      <c r="I28" s="6" t="inlineStr">
        <is>
          <t>Sim</t>
        </is>
      </c>
      <c r="J28" s="7" t="inlineStr">
        <is>
          <t>Idem</t>
        </is>
      </c>
      <c r="K28" s="8" t="inlineStr"/>
      <c r="L28" s="9" t="inlineStr"/>
    </row>
    <row r="29">
      <c r="A29" s="4" t="n">
        <v>146.81</v>
      </c>
      <c r="B29" s="5" t="inlineStr">
        <is>
          <t>8 - SD SUPORTE</t>
        </is>
      </c>
      <c r="C29" s="5" t="inlineStr">
        <is>
          <t>812 - INSS FERIAS</t>
        </is>
      </c>
      <c r="D29" s="6" t="inlineStr">
        <is>
          <t>Férias</t>
        </is>
      </c>
      <c r="E29" s="6" t="inlineStr">
        <is>
          <t>2524</t>
        </is>
      </c>
      <c r="F29" s="6" t="inlineStr">
        <is>
          <t>3017</t>
        </is>
      </c>
      <c r="G29" s="6" t="inlineStr">
        <is>
          <t>2524</t>
        </is>
      </c>
      <c r="H29" s="6" t="inlineStr">
        <is>
          <t>2531</t>
        </is>
      </c>
      <c r="I29" s="6" t="inlineStr">
        <is>
          <t>Sim</t>
        </is>
      </c>
      <c r="J29" s="7" t="inlineStr">
        <is>
          <t>INSS das férias creditado em despesa</t>
        </is>
      </c>
      <c r="K29" s="8" t="inlineStr"/>
      <c r="L29" s="9" t="inlineStr"/>
    </row>
    <row r="30">
      <c r="A30" s="4" t="n">
        <v>497.96</v>
      </c>
      <c r="B30" s="5" t="inlineStr">
        <is>
          <t>9 - CONSULTORIA INTERNA E GP</t>
        </is>
      </c>
      <c r="C30" s="5" t="inlineStr">
        <is>
          <t>302 - HORAS EXTRAS 75%</t>
        </is>
      </c>
      <c r="D30" s="6" t="inlineStr">
        <is>
          <t>Folha</t>
        </is>
      </c>
      <c r="E30" s="6" t="inlineStr">
        <is>
          <t>2577</t>
        </is>
      </c>
      <c r="F30" s="6" t="inlineStr">
        <is>
          <t>2521</t>
        </is>
      </c>
      <c r="G30" s="6" t="inlineStr">
        <is>
          <t>3151</t>
        </is>
      </c>
      <c r="H30" s="6" t="inlineStr">
        <is>
          <t>2521</t>
        </is>
      </c>
      <c r="I30" s="6" t="inlineStr">
        <is>
          <t>Sim</t>
        </is>
      </c>
      <c r="J30" s="7" t="inlineStr"/>
      <c r="K30" s="8" t="inlineStr"/>
      <c r="L30" s="9" t="inlineStr"/>
    </row>
    <row r="31">
      <c r="A31" s="4" t="n">
        <v>73.77</v>
      </c>
      <c r="B31" s="5" t="inlineStr">
        <is>
          <t>9 - CONSULTORIA INTERNA E GP</t>
        </is>
      </c>
      <c r="C31" s="5" t="inlineStr">
        <is>
          <t>250 - REFLEXO EXTRAS DSR</t>
        </is>
      </c>
      <c r="D31" s="6" t="inlineStr">
        <is>
          <t>Folha</t>
        </is>
      </c>
      <c r="E31" s="6" t="inlineStr">
        <is>
          <t>2577</t>
        </is>
      </c>
      <c r="F31" s="6" t="inlineStr">
        <is>
          <t>2521</t>
        </is>
      </c>
      <c r="G31" s="6" t="inlineStr">
        <is>
          <t>3151</t>
        </is>
      </c>
      <c r="H31" s="6" t="inlineStr">
        <is>
          <t>2521</t>
        </is>
      </c>
      <c r="I31" s="6" t="inlineStr">
        <is>
          <t>Sim</t>
        </is>
      </c>
      <c r="J31" s="7" t="inlineStr"/>
      <c r="K31" s="8" t="inlineStr"/>
      <c r="L31" s="9" t="inlineStr"/>
    </row>
    <row r="32">
      <c r="A32" s="4" t="n">
        <v>35</v>
      </c>
      <c r="B32" s="5" t="inlineStr">
        <is>
          <t>9 - CONSULTORIA INTERNA E GP</t>
        </is>
      </c>
      <c r="C32" s="5" t="inlineStr">
        <is>
          <t>690 - CONTRIBUIÇÃO ASSISTENCIAL</t>
        </is>
      </c>
      <c r="D32" s="6" t="inlineStr">
        <is>
          <t>Folha</t>
        </is>
      </c>
      <c r="E32" s="6" t="inlineStr">
        <is>
          <t>2521</t>
        </is>
      </c>
      <c r="F32" s="6" t="inlineStr">
        <is>
          <t>3148</t>
        </is>
      </c>
      <c r="G32" s="6" t="inlineStr">
        <is>
          <t>2521</t>
        </is>
      </c>
      <c r="H32" s="6" t="inlineStr">
        <is>
          <t>2911</t>
        </is>
      </c>
      <c r="I32" s="6" t="inlineStr">
        <is>
          <t>Sim</t>
        </is>
      </c>
      <c r="J32" s="7" t="inlineStr"/>
      <c r="K32" s="8" t="inlineStr"/>
      <c r="L32" s="9" t="inlineStr"/>
    </row>
    <row r="33">
      <c r="A33" s="4" t="n">
        <v>650</v>
      </c>
      <c r="B33" s="5" t="inlineStr">
        <is>
          <t>10 - ADM FINANCEIRO</t>
        </is>
      </c>
      <c r="C33" s="5" t="inlineStr">
        <is>
          <t>8490 - BOLSA AUXILIO FERIAS</t>
        </is>
      </c>
      <c r="D33" s="6" t="inlineStr">
        <is>
          <t>Rescisão</t>
        </is>
      </c>
      <c r="E33" s="6" t="inlineStr">
        <is>
          <t>3017</t>
        </is>
      </c>
      <c r="F33" s="6" t="inlineStr">
        <is>
          <t>2524</t>
        </is>
      </c>
      <c r="G33" s="6" t="inlineStr">
        <is>
          <t>2995</t>
        </is>
      </c>
      <c r="H33" s="6" t="inlineStr">
        <is>
          <t>2526</t>
        </is>
      </c>
      <c r="I33" s="6" t="inlineStr">
        <is>
          <t>Não</t>
        </is>
      </c>
      <c r="J33" s="7" t="inlineStr">
        <is>
          <t>Rescisão de estágio da Julia (23/07): bolsa de estagiário vai para Estagiários / Estágios a pagar</t>
        </is>
      </c>
      <c r="K33" s="8" t="inlineStr"/>
      <c r="L33" s="9" t="inlineStr"/>
    </row>
    <row r="34">
      <c r="A34" s="4" t="n">
        <v>216.67</v>
      </c>
      <c r="B34" s="5" t="inlineStr">
        <is>
          <t>10 - ADM FINANCEIRO</t>
        </is>
      </c>
      <c r="C34" s="5" t="inlineStr">
        <is>
          <t>8496 - BOLSA AUXILIO 1/3 FERIAS</t>
        </is>
      </c>
      <c r="D34" s="6" t="inlineStr">
        <is>
          <t>Rescisão</t>
        </is>
      </c>
      <c r="E34" s="6" t="inlineStr">
        <is>
          <t>3017</t>
        </is>
      </c>
      <c r="F34" s="6" t="inlineStr">
        <is>
          <t>2524</t>
        </is>
      </c>
      <c r="G34" s="6" t="inlineStr">
        <is>
          <t>2995</t>
        </is>
      </c>
      <c r="H34" s="6" t="inlineStr">
        <is>
          <t>2526</t>
        </is>
      </c>
      <c r="I34" s="6" t="inlineStr">
        <is>
          <t>Não</t>
        </is>
      </c>
      <c r="J34" s="7" t="inlineStr">
        <is>
          <t>Idem</t>
        </is>
      </c>
      <c r="K34" s="8" t="inlineStr"/>
      <c r="L34" s="9" t="inlineStr"/>
    </row>
    <row r="35">
      <c r="A35" s="4" t="n">
        <v>325</v>
      </c>
      <c r="B35" s="5" t="inlineStr">
        <is>
          <t>10 - ADM FINANCEIRO</t>
        </is>
      </c>
      <c r="C35" s="5" t="inlineStr">
        <is>
          <t>8490 - BOLSA AUXILIO FERIAS</t>
        </is>
      </c>
      <c r="D35" s="6" t="inlineStr">
        <is>
          <t>Rescisão</t>
        </is>
      </c>
      <c r="E35" s="6" t="inlineStr">
        <is>
          <t>Não lançado</t>
        </is>
      </c>
      <c r="F35" s="6" t="inlineStr">
        <is>
          <t>Não lançado</t>
        </is>
      </c>
      <c r="G35" s="6" t="inlineStr">
        <is>
          <t>2995</t>
        </is>
      </c>
      <c r="H35" s="6" t="inlineStr">
        <is>
          <t>2526</t>
        </is>
      </c>
      <c r="I35" s="6" t="inlineStr">
        <is>
          <t>Não</t>
        </is>
      </c>
      <c r="J35" s="7" t="inlineStr">
        <is>
          <t>Rescisão de estágio da Isabele (31/07) não saiu no TXT de 07; deve vir no TXT de 08 (como o Antônio)</t>
        </is>
      </c>
      <c r="K35" s="8" t="inlineStr"/>
      <c r="L35" s="9" t="inlineStr"/>
    </row>
    <row r="36">
      <c r="A36" s="4" t="n">
        <v>108.33</v>
      </c>
      <c r="B36" s="5" t="inlineStr">
        <is>
          <t>10 - ADM FINANCEIRO</t>
        </is>
      </c>
      <c r="C36" s="5" t="inlineStr">
        <is>
          <t>8496 - BOLSA AUXILIO 1/3 FERIAS</t>
        </is>
      </c>
      <c r="D36" s="6" t="inlineStr">
        <is>
          <t>Rescisão</t>
        </is>
      </c>
      <c r="E36" s="6" t="inlineStr">
        <is>
          <t>Não lançado</t>
        </is>
      </c>
      <c r="F36" s="6" t="inlineStr">
        <is>
          <t>Não lançado</t>
        </is>
      </c>
      <c r="G36" s="6" t="inlineStr">
        <is>
          <t>2995</t>
        </is>
      </c>
      <c r="H36" s="6" t="inlineStr">
        <is>
          <t>2526</t>
        </is>
      </c>
      <c r="I36" s="6" t="inlineStr">
        <is>
          <t>Não</t>
        </is>
      </c>
      <c r="J36" s="7" t="inlineStr">
        <is>
          <t>Idem</t>
        </is>
      </c>
      <c r="K36" s="8" t="inlineStr"/>
      <c r="L36" s="9" t="inlineStr"/>
    </row>
    <row r="37">
      <c r="A37" s="4" t="n">
        <v>1300</v>
      </c>
      <c r="B37" s="5" t="inlineStr">
        <is>
          <t>10 - ADM FINANCEIRO</t>
        </is>
      </c>
      <c r="C37" s="5" t="inlineStr">
        <is>
          <t>8797 - DIAS BOLSA AUXILIO</t>
        </is>
      </c>
      <c r="D37" s="6" t="inlineStr">
        <is>
          <t>Rescisão</t>
        </is>
      </c>
      <c r="E37" s="6" t="inlineStr">
        <is>
          <t>Não lançado</t>
        </is>
      </c>
      <c r="F37" s="6" t="inlineStr">
        <is>
          <t>Não lançado</t>
        </is>
      </c>
      <c r="G37" s="6" t="inlineStr">
        <is>
          <t>2995</t>
        </is>
      </c>
      <c r="H37" s="6" t="inlineStr">
        <is>
          <t>2526</t>
        </is>
      </c>
      <c r="I37" s="6" t="inlineStr">
        <is>
          <t>Não</t>
        </is>
      </c>
      <c r="J37" s="7" t="inlineStr">
        <is>
          <t>Idem</t>
        </is>
      </c>
      <c r="K37" s="8" t="inlineStr"/>
      <c r="L37" s="9" t="inlineStr"/>
    </row>
    <row r="38">
      <c r="A38" s="4" t="n">
        <v>2809.68</v>
      </c>
      <c r="B38" s="5" t="inlineStr">
        <is>
          <t>13 - DES PRODUÇÃO</t>
        </is>
      </c>
      <c r="C38" s="5" t="inlineStr">
        <is>
          <t>8797 - DIAS BOLSA AUXILIO</t>
        </is>
      </c>
      <c r="D38" s="6" t="inlineStr">
        <is>
          <t>Folha</t>
        </is>
      </c>
      <c r="E38" s="6" t="inlineStr">
        <is>
          <t>2910</t>
        </is>
      </c>
      <c r="F38" s="6" t="inlineStr">
        <is>
          <t>2521</t>
        </is>
      </c>
      <c r="G38" s="6" t="inlineStr">
        <is>
          <t>2910</t>
        </is>
      </c>
      <c r="H38" s="6" t="inlineStr">
        <is>
          <t>2526</t>
        </is>
      </c>
      <c r="I38" s="6" t="inlineStr">
        <is>
          <t>Sim</t>
        </is>
      </c>
      <c r="J38" s="7" t="inlineStr"/>
      <c r="K38" s="8" t="inlineStr"/>
      <c r="L38" s="9" t="inlineStr"/>
    </row>
    <row r="39">
      <c r="A39" s="4" t="n">
        <v>4303.13</v>
      </c>
      <c r="B39" s="5" t="inlineStr">
        <is>
          <t>13 - DES PRODUÇÃO</t>
        </is>
      </c>
      <c r="C39" s="5" t="inlineStr">
        <is>
          <t>8781 - DIAS NORMAIS</t>
        </is>
      </c>
      <c r="D39" s="6" t="inlineStr">
        <is>
          <t>Folha</t>
        </is>
      </c>
      <c r="E39" s="6" t="inlineStr">
        <is>
          <t>2884</t>
        </is>
      </c>
      <c r="F39" s="6" t="inlineStr">
        <is>
          <t>2521</t>
        </is>
      </c>
      <c r="G39" s="6" t="inlineStr">
        <is>
          <t>2884</t>
        </is>
      </c>
      <c r="H39" s="6" t="inlineStr">
        <is>
          <t>2521</t>
        </is>
      </c>
      <c r="I39" s="6" t="inlineStr">
        <is>
          <t>Sim</t>
        </is>
      </c>
      <c r="J39" s="7" t="inlineStr">
        <is>
          <t>Conta certa; histórico sai como "DESC VALE REFEIÇÃO"</t>
        </is>
      </c>
      <c r="K39" s="8" t="inlineStr"/>
      <c r="L39" s="9" t="inlineStr"/>
    </row>
    <row r="40">
      <c r="A40" s="4" t="n">
        <v>35</v>
      </c>
      <c r="B40" s="5" t="inlineStr">
        <is>
          <t>14 - QUALIDADE</t>
        </is>
      </c>
      <c r="C40" s="5" t="inlineStr">
        <is>
          <t>690 - CONTRIBUIÇÃO ASSISTENCIAL</t>
        </is>
      </c>
      <c r="D40" s="6" t="inlineStr">
        <is>
          <t>Folha</t>
        </is>
      </c>
      <c r="E40" s="6" t="inlineStr">
        <is>
          <t>3080</t>
        </is>
      </c>
      <c r="F40" s="6" t="inlineStr">
        <is>
          <t>2521</t>
        </is>
      </c>
      <c r="G40" s="6" t="inlineStr">
        <is>
          <t>2521</t>
        </is>
      </c>
      <c r="H40" s="6" t="inlineStr">
        <is>
          <t>3080</t>
        </is>
      </c>
      <c r="I40" s="6" t="inlineStr">
        <is>
          <t>Sim</t>
        </is>
      </c>
      <c r="J40" s="7" t="inlineStr">
        <is>
          <t>Invertido</t>
        </is>
      </c>
      <c r="K40" s="8" t="inlineStr"/>
      <c r="L40" s="9" t="inlineStr"/>
    </row>
    <row r="41">
      <c r="A41" s="4" t="n">
        <v>108.33</v>
      </c>
      <c r="B41" s="5" t="inlineStr">
        <is>
          <t>16 - SD INFRAESTRUTURA</t>
        </is>
      </c>
      <c r="C41" s="5" t="inlineStr">
        <is>
          <t>8490 - BOLSA AUXILIO FERIAS</t>
        </is>
      </c>
      <c r="D41" s="6" t="inlineStr">
        <is>
          <t>Rescisão</t>
        </is>
      </c>
      <c r="E41" s="6" t="inlineStr">
        <is>
          <t>3146</t>
        </is>
      </c>
      <c r="F41" s="6" t="inlineStr">
        <is>
          <t>2521</t>
        </is>
      </c>
      <c r="G41" s="6" t="inlineStr">
        <is>
          <t>2910</t>
        </is>
      </c>
      <c r="H41" s="6" t="inlineStr">
        <is>
          <t>2526</t>
        </is>
      </c>
      <c r="I41" s="6" t="inlineStr">
        <is>
          <t>Não</t>
        </is>
      </c>
      <c r="J41" s="7" t="inlineStr">
        <is>
          <t>Rescisão de estágio do Lucas Meier (07/07) lançada em Ajuda de Custo do Suporte</t>
        </is>
      </c>
      <c r="K41" s="8" t="inlineStr"/>
      <c r="L41" s="9" t="inlineStr"/>
    </row>
    <row r="42">
      <c r="A42" s="4" t="n">
        <v>36.11</v>
      </c>
      <c r="B42" s="5" t="inlineStr">
        <is>
          <t>16 - SD INFRAESTRUTURA</t>
        </is>
      </c>
      <c r="C42" s="5" t="inlineStr">
        <is>
          <t>8496 - BOLSA AUXILIO 1/3 FERIAS</t>
        </is>
      </c>
      <c r="D42" s="6" t="inlineStr">
        <is>
          <t>Rescisão</t>
        </is>
      </c>
      <c r="E42" s="6" t="inlineStr">
        <is>
          <t>3146</t>
        </is>
      </c>
      <c r="F42" s="6" t="inlineStr">
        <is>
          <t>2521</t>
        </is>
      </c>
      <c r="G42" s="6" t="inlineStr">
        <is>
          <t>2910</t>
        </is>
      </c>
      <c r="H42" s="6" t="inlineStr">
        <is>
          <t>2526</t>
        </is>
      </c>
      <c r="I42" s="6" t="inlineStr">
        <is>
          <t>Não</t>
        </is>
      </c>
      <c r="J42" s="7" t="inlineStr">
        <is>
          <t>Idem</t>
        </is>
      </c>
      <c r="K42" s="8" t="inlineStr"/>
      <c r="L42" s="9" t="inlineStr"/>
    </row>
    <row r="43">
      <c r="A43" s="4" t="n">
        <v>293.55</v>
      </c>
      <c r="B43" s="5" t="inlineStr">
        <is>
          <t>16 - SD INFRAESTRUTURA</t>
        </is>
      </c>
      <c r="C43" s="5" t="inlineStr">
        <is>
          <t>8797 - DIAS BOLSA AUXILIO</t>
        </is>
      </c>
      <c r="D43" s="6" t="inlineStr">
        <is>
          <t>Rescisão</t>
        </is>
      </c>
      <c r="E43" s="6" t="inlineStr">
        <is>
          <t>3146</t>
        </is>
      </c>
      <c r="F43" s="6" t="inlineStr">
        <is>
          <t>2521</t>
        </is>
      </c>
      <c r="G43" s="6" t="inlineStr">
        <is>
          <t>2910</t>
        </is>
      </c>
      <c r="H43" s="6" t="inlineStr">
        <is>
          <t>2526</t>
        </is>
      </c>
      <c r="I43" s="6" t="inlineStr">
        <is>
          <t>Não</t>
        </is>
      </c>
      <c r="J43" s="7" t="inlineStr">
        <is>
          <t>Idem</t>
        </is>
      </c>
      <c r="K43" s="8" t="inlineStr"/>
      <c r="L43" s="9" t="inlineStr"/>
    </row>
    <row r="44">
      <c r="A44" s="11">
        <f>SUM(A5:A43)</f>
        <v/>
      </c>
      <c r="B44" s="12" t="inlineStr">
        <is>
          <t>Total</t>
        </is>
      </c>
      <c r="J44" s="13" t="inlineStr">
        <is>
          <t>Corrigidos:</t>
        </is>
      </c>
      <c r="K44" s="12">
        <f>COUNTIF(K5:K43,"Sim")&amp;" de "&amp;ROWS(K5:K43)</f>
        <v/>
      </c>
    </row>
  </sheetData>
  <dataValidations count="1">
    <dataValidation sqref="K5:K43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2026-09-28T15:43:58Z</dcterms:created>
  <dcterms:modified xsi:type="dcterms:W3CDTF">2026-09-28T15:43:58Z</dcterms:modified>
</cp:coreProperties>
</file>