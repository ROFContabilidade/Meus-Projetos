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ções 06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6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2" customWidth="1" min="9" max="9"/>
    <col width="46" customWidth="1" min="10" max="10"/>
    <col width="11" customWidth="1" min="11" max="11"/>
    <col width="34" customWidth="1" min="12" max="12"/>
  </cols>
  <sheetData>
    <row r="1">
      <c r="A1" s="1" t="inlineStr">
        <is>
          <t>KORP Filial (145) - Folha 06/2026 - Correções na integração do Domínio</t>
        </is>
      </c>
    </row>
    <row r="2">
      <c r="A2" s="2" t="inlineStr">
        <is>
          <t>Preencha apenas as colunas amarelas ("Corrigido?" e "Observação"). Células laranja = aguardando confirmação.</t>
        </is>
      </c>
    </row>
    <row r="4">
      <c r="A4" s="3" t="inlineStr">
        <is>
          <t>Valor</t>
        </is>
      </c>
      <c r="B4" s="3" t="inlineStr">
        <is>
          <t>CC Domínio</t>
        </is>
      </c>
      <c r="C4" s="3" t="inlineStr">
        <is>
          <t>Rubrica</t>
        </is>
      </c>
      <c r="D4" s="3" t="inlineStr">
        <is>
          <t>Aba Domínio</t>
        </is>
      </c>
      <c r="E4" s="3" t="inlineStr">
        <is>
          <t>Débito atual</t>
        </is>
      </c>
      <c r="F4" s="3" t="inlineStr">
        <is>
          <t>Crédito atual</t>
        </is>
      </c>
      <c r="G4" s="3" t="inlineStr">
        <is>
          <t>Débito sugerido</t>
        </is>
      </c>
      <c r="H4" s="3" t="inlineStr">
        <is>
          <t>Crédito sugerido</t>
        </is>
      </c>
      <c r="I4" s="3" t="inlineStr">
        <is>
          <t>Já ocorreu no mês anterior?</t>
        </is>
      </c>
      <c r="J4" s="3" t="inlineStr">
        <is>
          <t>Nota</t>
        </is>
      </c>
      <c r="K4" s="3" t="inlineStr">
        <is>
          <t>Corrigido?</t>
        </is>
      </c>
      <c r="L4" s="3" t="inlineStr">
        <is>
          <t>Observação</t>
        </is>
      </c>
    </row>
    <row r="5">
      <c r="A5" s="4" t="n">
        <v>35</v>
      </c>
      <c r="B5" s="5" t="inlineStr">
        <is>
          <t>5 - COM BRUNO ECKS</t>
        </is>
      </c>
      <c r="C5" s="5" t="inlineStr">
        <is>
          <t>690 - CONTRIBUIÇÃO ASSISTENCIAL</t>
        </is>
      </c>
      <c r="D5" s="6" t="inlineStr">
        <is>
          <t>Folha</t>
        </is>
      </c>
      <c r="E5" s="6" t="inlineStr">
        <is>
          <t>2521</t>
        </is>
      </c>
      <c r="F5" s="6" t="inlineStr">
        <is>
          <t>2867</t>
        </is>
      </c>
      <c r="G5" s="6" t="inlineStr">
        <is>
          <t>2521</t>
        </is>
      </c>
      <c r="H5" s="6" t="inlineStr">
        <is>
          <t>3148</t>
        </is>
      </c>
      <c r="I5" s="6" t="inlineStr">
        <is>
          <t>Sim</t>
        </is>
      </c>
      <c r="J5" s="7" t="inlineStr"/>
      <c r="K5" s="8" t="inlineStr"/>
      <c r="L5" s="9" t="inlineStr"/>
    </row>
    <row r="6">
      <c r="A6" s="4" t="n">
        <v>2756</v>
      </c>
      <c r="B6" s="5" t="inlineStr">
        <is>
          <t>5 - COM BRUNO ECKS</t>
        </is>
      </c>
      <c r="C6" s="5" t="inlineStr">
        <is>
          <t>8781 - DIAS NORMAIS</t>
        </is>
      </c>
      <c r="D6" s="6" t="inlineStr">
        <is>
          <t>Folha</t>
        </is>
      </c>
      <c r="E6" s="6" t="inlineStr">
        <is>
          <t>2323</t>
        </is>
      </c>
      <c r="F6" s="6" t="inlineStr">
        <is>
          <t>2323</t>
        </is>
      </c>
      <c r="G6" s="6" t="inlineStr">
        <is>
          <t>2323</t>
        </is>
      </c>
      <c r="H6" s="6" t="inlineStr">
        <is>
          <t>2521</t>
        </is>
      </c>
      <c r="I6" s="6" t="inlineStr">
        <is>
          <t>Sim</t>
        </is>
      </c>
      <c r="J6" s="7" t="inlineStr">
        <is>
          <t>Débito e crédito na mesma conta</t>
        </is>
      </c>
      <c r="K6" s="8" t="inlineStr"/>
      <c r="L6" s="9" t="inlineStr"/>
    </row>
    <row r="7">
      <c r="A7" s="4" t="n">
        <v>783.67</v>
      </c>
      <c r="B7" s="5" t="inlineStr">
        <is>
          <t>5 - COM BRUNO ECKS</t>
        </is>
      </c>
      <c r="C7" s="5" t="inlineStr">
        <is>
          <t>INSS Empresa (encargo)</t>
        </is>
      </c>
      <c r="D7" s="6" t="inlineStr">
        <is>
          <t>Empresa</t>
        </is>
      </c>
      <c r="E7" s="6" t="inlineStr">
        <is>
          <t>3143</t>
        </is>
      </c>
      <c r="F7" s="6" t="inlineStr">
        <is>
          <t>2531</t>
        </is>
      </c>
      <c r="G7" s="6" t="inlineStr">
        <is>
          <t>2332</t>
        </is>
      </c>
      <c r="H7" s="6" t="inlineStr">
        <is>
          <t>2531</t>
        </is>
      </c>
      <c r="I7" s="6" t="inlineStr">
        <is>
          <t>Sim</t>
        </is>
      </c>
      <c r="J7" s="7" t="inlineStr"/>
      <c r="K7" s="8" t="inlineStr"/>
      <c r="L7" s="9" t="inlineStr"/>
    </row>
    <row r="8">
      <c r="A8" s="4" t="n">
        <v>227.21</v>
      </c>
      <c r="B8" s="5" t="inlineStr">
        <is>
          <t>5 - COM BRUNO ECKS</t>
        </is>
      </c>
      <c r="C8" s="5" t="inlineStr">
        <is>
          <t>INSS Terceiros (encargo)</t>
        </is>
      </c>
      <c r="D8" s="6" t="inlineStr">
        <is>
          <t>Empresa</t>
        </is>
      </c>
      <c r="E8" s="6" t="inlineStr">
        <is>
          <t>3143</t>
        </is>
      </c>
      <c r="F8" s="6" t="inlineStr">
        <is>
          <t>2531</t>
        </is>
      </c>
      <c r="G8" s="6" t="inlineStr">
        <is>
          <t>2332</t>
        </is>
      </c>
      <c r="H8" s="6" t="inlineStr">
        <is>
          <t>2531</t>
        </is>
      </c>
      <c r="I8" s="6" t="inlineStr">
        <is>
          <t>Sim</t>
        </is>
      </c>
      <c r="J8" s="7" t="inlineStr"/>
      <c r="K8" s="8" t="inlineStr"/>
      <c r="L8" s="9" t="inlineStr"/>
    </row>
    <row r="9">
      <c r="A9" s="4" t="n">
        <v>39.18</v>
      </c>
      <c r="B9" s="5" t="inlineStr">
        <is>
          <t>5 - COM BRUNO ECKS</t>
        </is>
      </c>
      <c r="C9" s="5" t="inlineStr">
        <is>
          <t>INSS RAT (encargo)</t>
        </is>
      </c>
      <c r="D9" s="6" t="inlineStr">
        <is>
          <t>Empresa</t>
        </is>
      </c>
      <c r="E9" s="6" t="inlineStr">
        <is>
          <t>3143</t>
        </is>
      </c>
      <c r="F9" s="6" t="inlineStr">
        <is>
          <t>2531</t>
        </is>
      </c>
      <c r="G9" s="6" t="inlineStr">
        <is>
          <t>2332</t>
        </is>
      </c>
      <c r="H9" s="6" t="inlineStr">
        <is>
          <t>2531</t>
        </is>
      </c>
      <c r="I9" s="6" t="inlineStr">
        <is>
          <t>Sim</t>
        </is>
      </c>
      <c r="J9" s="7" t="inlineStr"/>
      <c r="K9" s="8" t="inlineStr"/>
      <c r="L9" s="9" t="inlineStr"/>
    </row>
    <row r="10">
      <c r="A10" s="4" t="n">
        <v>431.01</v>
      </c>
      <c r="B10" s="5" t="inlineStr">
        <is>
          <t>5 - COM BRUNO ECKS</t>
        </is>
      </c>
      <c r="C10" s="5" t="inlineStr">
        <is>
          <t>302 - HORAS EXTRAS 75%</t>
        </is>
      </c>
      <c r="D10" s="6" t="inlineStr">
        <is>
          <t>Folha</t>
        </is>
      </c>
      <c r="E10" s="6" t="inlineStr">
        <is>
          <t>2577</t>
        </is>
      </c>
      <c r="F10" s="6" t="inlineStr">
        <is>
          <t>2521</t>
        </is>
      </c>
      <c r="G10" s="6" t="inlineStr">
        <is>
          <t>2577</t>
        </is>
      </c>
      <c r="H10" s="6" t="inlineStr">
        <is>
          <t>2521</t>
        </is>
      </c>
      <c r="I10" s="6" t="inlineStr">
        <is>
          <t>Sim</t>
        </is>
      </c>
      <c r="J10" s="7" t="inlineStr">
        <is>
          <t>Conta certa; histórico sai como "HORAS EXTRAS 50%"</t>
        </is>
      </c>
      <c r="K10" s="8" t="inlineStr"/>
      <c r="L10" s="9" t="inlineStr"/>
    </row>
    <row r="11">
      <c r="A11" s="4" t="n">
        <v>2770</v>
      </c>
      <c r="B11" s="5" t="inlineStr">
        <is>
          <t>7 - DES TECNOLOGIA</t>
        </is>
      </c>
      <c r="C11" s="5" t="inlineStr">
        <is>
          <t>8797 - DIAS BOLSA AUXILIO</t>
        </is>
      </c>
      <c r="D11" s="6" t="inlineStr">
        <is>
          <t>Folha</t>
        </is>
      </c>
      <c r="E11" s="6" t="inlineStr">
        <is>
          <t>2910</t>
        </is>
      </c>
      <c r="F11" s="6" t="inlineStr">
        <is>
          <t>2521</t>
        </is>
      </c>
      <c r="G11" s="6" t="inlineStr">
        <is>
          <t>2910</t>
        </is>
      </c>
      <c r="H11" s="6" t="inlineStr">
        <is>
          <t>2526</t>
        </is>
      </c>
      <c r="I11" s="6" t="inlineStr">
        <is>
          <t>Sim</t>
        </is>
      </c>
      <c r="J11" s="7" t="inlineStr"/>
      <c r="K11" s="8" t="inlineStr"/>
      <c r="L11" s="9" t="inlineStr"/>
    </row>
    <row r="12">
      <c r="A12" s="4" t="n">
        <v>120</v>
      </c>
      <c r="B12" s="5" t="inlineStr">
        <is>
          <t>7 - DES TECNOLOGIA</t>
        </is>
      </c>
      <c r="C12" s="5" t="inlineStr">
        <is>
          <t>8813 - BOLSA AUX DIAS AFASTAMENTO</t>
        </is>
      </c>
      <c r="D12" s="6" t="inlineStr">
        <is>
          <t>Folha</t>
        </is>
      </c>
      <c r="E12" s="6" t="inlineStr">
        <is>
          <t>2884</t>
        </is>
      </c>
      <c r="F12" s="6" t="inlineStr">
        <is>
          <t>2521</t>
        </is>
      </c>
      <c r="G12" s="6" t="inlineStr">
        <is>
          <t>2910</t>
        </is>
      </c>
      <c r="H12" s="6" t="inlineStr">
        <is>
          <t>2526</t>
        </is>
      </c>
      <c r="I12" s="6" t="inlineStr">
        <is>
          <t>Não</t>
        </is>
      </c>
      <c r="J12" s="7" t="inlineStr">
        <is>
          <t>Bolsa de estagiário lançada na folha dos celetistas</t>
        </is>
      </c>
      <c r="K12" s="8" t="inlineStr"/>
      <c r="L12" s="9" t="inlineStr"/>
    </row>
    <row r="13">
      <c r="A13" s="4" t="n">
        <v>350</v>
      </c>
      <c r="B13" s="5" t="inlineStr">
        <is>
          <t>8 - SD SUPORTE</t>
        </is>
      </c>
      <c r="C13" s="5" t="inlineStr">
        <is>
          <t>690 - CONTRIBUIÇÃO ASSISTENCIAL</t>
        </is>
      </c>
      <c r="D13" s="6" t="inlineStr">
        <is>
          <t>Folha</t>
        </is>
      </c>
      <c r="E13" s="6" t="inlineStr">
        <is>
          <t>2521</t>
        </is>
      </c>
      <c r="F13" s="6" t="inlineStr">
        <is>
          <t>2905</t>
        </is>
      </c>
      <c r="G13" s="6" t="inlineStr">
        <is>
          <t>2521</t>
        </is>
      </c>
      <c r="H13" s="6" t="inlineStr">
        <is>
          <t>2923</t>
        </is>
      </c>
      <c r="I13" s="6" t="inlineStr">
        <is>
          <t>Sim</t>
        </is>
      </c>
      <c r="J13" s="7" t="inlineStr">
        <is>
          <t>Na rescisão o CC 8 já usa 2923 corretamente</t>
        </is>
      </c>
      <c r="K13" s="8" t="inlineStr"/>
      <c r="L13" s="9" t="inlineStr"/>
    </row>
    <row r="14">
      <c r="A14" s="4" t="n">
        <v>3.77</v>
      </c>
      <c r="B14" s="5" t="inlineStr">
        <is>
          <t>8 - SD SUPORTE</t>
        </is>
      </c>
      <c r="C14" s="5" t="inlineStr">
        <is>
          <t>8551 - MEDIA HORAS 13o RESCISAO</t>
        </is>
      </c>
      <c r="D14" s="6" t="inlineStr">
        <is>
          <t>Rescisão</t>
        </is>
      </c>
      <c r="E14" s="6" t="inlineStr">
        <is>
          <t>3010</t>
        </is>
      </c>
      <c r="F14" s="6" t="inlineStr">
        <is>
          <t>252</t>
        </is>
      </c>
      <c r="G14" s="6" t="inlineStr">
        <is>
          <t>3010</t>
        </is>
      </c>
      <c r="H14" s="6" t="inlineStr">
        <is>
          <t>2523</t>
        </is>
      </c>
      <c r="I14" s="6" t="inlineStr">
        <is>
          <t>Não</t>
        </is>
      </c>
      <c r="J14" s="7" t="inlineStr">
        <is>
          <t>Conta 252 = Doações e Subvenções (PL); rescisão de Edgard</t>
        </is>
      </c>
      <c r="K14" s="8" t="inlineStr"/>
      <c r="L14" s="9" t="inlineStr"/>
    </row>
    <row r="15">
      <c r="A15" s="4" t="n">
        <v>5.15</v>
      </c>
      <c r="B15" s="5" t="inlineStr">
        <is>
          <t>8 - SD SUPORTE</t>
        </is>
      </c>
      <c r="C15" s="5" t="inlineStr">
        <is>
          <t>8551 - MEDIA HORAS 13o RESCISAO</t>
        </is>
      </c>
      <c r="D15" s="6" t="inlineStr">
        <is>
          <t>Rescisão</t>
        </is>
      </c>
      <c r="E15" s="6" t="inlineStr">
        <is>
          <t>3010</t>
        </is>
      </c>
      <c r="F15" s="6" t="inlineStr">
        <is>
          <t>252</t>
        </is>
      </c>
      <c r="G15" s="6" t="inlineStr">
        <is>
          <t>3010</t>
        </is>
      </c>
      <c r="H15" s="6" t="inlineStr">
        <is>
          <t>2523</t>
        </is>
      </c>
      <c r="I15" s="6" t="inlineStr">
        <is>
          <t>Não</t>
        </is>
      </c>
      <c r="J15" s="7" t="inlineStr">
        <is>
          <t>Conta 252 = Doações e Subvenções (PL); rescisão de Marina</t>
        </is>
      </c>
      <c r="K15" s="8" t="inlineStr"/>
      <c r="L15" s="9" t="inlineStr"/>
    </row>
    <row r="16">
      <c r="A16" s="4" t="n">
        <v>123.55</v>
      </c>
      <c r="B16" s="5" t="inlineStr">
        <is>
          <t>8 - SD SUPORTE</t>
        </is>
      </c>
      <c r="C16" s="5" t="inlineStr">
        <is>
          <t>302 - HORAS EXTRAS 75%</t>
        </is>
      </c>
      <c r="D16" s="6" t="inlineStr">
        <is>
          <t>Rescisão</t>
        </is>
      </c>
      <c r="E16" s="6" t="inlineStr">
        <is>
          <t>2917</t>
        </is>
      </c>
      <c r="F16" s="6" t="inlineStr">
        <is>
          <t>253</t>
        </is>
      </c>
      <c r="G16" s="6" t="inlineStr">
        <is>
          <t>2917</t>
        </is>
      </c>
      <c r="H16" s="6" t="inlineStr">
        <is>
          <t>2523</t>
        </is>
      </c>
      <c r="I16" s="6" t="inlineStr">
        <is>
          <t>Não</t>
        </is>
      </c>
      <c r="J16" s="7" t="inlineStr">
        <is>
          <t>Conta 253 = Ações em Tesouraria (PL); rescisão de Marina</t>
        </is>
      </c>
      <c r="K16" s="8" t="inlineStr"/>
      <c r="L16" s="9" t="inlineStr"/>
    </row>
    <row r="17">
      <c r="A17" s="4" t="n">
        <v>392</v>
      </c>
      <c r="B17" s="5" t="inlineStr">
        <is>
          <t>8 - SD SUPORTE</t>
        </is>
      </c>
      <c r="C17" s="5" t="inlineStr">
        <is>
          <t>657 - VALE REFEICAO NÃO UTILIZADO</t>
        </is>
      </c>
      <c r="D17" s="6" t="inlineStr">
        <is>
          <t>Rescisão</t>
        </is>
      </c>
      <c r="E17" s="6" t="inlineStr">
        <is>
          <t>2523</t>
        </is>
      </c>
      <c r="F17" s="6" t="inlineStr">
        <is>
          <t>3149</t>
        </is>
      </c>
      <c r="G17" s="6" t="inlineStr">
        <is>
          <t>2523</t>
        </is>
      </c>
      <c r="H17" s="6" t="inlineStr">
        <is>
          <t>3146</t>
        </is>
      </c>
      <c r="I17" s="6" t="inlineStr">
        <is>
          <t>Não</t>
        </is>
      </c>
      <c r="J17" s="7" t="inlineStr">
        <is>
          <t>CC 8 SD SUPORTE (Korp CC345). Definido: crédito em 3146 (Ajuda de Custo do Suporte)</t>
        </is>
      </c>
      <c r="K17" s="8" t="inlineStr"/>
      <c r="L17" s="9" t="inlineStr"/>
    </row>
    <row r="18">
      <c r="A18" s="4" t="n">
        <v>252</v>
      </c>
      <c r="B18" s="5" t="inlineStr">
        <is>
          <t>8 - SD SUPORTE</t>
        </is>
      </c>
      <c r="C18" s="5" t="inlineStr">
        <is>
          <t>657 - VALE REFEICAO NÃO UTILIZADO</t>
        </is>
      </c>
      <c r="D18" s="6" t="inlineStr">
        <is>
          <t>Rescisão</t>
        </is>
      </c>
      <c r="E18" s="6" t="inlineStr">
        <is>
          <t>2523</t>
        </is>
      </c>
      <c r="F18" s="6" t="inlineStr">
        <is>
          <t>3149</t>
        </is>
      </c>
      <c r="G18" s="6" t="inlineStr">
        <is>
          <t>2523</t>
        </is>
      </c>
      <c r="H18" s="6" t="inlineStr">
        <is>
          <t>3146</t>
        </is>
      </c>
      <c r="I18" s="6" t="inlineStr">
        <is>
          <t>Não</t>
        </is>
      </c>
      <c r="J18" s="7" t="inlineStr">
        <is>
          <t>CC 8 SD SUPORTE (Korp CC345). Definido: crédito em 3146 (Ajuda de Custo do Suporte)</t>
        </is>
      </c>
      <c r="K18" s="8" t="inlineStr"/>
      <c r="L18" s="9" t="inlineStr"/>
    </row>
    <row r="19">
      <c r="A19" s="4" t="n">
        <v>21.53</v>
      </c>
      <c r="B19" s="5" t="inlineStr">
        <is>
          <t>9 - CONSULTORIA INTERNA E GP</t>
        </is>
      </c>
      <c r="C19" s="5" t="inlineStr">
        <is>
          <t>302 - HORAS EXTRAS 75%</t>
        </is>
      </c>
      <c r="D19" s="6" t="inlineStr">
        <is>
          <t>Folha</t>
        </is>
      </c>
      <c r="E19" s="6" t="inlineStr">
        <is>
          <t>2577</t>
        </is>
      </c>
      <c r="F19" s="6" t="inlineStr">
        <is>
          <t>2521</t>
        </is>
      </c>
      <c r="G19" s="6" t="inlineStr">
        <is>
          <t>3151</t>
        </is>
      </c>
      <c r="H19" s="6" t="inlineStr">
        <is>
          <t>2521</t>
        </is>
      </c>
      <c r="I19" s="6" t="inlineStr">
        <is>
          <t>Sim</t>
        </is>
      </c>
      <c r="J19" s="7" t="inlineStr"/>
      <c r="K19" s="8" t="inlineStr"/>
      <c r="L19" s="9" t="inlineStr"/>
    </row>
    <row r="20">
      <c r="A20" s="4" t="n">
        <v>4.31</v>
      </c>
      <c r="B20" s="5" t="inlineStr">
        <is>
          <t>9 - CONSULTORIA INTERNA E GP</t>
        </is>
      </c>
      <c r="C20" s="5" t="inlineStr">
        <is>
          <t>250 - REFLEXO EXTRAS DSR</t>
        </is>
      </c>
      <c r="D20" s="6" t="inlineStr">
        <is>
          <t>Folha</t>
        </is>
      </c>
      <c r="E20" s="6" t="inlineStr">
        <is>
          <t>2577</t>
        </is>
      </c>
      <c r="F20" s="6" t="inlineStr">
        <is>
          <t>2521</t>
        </is>
      </c>
      <c r="G20" s="6" t="inlineStr">
        <is>
          <t>3151</t>
        </is>
      </c>
      <c r="H20" s="6" t="inlineStr">
        <is>
          <t>2521</t>
        </is>
      </c>
      <c r="I20" s="6" t="inlineStr">
        <is>
          <t>Sim</t>
        </is>
      </c>
      <c r="J20" s="7" t="inlineStr"/>
      <c r="K20" s="8" t="inlineStr"/>
      <c r="L20" s="9" t="inlineStr"/>
    </row>
    <row r="21">
      <c r="A21" s="4" t="n">
        <v>35</v>
      </c>
      <c r="B21" s="5" t="inlineStr">
        <is>
          <t>9 - CONSULTORIA INTERNA E GP</t>
        </is>
      </c>
      <c r="C21" s="5" t="inlineStr">
        <is>
          <t>690 - CONTRIBUIÇÃO ASSISTENCIAL</t>
        </is>
      </c>
      <c r="D21" s="6" t="inlineStr">
        <is>
          <t>Folha</t>
        </is>
      </c>
      <c r="E21" s="6" t="inlineStr">
        <is>
          <t>2521</t>
        </is>
      </c>
      <c r="F21" s="6" t="inlineStr">
        <is>
          <t>3148</t>
        </is>
      </c>
      <c r="G21" s="6" t="inlineStr">
        <is>
          <t>2521</t>
        </is>
      </c>
      <c r="H21" s="6" t="inlineStr">
        <is>
          <t>2911</t>
        </is>
      </c>
      <c r="I21" s="6" t="inlineStr">
        <is>
          <t>Sim</t>
        </is>
      </c>
      <c r="J21" s="7" t="inlineStr"/>
      <c r="K21" s="8" t="inlineStr"/>
      <c r="L21" s="9" t="inlineStr"/>
    </row>
    <row r="22">
      <c r="A22" s="4" t="n">
        <v>2600</v>
      </c>
      <c r="B22" s="5" t="inlineStr">
        <is>
          <t>13 - DES PRODUÇÃO</t>
        </is>
      </c>
      <c r="C22" s="5" t="inlineStr">
        <is>
          <t>8797 - DIAS BOLSA AUXILIO</t>
        </is>
      </c>
      <c r="D22" s="6" t="inlineStr">
        <is>
          <t>Folha</t>
        </is>
      </c>
      <c r="E22" s="6" t="inlineStr">
        <is>
          <t>2910</t>
        </is>
      </c>
      <c r="F22" s="6" t="inlineStr">
        <is>
          <t>2521</t>
        </is>
      </c>
      <c r="G22" s="6" t="inlineStr">
        <is>
          <t>2910</t>
        </is>
      </c>
      <c r="H22" s="6" t="inlineStr">
        <is>
          <t>2526</t>
        </is>
      </c>
      <c r="I22" s="6" t="inlineStr">
        <is>
          <t>Sim</t>
        </is>
      </c>
      <c r="J22" s="7" t="inlineStr"/>
      <c r="K22" s="8" t="inlineStr"/>
      <c r="L22" s="9" t="inlineStr"/>
    </row>
    <row r="23">
      <c r="A23" s="4" t="n">
        <v>4250</v>
      </c>
      <c r="B23" s="5" t="inlineStr">
        <is>
          <t>13 - DES PRODUÇÃO</t>
        </is>
      </c>
      <c r="C23" s="5" t="inlineStr">
        <is>
          <t>8781 - DIAS NORMAIS</t>
        </is>
      </c>
      <c r="D23" s="6" t="inlineStr">
        <is>
          <t>Folha</t>
        </is>
      </c>
      <c r="E23" s="6" t="inlineStr">
        <is>
          <t>2884</t>
        </is>
      </c>
      <c r="F23" s="6" t="inlineStr">
        <is>
          <t>2521</t>
        </is>
      </c>
      <c r="G23" s="6" t="inlineStr">
        <is>
          <t>2884</t>
        </is>
      </c>
      <c r="H23" s="6" t="inlineStr">
        <is>
          <t>2521</t>
        </is>
      </c>
      <c r="I23" s="6" t="inlineStr">
        <is>
          <t>Sim</t>
        </is>
      </c>
      <c r="J23" s="7" t="inlineStr">
        <is>
          <t>Conta certa; histórico sai como "DESC VALE REFEIÇÃO"</t>
        </is>
      </c>
      <c r="K23" s="8" t="inlineStr"/>
      <c r="L23" s="9" t="inlineStr"/>
    </row>
    <row r="24">
      <c r="A24" s="4" t="n">
        <v>35</v>
      </c>
      <c r="B24" s="5" t="inlineStr">
        <is>
          <t>14 - QUALIDADE</t>
        </is>
      </c>
      <c r="C24" s="5" t="inlineStr">
        <is>
          <t>690 - CONTRIBUIÇÃO ASSISTENCIAL</t>
        </is>
      </c>
      <c r="D24" s="6" t="inlineStr">
        <is>
          <t>Folha</t>
        </is>
      </c>
      <c r="E24" s="6" t="inlineStr">
        <is>
          <t>3080</t>
        </is>
      </c>
      <c r="F24" s="6" t="inlineStr">
        <is>
          <t>2521</t>
        </is>
      </c>
      <c r="G24" s="6" t="inlineStr">
        <is>
          <t>2521</t>
        </is>
      </c>
      <c r="H24" s="6" t="inlineStr">
        <is>
          <t>3080</t>
        </is>
      </c>
      <c r="I24" s="6" t="inlineStr">
        <is>
          <t>Não</t>
        </is>
      </c>
      <c r="J24" s="7" t="inlineStr">
        <is>
          <t>Lançamento invertido (desconto saiu como provento)</t>
        </is>
      </c>
      <c r="K24" s="8" t="inlineStr"/>
      <c r="L24" s="9" t="inlineStr"/>
    </row>
    <row r="25">
      <c r="A25" s="4" t="n">
        <v>1256.67</v>
      </c>
      <c r="B25" s="5" t="inlineStr">
        <is>
          <t>16 - SD INFRAESTRUTURA</t>
        </is>
      </c>
      <c r="C25" s="5" t="inlineStr">
        <is>
          <t>8797 - DIAS BOLSA AUXILIO</t>
        </is>
      </c>
      <c r="D25" s="6" t="inlineStr">
        <is>
          <t>Folha</t>
        </is>
      </c>
      <c r="E25" s="6" t="inlineStr">
        <is>
          <t>2910</t>
        </is>
      </c>
      <c r="F25" s="6" t="inlineStr">
        <is>
          <t>2521</t>
        </is>
      </c>
      <c r="G25" s="6" t="inlineStr">
        <is>
          <t>2910</t>
        </is>
      </c>
      <c r="H25" s="6" t="inlineStr">
        <is>
          <t>2526</t>
        </is>
      </c>
      <c r="I25" s="6" t="inlineStr">
        <is>
          <t>Não</t>
        </is>
      </c>
      <c r="J25" s="7" t="inlineStr">
        <is>
          <t>Débito mantido em 2910 (confirmado); corrigir só o crédito</t>
        </is>
      </c>
      <c r="K25" s="8" t="inlineStr"/>
      <c r="L25" s="9" t="inlineStr"/>
    </row>
    <row r="26">
      <c r="A26" s="4" t="n">
        <v>43.33</v>
      </c>
      <c r="B26" s="5" t="inlineStr">
        <is>
          <t>16 - SD INFRAESTRUTURA</t>
        </is>
      </c>
      <c r="C26" s="5" t="inlineStr">
        <is>
          <t>8813 - BOLSA AUX DIAS AFASTAMENTO</t>
        </is>
      </c>
      <c r="D26" s="6" t="inlineStr">
        <is>
          <t>Folha</t>
        </is>
      </c>
      <c r="E26" s="6" t="inlineStr">
        <is>
          <t>2910</t>
        </is>
      </c>
      <c r="F26" s="6" t="inlineStr">
        <is>
          <t>2521</t>
        </is>
      </c>
      <c r="G26" s="6" t="inlineStr">
        <is>
          <t>2910</t>
        </is>
      </c>
      <c r="H26" s="6" t="inlineStr">
        <is>
          <t>2526</t>
        </is>
      </c>
      <c r="I26" s="6" t="inlineStr">
        <is>
          <t>Não</t>
        </is>
      </c>
      <c r="J26" s="7" t="inlineStr">
        <is>
          <t>Débito mantido em 2910 (confirmado); corrigir só o crédito</t>
        </is>
      </c>
      <c r="K26" s="8" t="inlineStr"/>
      <c r="L26" s="9" t="inlineStr"/>
    </row>
    <row r="27">
      <c r="A27" s="10" t="n">
        <v>16534.38</v>
      </c>
      <c r="B27" s="11" t="inlineStr">
        <is>
          <t>Total</t>
        </is>
      </c>
      <c r="J27" s="12" t="inlineStr">
        <is>
          <t>Corrigidos:</t>
        </is>
      </c>
      <c r="K27" s="11">
        <f>COUNTIF(K5:K26,"Sim")&amp;" de "&amp;ROWS(K5:K26)</f>
        <v/>
      </c>
    </row>
  </sheetData>
  <dataValidations count="1">
    <dataValidation sqref="K5:K26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2026-09-28T19:55:45Z</dcterms:created>
  <dcterms:modified xsi:type="dcterms:W3CDTF">2026-09-28T19:55:45Z</dcterms:modified>
</cp:coreProperties>
</file>