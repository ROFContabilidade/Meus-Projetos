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06-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3" customWidth="1" min="3" max="3"/>
  </cols>
  <sheetData>
    <row r="1">
      <c r="A1" s="1" t="inlineStr">
        <is>
          <t>KORP Filial (145) - Fechamento da folha - Contas patrimoniais</t>
        </is>
      </c>
    </row>
    <row r="2">
      <c r="A2" s="2" t="inlineStr">
        <is>
          <t>Valores = movimento do mês (crédito - débito). Confere = folha do mês + competência de outros meses = TXT corrigido.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06-2026</t>
        </is>
      </c>
    </row>
    <row r="5">
      <c r="A5" s="4" t="inlineStr">
        <is>
          <t>2521</t>
        </is>
      </c>
      <c r="B5" s="4" t="inlineStr">
        <is>
          <t>Salários a Pagar</t>
        </is>
      </c>
      <c r="C5" s="5">
        <f>'06-2026'!F5</f>
        <v/>
      </c>
    </row>
    <row r="6">
      <c r="A6" s="4" t="inlineStr">
        <is>
          <t>2523</t>
        </is>
      </c>
      <c r="B6" s="4" t="inlineStr">
        <is>
          <t>Indenizações Trabalhistas (rescisões)</t>
        </is>
      </c>
      <c r="C6" s="5">
        <f>'06-2026'!F6</f>
        <v/>
      </c>
    </row>
    <row r="7">
      <c r="A7" s="4" t="inlineStr">
        <is>
          <t>2524</t>
        </is>
      </c>
      <c r="B7" s="4" t="inlineStr">
        <is>
          <t>Férias a Pagar</t>
        </is>
      </c>
      <c r="C7" s="5">
        <f>'06-2026'!F7</f>
        <v/>
      </c>
    </row>
    <row r="8">
      <c r="A8" s="4" t="inlineStr">
        <is>
          <t>2526</t>
        </is>
      </c>
      <c r="B8" s="4" t="inlineStr">
        <is>
          <t>Estágios a pagar</t>
        </is>
      </c>
      <c r="C8" s="5">
        <f>'06-2026'!F8</f>
        <v/>
      </c>
    </row>
    <row r="9">
      <c r="A9" s="4" t="inlineStr">
        <is>
          <t>2530</t>
        </is>
      </c>
      <c r="B9" s="4" t="inlineStr">
        <is>
          <t>FGTS a Recolher</t>
        </is>
      </c>
      <c r="C9" s="5">
        <f>'06-2026'!F9</f>
        <v/>
      </c>
    </row>
    <row r="10">
      <c r="A10" s="4" t="inlineStr">
        <is>
          <t>2531</t>
        </is>
      </c>
      <c r="B10" s="4" t="inlineStr">
        <is>
          <t>INSS a Recolher</t>
        </is>
      </c>
      <c r="C10" s="5">
        <f>'06-2026'!F10</f>
        <v/>
      </c>
    </row>
    <row r="11">
      <c r="A11" s="4" t="inlineStr">
        <is>
          <t>2533</t>
        </is>
      </c>
      <c r="B11" s="4" t="inlineStr">
        <is>
          <t>IRRF a Recolher s/ Folha</t>
        </is>
      </c>
      <c r="C11" s="5">
        <f>'06-2026'!F11</f>
        <v/>
      </c>
    </row>
    <row r="12">
      <c r="A12" s="4" t="inlineStr">
        <is>
          <t>3137</t>
        </is>
      </c>
      <c r="B12" s="4" t="inlineStr">
        <is>
          <t>Empréstimo a Funcionário (consignado)</t>
        </is>
      </c>
      <c r="C12" s="5">
        <f>'06-2026'!F12</f>
        <v/>
      </c>
    </row>
    <row r="13">
      <c r="A13" s="4" t="inlineStr">
        <is>
          <t>2463</t>
        </is>
      </c>
      <c r="B13" s="4" t="inlineStr">
        <is>
          <t>Adiantamento de Férias (ativo)</t>
        </is>
      </c>
      <c r="C13" s="5">
        <f>'06-2026'!F13</f>
        <v/>
      </c>
    </row>
    <row r="14">
      <c r="B14" s="6" t="inlineStr">
        <is>
          <t>Confere com a folha?</t>
        </is>
      </c>
      <c r="C14" s="7">
        <f>IF(COUNTIF('06-2026'!H5:H13,"Não")=0,"Sim","Não")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5" customWidth="1" min="4" max="4"/>
    <col width="13" customWidth="1" min="5" max="5"/>
    <col width="16" customWidth="1" min="6" max="6"/>
    <col width="16" customWidth="1" min="7" max="7"/>
    <col width="10" customWidth="1" min="8" max="8"/>
    <col width="90" customWidth="1" min="9" max="9"/>
  </cols>
  <sheetData>
    <row r="1">
      <c r="A1" s="1" t="inlineStr">
        <is>
          <t>KORP Filial (145) - Fechamento da folha - Contas patrimoniais - 06/2026</t>
        </is>
      </c>
    </row>
    <row r="2">
      <c r="A2" s="2" t="inlineStr">
        <is>
          <t>Folha 06/2026. A rescisão do Antônio Henrique (CC 7, demitido em 30/06) é de junho, mas o Domínio exportou no TXT de 07/2026 (data 09/07) - aparece em "Competência de outros meses". Horas extras 100% do Bruno mantidas por decisão.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Valor pela folha (extrato do mês)</t>
        </is>
      </c>
      <c r="D4" s="3" t="inlineStr">
        <is>
          <t>Valor no TXT do Domínio</t>
        </is>
      </c>
      <c r="E4" s="3" t="inlineStr">
        <is>
          <t>Correções de conta</t>
        </is>
      </c>
      <c r="F4" s="3" t="inlineStr">
        <is>
          <t>TXT corrigido (lançado na Korp)</t>
        </is>
      </c>
      <c r="G4" s="3" t="inlineStr">
        <is>
          <t>Competência de outros meses no TXT</t>
        </is>
      </c>
      <c r="H4" s="3" t="inlineStr">
        <is>
          <t>Confere?</t>
        </is>
      </c>
      <c r="I4" s="3" t="inlineStr">
        <is>
          <t>Composição</t>
        </is>
      </c>
    </row>
    <row r="5" ht="42" customHeight="1">
      <c r="A5" s="8" t="inlineStr">
        <is>
          <t>2521</t>
        </is>
      </c>
      <c r="B5" s="9" t="inlineStr">
        <is>
          <t>Salários a Pagar</t>
        </is>
      </c>
      <c r="C5" s="10" t="n">
        <v>78617.06</v>
      </c>
      <c r="D5" s="10" t="n">
        <v>82721.06</v>
      </c>
      <c r="E5" s="10" t="n">
        <v>-4104</v>
      </c>
      <c r="F5" s="10">
        <f>D5+E5</f>
        <v/>
      </c>
      <c r="G5" s="10" t="n">
        <v>0</v>
      </c>
      <c r="H5" s="8">
        <f>IF(ABS(C5+G5-F5)&lt;1,"Sim","Não")</f>
        <v/>
      </c>
      <c r="I5" s="11" t="inlineStr">
        <is>
          <t>Folha = extrato 78.436,90 + 180,16 horas extras do Bruno mantidas. Correções: -6.790,00 bolsas (CC 7, 13 e 16) para 2526; +2.756,00 salário do Bruno com D/C na mesma conta; -70,00 contribuição do CC 14 invertida</t>
        </is>
      </c>
    </row>
    <row r="6" ht="42" customHeight="1">
      <c r="A6" s="8" t="inlineStr">
        <is>
          <t>2523</t>
        </is>
      </c>
      <c r="B6" s="9" t="inlineStr">
        <is>
          <t>Indenizações Trabalhistas (rescisões)</t>
        </is>
      </c>
      <c r="C6" s="10" t="n">
        <v>7698.37</v>
      </c>
      <c r="D6" s="10" t="n">
        <v>1982.4</v>
      </c>
      <c r="E6" s="10" t="n">
        <v>132.47</v>
      </c>
      <c r="F6" s="10">
        <f>D6+E6</f>
        <v/>
      </c>
      <c r="G6" s="10" t="n">
        <v>-5583.5</v>
      </c>
      <c r="H6" s="8">
        <f>IF(ABS(C6+G6-F6)&lt;1,"Sim","Não")</f>
        <v/>
      </c>
      <c r="I6" s="11" t="inlineStr">
        <is>
          <t>Folha = rescisões Edgard 354,82 + Marina 1.760,05 + Antônio 5.583,50. Correção: +132,47 que estavam nas contas 252/253. Outros meses: -5.583,50 rescisão do Antônio lançada no TXT de 07</t>
        </is>
      </c>
    </row>
    <row r="7" ht="42" customHeight="1">
      <c r="A7" s="8" t="inlineStr">
        <is>
          <t>2524</t>
        </is>
      </c>
      <c r="B7" s="9" t="inlineStr">
        <is>
          <t>Férias a Pagar</t>
        </is>
      </c>
      <c r="C7" s="10" t="n">
        <v>0</v>
      </c>
      <c r="D7" s="10" t="n">
        <v>0</v>
      </c>
      <c r="E7" s="10" t="n">
        <v>0</v>
      </c>
      <c r="F7" s="10">
        <f>D7+E7</f>
        <v/>
      </c>
      <c r="G7" s="10" t="n">
        <v>0</v>
      </c>
      <c r="H7" s="8">
        <f>IF(ABS(C7+G7-F7)&lt;1,"Sim","Não")</f>
        <v/>
      </c>
      <c r="I7" s="11" t="inlineStr">
        <is>
          <t>Sem férias em 06/2026</t>
        </is>
      </c>
    </row>
    <row r="8" ht="42" customHeight="1">
      <c r="A8" s="8" t="inlineStr">
        <is>
          <t>2526</t>
        </is>
      </c>
      <c r="B8" s="9" t="inlineStr">
        <is>
          <t>Estágios a pagar</t>
        </is>
      </c>
      <c r="C8" s="10" t="n">
        <v>9182</v>
      </c>
      <c r="D8" s="10" t="n">
        <v>2392</v>
      </c>
      <c r="E8" s="10" t="n">
        <v>6790</v>
      </c>
      <c r="F8" s="10">
        <f>D8+E8</f>
        <v/>
      </c>
      <c r="G8" s="10" t="n">
        <v>0</v>
      </c>
      <c r="H8" s="8">
        <f>IF(ABS(C8+G8-F8)&lt;1,"Sim","Não")</f>
        <v/>
      </c>
      <c r="I8" s="11" t="inlineStr">
        <is>
          <t>Correção: +6.790,00 bolsas creditadas em 2521 (CC 7: 2.890,00; CC 13: 2.600,00; CC 16: 1.300,00)</t>
        </is>
      </c>
    </row>
    <row r="9" ht="42" customHeight="1">
      <c r="A9" s="8" t="inlineStr">
        <is>
          <t>2530</t>
        </is>
      </c>
      <c r="B9" s="9" t="inlineStr">
        <is>
          <t>FGTS a Recolher</t>
        </is>
      </c>
      <c r="C9" s="10" t="n">
        <v>8003.69</v>
      </c>
      <c r="D9" s="10" t="n">
        <v>7466.04</v>
      </c>
      <c r="E9" s="10" t="n">
        <v>0</v>
      </c>
      <c r="F9" s="10">
        <f>D9+E9</f>
        <v/>
      </c>
      <c r="G9" s="10" t="n">
        <v>-537.65</v>
      </c>
      <c r="H9" s="8">
        <f>IF(ABS(C9+G9-F9)&lt;1,"Sim","Não")</f>
        <v/>
      </c>
      <c r="I9" s="11" t="inlineStr">
        <is>
          <t>Folha = Valor do FGTS 7.449,67 + FGTS rescisório do Antônio 537,65 + 16,37 horas extras do Bruno. Outros meses: -537,65 FGTS do Antônio lançado no TXT de 07</t>
        </is>
      </c>
    </row>
    <row r="10" ht="42" customHeight="1">
      <c r="A10" s="8" t="inlineStr">
        <is>
          <t>2531</t>
        </is>
      </c>
      <c r="B10" s="9" t="inlineStr">
        <is>
          <t>INSS a Recolher</t>
        </is>
      </c>
      <c r="C10" s="10" t="n">
        <v>34963.59</v>
      </c>
      <c r="D10" s="10" t="n">
        <v>34648.06</v>
      </c>
      <c r="E10" s="10" t="n">
        <v>0</v>
      </c>
      <c r="F10" s="10">
        <f>D10+E10</f>
        <v/>
      </c>
      <c r="G10" s="10" t="n">
        <v>-315.15</v>
      </c>
      <c r="H10" s="8">
        <f>IF(ABS(C10+G10-F10)&lt;1,"Sim","Não")</f>
        <v/>
      </c>
      <c r="I10" s="11" t="inlineStr">
        <is>
          <t>Folha = Total INSS 34.884,20 + 79,39 horas extras do Bruno. Outros meses: -315,15 INSS da rescisão do Antônio lançado no TXT de 07. Diferença de 0,38 = arredondamento</t>
        </is>
      </c>
    </row>
    <row r="11" ht="16" customHeight="1">
      <c r="A11" s="8" t="inlineStr">
        <is>
          <t>2533</t>
        </is>
      </c>
      <c r="B11" s="9" t="inlineStr">
        <is>
          <t>IRRF a Recolher s/ Folha</t>
        </is>
      </c>
      <c r="C11" s="10" t="n">
        <v>833.86</v>
      </c>
      <c r="D11" s="10" t="n">
        <v>833.86</v>
      </c>
      <c r="E11" s="10" t="n">
        <v>0</v>
      </c>
      <c r="F11" s="10">
        <f>D11+E11</f>
        <v/>
      </c>
      <c r="G11" s="10" t="n">
        <v>0</v>
      </c>
      <c r="H11" s="8">
        <f>IF(ABS(C11+G11-F11)&lt;1,"Sim","Não")</f>
        <v/>
      </c>
      <c r="I11" s="11" t="inlineStr"/>
    </row>
    <row r="12" ht="16" customHeight="1">
      <c r="A12" s="8" t="inlineStr">
        <is>
          <t>3137</t>
        </is>
      </c>
      <c r="B12" s="9" t="inlineStr">
        <is>
          <t>Empréstimo a Funcionário (consignado)</t>
        </is>
      </c>
      <c r="C12" s="10" t="n">
        <v>2248.56</v>
      </c>
      <c r="D12" s="10" t="n">
        <v>2248.56</v>
      </c>
      <c r="E12" s="10" t="n">
        <v>0</v>
      </c>
      <c r="F12" s="10">
        <f>D12+E12</f>
        <v/>
      </c>
      <c r="G12" s="10" t="n">
        <v>0</v>
      </c>
      <c r="H12" s="8">
        <f>IF(ABS(C12+G12-F12)&lt;1,"Sim","Não")</f>
        <v/>
      </c>
      <c r="I12" s="11" t="inlineStr"/>
    </row>
    <row r="13" ht="42" customHeight="1">
      <c r="A13" s="8" t="inlineStr">
        <is>
          <t>2463</t>
        </is>
      </c>
      <c r="B13" s="9" t="inlineStr">
        <is>
          <t>Adiantamento de Férias (ativo)</t>
        </is>
      </c>
      <c r="C13" s="10" t="n">
        <v>0</v>
      </c>
      <c r="D13" s="10" t="n">
        <v>0</v>
      </c>
      <c r="E13" s="10" t="n">
        <v>0</v>
      </c>
      <c r="F13" s="10">
        <f>D13+E13</f>
        <v/>
      </c>
      <c r="G13" s="10" t="n">
        <v>0</v>
      </c>
      <c r="H13" s="8">
        <f>IF(ABS(C13+G13-F13)&lt;1,"Sim","Não")</f>
        <v/>
      </c>
      <c r="I13" s="11" t="inlineStr">
        <is>
          <t>Sem adiantamento de férias em 06/2026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2">
        <f>C5+C6+C7+C8</f>
        <v/>
      </c>
      <c r="D16" s="12">
        <f>D5+D6+D7+D8</f>
        <v/>
      </c>
      <c r="F16" s="12">
        <f>F5+F6+F7+F8</f>
        <v/>
      </c>
      <c r="G16" s="12">
        <f>G5+G6+G7+G8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2026-09-28T15:43:57Z</dcterms:created>
  <dcterms:modified xsi:type="dcterms:W3CDTF">2026-09-28T15:43:57Z</dcterms:modified>
</cp:coreProperties>
</file>