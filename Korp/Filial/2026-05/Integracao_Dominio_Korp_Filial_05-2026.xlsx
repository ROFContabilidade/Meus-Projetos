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ções 05-2026" sheetId="1" state="visible" r:id="rId1"/>
    <sheet name="Conferir outros C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2" customWidth="1" min="4" max="4"/>
    <col width="13" customWidth="1" min="5" max="5"/>
    <col width="13" customWidth="1" min="6" max="6"/>
    <col width="15" customWidth="1" min="7" max="7"/>
    <col width="15" customWidth="1" min="8" max="8"/>
    <col width="12" customWidth="1" min="9" max="9"/>
    <col width="40" customWidth="1" min="10" max="10"/>
  </cols>
  <sheetData>
    <row r="1">
      <c r="A1" s="1" t="inlineStr">
        <is>
          <t>KORP Filial (145) - Folha 05/2026 - Correções na integração do Domínio</t>
        </is>
      </c>
    </row>
    <row r="2">
      <c r="A2" s="2" t="inlineStr">
        <is>
          <t>Preencha apenas as colunas amarelas: "Corrigido?" (Sim/Não) e "Observação".</t>
        </is>
      </c>
    </row>
    <row r="4">
      <c r="A4" s="3" t="inlineStr">
        <is>
          <t>Valor</t>
        </is>
      </c>
      <c r="B4" s="3" t="inlineStr">
        <is>
          <t>CC Domínio</t>
        </is>
      </c>
      <c r="C4" s="3" t="inlineStr">
        <is>
          <t>Rubrica</t>
        </is>
      </c>
      <c r="D4" s="3" t="inlineStr">
        <is>
          <t>Aba Domínio</t>
        </is>
      </c>
      <c r="E4" s="3" t="inlineStr">
        <is>
          <t>Débito atual</t>
        </is>
      </c>
      <c r="F4" s="3" t="inlineStr">
        <is>
          <t>Crédito atual</t>
        </is>
      </c>
      <c r="G4" s="3" t="inlineStr">
        <is>
          <t>Débito sugerido</t>
        </is>
      </c>
      <c r="H4" s="3" t="inlineStr">
        <is>
          <t>Crédito sugerido</t>
        </is>
      </c>
      <c r="I4" s="3" t="inlineStr">
        <is>
          <t>Corrigido?</t>
        </is>
      </c>
      <c r="J4" s="3" t="inlineStr">
        <is>
          <t>Observação</t>
        </is>
      </c>
    </row>
    <row r="5">
      <c r="A5" s="4" t="n">
        <v>35</v>
      </c>
      <c r="B5" s="5" t="inlineStr">
        <is>
          <t>5 - COM BRUNO ECKS</t>
        </is>
      </c>
      <c r="C5" s="5" t="inlineStr">
        <is>
          <t>690 - CONTRIBUIÇÃO ASSISTENCIAL</t>
        </is>
      </c>
      <c r="D5" s="6" t="inlineStr">
        <is>
          <t>Folha</t>
        </is>
      </c>
      <c r="E5" s="6" t="inlineStr">
        <is>
          <t>2521</t>
        </is>
      </c>
      <c r="F5" s="6" t="inlineStr">
        <is>
          <t>2867</t>
        </is>
      </c>
      <c r="G5" s="6" t="inlineStr">
        <is>
          <t>2521</t>
        </is>
      </c>
      <c r="H5" s="6" t="inlineStr">
        <is>
          <t>3148</t>
        </is>
      </c>
      <c r="I5" s="7" t="inlineStr"/>
      <c r="J5" s="7" t="inlineStr"/>
    </row>
    <row r="6">
      <c r="A6" s="4" t="n">
        <v>3180</v>
      </c>
      <c r="B6" s="5" t="inlineStr">
        <is>
          <t>5 - COM BRUNO ECKS</t>
        </is>
      </c>
      <c r="C6" s="5" t="inlineStr">
        <is>
          <t>8781 - DIAS NORMAIS</t>
        </is>
      </c>
      <c r="D6" s="6" t="inlineStr">
        <is>
          <t>Folha</t>
        </is>
      </c>
      <c r="E6" s="6" t="inlineStr">
        <is>
          <t>2323</t>
        </is>
      </c>
      <c r="F6" s="6" t="inlineStr">
        <is>
          <t>2323</t>
        </is>
      </c>
      <c r="G6" s="6" t="inlineStr">
        <is>
          <t>2323</t>
        </is>
      </c>
      <c r="H6" s="6" t="inlineStr">
        <is>
          <t>2521</t>
        </is>
      </c>
      <c r="I6" s="7" t="inlineStr"/>
      <c r="J6" s="7" t="inlineStr"/>
    </row>
    <row r="7">
      <c r="A7" s="4" t="n">
        <v>927.14</v>
      </c>
      <c r="B7" s="5" t="inlineStr">
        <is>
          <t>5 - COM BRUNO ECKS</t>
        </is>
      </c>
      <c r="C7" s="5" t="inlineStr">
        <is>
          <t>INSS Empresa (encargo)</t>
        </is>
      </c>
      <c r="D7" s="5" t="inlineStr">
        <is>
          <t>Empresa</t>
        </is>
      </c>
      <c r="E7" s="6" t="inlineStr">
        <is>
          <t>3143</t>
        </is>
      </c>
      <c r="F7" s="6" t="inlineStr">
        <is>
          <t>2531</t>
        </is>
      </c>
      <c r="G7" s="6" t="inlineStr">
        <is>
          <t>2332</t>
        </is>
      </c>
      <c r="H7" s="6" t="inlineStr">
        <is>
          <t>2531</t>
        </is>
      </c>
      <c r="I7" s="7" t="inlineStr"/>
      <c r="J7" s="7" t="inlineStr"/>
    </row>
    <row r="8">
      <c r="A8" s="4" t="n">
        <v>268.85</v>
      </c>
      <c r="B8" s="5" t="inlineStr">
        <is>
          <t>5 - COM BRUNO ECKS</t>
        </is>
      </c>
      <c r="C8" s="5" t="inlineStr">
        <is>
          <t>INSS Terceiros (encargo)</t>
        </is>
      </c>
      <c r="D8" s="5" t="inlineStr">
        <is>
          <t>Empresa</t>
        </is>
      </c>
      <c r="E8" s="6" t="inlineStr">
        <is>
          <t>3143</t>
        </is>
      </c>
      <c r="F8" s="6" t="inlineStr">
        <is>
          <t>2531</t>
        </is>
      </c>
      <c r="G8" s="6" t="inlineStr">
        <is>
          <t>2332</t>
        </is>
      </c>
      <c r="H8" s="6" t="inlineStr">
        <is>
          <t>2531</t>
        </is>
      </c>
      <c r="I8" s="7" t="inlineStr"/>
      <c r="J8" s="7" t="inlineStr"/>
    </row>
    <row r="9">
      <c r="A9" s="4" t="n">
        <v>46.35</v>
      </c>
      <c r="B9" s="5" t="inlineStr">
        <is>
          <t>5 - COM BRUNO ECKS</t>
        </is>
      </c>
      <c r="C9" s="5" t="inlineStr">
        <is>
          <t>INSS RAT / Acid. Trabalho (encargo)</t>
        </is>
      </c>
      <c r="D9" s="5" t="inlineStr">
        <is>
          <t>Empresa</t>
        </is>
      </c>
      <c r="E9" s="6" t="inlineStr">
        <is>
          <t>3143</t>
        </is>
      </c>
      <c r="F9" s="6" t="inlineStr">
        <is>
          <t>2531</t>
        </is>
      </c>
      <c r="G9" s="6" t="inlineStr">
        <is>
          <t>2332</t>
        </is>
      </c>
      <c r="H9" s="6" t="inlineStr">
        <is>
          <t>2531</t>
        </is>
      </c>
      <c r="I9" s="7" t="inlineStr"/>
      <c r="J9" s="7" t="inlineStr"/>
    </row>
    <row r="10">
      <c r="A10" s="4" t="n">
        <v>1200</v>
      </c>
      <c r="B10" s="5" t="inlineStr">
        <is>
          <t>7 - DES TECNOLOGIA</t>
        </is>
      </c>
      <c r="C10" s="5" t="inlineStr">
        <is>
          <t>8797 - DIAS BOLSA AUXILIO</t>
        </is>
      </c>
      <c r="D10" s="6" t="inlineStr">
        <is>
          <t>Folha</t>
        </is>
      </c>
      <c r="E10" s="6" t="inlineStr">
        <is>
          <t>2910</t>
        </is>
      </c>
      <c r="F10" s="6" t="inlineStr">
        <is>
          <t>2521</t>
        </is>
      </c>
      <c r="G10" s="6" t="inlineStr">
        <is>
          <t>2910</t>
        </is>
      </c>
      <c r="H10" s="6" t="inlineStr">
        <is>
          <t>2526</t>
        </is>
      </c>
      <c r="I10" s="7" t="inlineStr"/>
      <c r="J10" s="7" t="inlineStr"/>
    </row>
    <row r="11">
      <c r="A11" s="4" t="n">
        <v>1625.36</v>
      </c>
      <c r="B11" s="5" t="inlineStr">
        <is>
          <t>8 - SD SUPORTE</t>
        </is>
      </c>
      <c r="C11" s="5" t="inlineStr">
        <is>
          <t>8783 - DIAS FERIAS</t>
        </is>
      </c>
      <c r="D11" s="6" t="inlineStr">
        <is>
          <t>Folha</t>
        </is>
      </c>
      <c r="E11" s="6" t="inlineStr">
        <is>
          <t>3017</t>
        </is>
      </c>
      <c r="F11" s="6" t="inlineStr">
        <is>
          <t>2524</t>
        </is>
      </c>
      <c r="G11" s="6" t="inlineStr">
        <is>
          <t>3152</t>
        </is>
      </c>
      <c r="H11" s="6" t="inlineStr">
        <is>
          <t>2524</t>
        </is>
      </c>
      <c r="I11" s="7" t="inlineStr"/>
      <c r="J11" s="7" t="inlineStr"/>
    </row>
    <row r="12">
      <c r="A12" s="4" t="n">
        <v>543.28</v>
      </c>
      <c r="B12" s="5" t="inlineStr">
        <is>
          <t>8 - SD SUPORTE</t>
        </is>
      </c>
      <c r="C12" s="5" t="inlineStr">
        <is>
          <t>931 - 1/3 DAS FERIAS</t>
        </is>
      </c>
      <c r="D12" s="6" t="inlineStr">
        <is>
          <t>Folha</t>
        </is>
      </c>
      <c r="E12" s="6" t="inlineStr">
        <is>
          <t>3017</t>
        </is>
      </c>
      <c r="F12" s="6" t="inlineStr">
        <is>
          <t>2524</t>
        </is>
      </c>
      <c r="G12" s="6" t="inlineStr">
        <is>
          <t>3152</t>
        </is>
      </c>
      <c r="H12" s="6" t="inlineStr">
        <is>
          <t>2524</t>
        </is>
      </c>
      <c r="I12" s="7" t="inlineStr"/>
      <c r="J12" s="7" t="inlineStr"/>
    </row>
    <row r="13">
      <c r="A13" s="4" t="n">
        <v>1.86</v>
      </c>
      <c r="B13" s="5" t="inlineStr">
        <is>
          <t>8 - SD SUPORTE</t>
        </is>
      </c>
      <c r="C13" s="5" t="inlineStr">
        <is>
          <t>805 - MEDIA VALOR FERIAS</t>
        </is>
      </c>
      <c r="D13" s="6" t="inlineStr">
        <is>
          <t>Folha</t>
        </is>
      </c>
      <c r="E13" s="6" t="inlineStr">
        <is>
          <t>3017</t>
        </is>
      </c>
      <c r="F13" s="6" t="inlineStr">
        <is>
          <t>2524</t>
        </is>
      </c>
      <c r="G13" s="6" t="inlineStr">
        <is>
          <t>3152</t>
        </is>
      </c>
      <c r="H13" s="6" t="inlineStr">
        <is>
          <t>2524</t>
        </is>
      </c>
      <c r="I13" s="7" t="inlineStr"/>
      <c r="J13" s="7" t="inlineStr"/>
    </row>
    <row r="14">
      <c r="A14" s="4" t="n">
        <v>2.63</v>
      </c>
      <c r="B14" s="5" t="inlineStr">
        <is>
          <t>8 - SD SUPORTE</t>
        </is>
      </c>
      <c r="C14" s="5" t="inlineStr">
        <is>
          <t>806 - MEDIA HORAS FERIAS</t>
        </is>
      </c>
      <c r="D14" s="6" t="inlineStr">
        <is>
          <t>Folha</t>
        </is>
      </c>
      <c r="E14" s="6" t="inlineStr">
        <is>
          <t>3017</t>
        </is>
      </c>
      <c r="F14" s="6" t="inlineStr">
        <is>
          <t>2524</t>
        </is>
      </c>
      <c r="G14" s="6" t="inlineStr">
        <is>
          <t>3152</t>
        </is>
      </c>
      <c r="H14" s="6" t="inlineStr">
        <is>
          <t>2524</t>
        </is>
      </c>
      <c r="I14" s="7" t="inlineStr"/>
      <c r="J14" s="7" t="inlineStr"/>
    </row>
    <row r="15">
      <c r="A15" s="4" t="n">
        <v>171.26</v>
      </c>
      <c r="B15" s="5" t="inlineStr">
        <is>
          <t>8 - SD SUPORTE</t>
        </is>
      </c>
      <c r="C15" s="5" t="inlineStr">
        <is>
          <t>812 - INSS FERIAS</t>
        </is>
      </c>
      <c r="D15" s="6" t="inlineStr">
        <is>
          <t>Folha</t>
        </is>
      </c>
      <c r="E15" s="6" t="inlineStr">
        <is>
          <t>2524</t>
        </is>
      </c>
      <c r="F15" s="6" t="inlineStr">
        <is>
          <t>3017</t>
        </is>
      </c>
      <c r="G15" s="6" t="inlineStr">
        <is>
          <t>2524</t>
        </is>
      </c>
      <c r="H15" s="6" t="inlineStr">
        <is>
          <t>2531</t>
        </is>
      </c>
      <c r="I15" s="7" t="inlineStr"/>
      <c r="J15" s="7" t="inlineStr"/>
    </row>
    <row r="16">
      <c r="A16" s="4" t="n">
        <v>385</v>
      </c>
      <c r="B16" s="5" t="inlineStr">
        <is>
          <t>8 - SD SUPORTE</t>
        </is>
      </c>
      <c r="C16" s="5" t="inlineStr">
        <is>
          <t>690 - CONTRIBUIÇÃO ASSISTENCIAL</t>
        </is>
      </c>
      <c r="D16" s="6" t="inlineStr">
        <is>
          <t>Folha</t>
        </is>
      </c>
      <c r="E16" s="6" t="inlineStr">
        <is>
          <t>2521</t>
        </is>
      </c>
      <c r="F16" s="6" t="inlineStr">
        <is>
          <t>2905</t>
        </is>
      </c>
      <c r="G16" s="6" t="inlineStr">
        <is>
          <t>2521</t>
        </is>
      </c>
      <c r="H16" s="6" t="inlineStr">
        <is>
          <t>2923</t>
        </is>
      </c>
      <c r="I16" s="7" t="inlineStr"/>
      <c r="J16" s="7" t="inlineStr"/>
    </row>
    <row r="17">
      <c r="A17" s="4" t="n">
        <v>101.58</v>
      </c>
      <c r="B17" s="5" t="inlineStr">
        <is>
          <t>8 - SD SUPORTE</t>
        </is>
      </c>
      <c r="C17" s="5" t="inlineStr">
        <is>
          <t>8870 - DIAS AFAST. P/DOENCA C/DIR.INTEGRAIS</t>
        </is>
      </c>
      <c r="D17" s="6" t="inlineStr">
        <is>
          <t>Folha</t>
        </is>
      </c>
      <c r="E17" s="6" t="inlineStr">
        <is>
          <t>2521</t>
        </is>
      </c>
      <c r="F17" s="6" t="inlineStr">
        <is>
          <t>2900</t>
        </is>
      </c>
      <c r="G17" s="6" t="inlineStr">
        <is>
          <t>2891</t>
        </is>
      </c>
      <c r="H17" s="6" t="inlineStr">
        <is>
          <t>2521</t>
        </is>
      </c>
      <c r="I17" s="7" t="inlineStr"/>
      <c r="J17" s="7" t="inlineStr"/>
    </row>
    <row r="18">
      <c r="A18" s="4" t="n">
        <v>483.87</v>
      </c>
      <c r="B18" s="5" t="inlineStr">
        <is>
          <t>8 - SD SUPORTE</t>
        </is>
      </c>
      <c r="C18" s="5" t="inlineStr">
        <is>
          <t>8783 - DIAS FERIAS</t>
        </is>
      </c>
      <c r="D18" s="6" t="inlineStr">
        <is>
          <t>Folha</t>
        </is>
      </c>
      <c r="E18" s="5" t="inlineStr">
        <is>
          <t>Não lançado</t>
        </is>
      </c>
      <c r="F18" s="5" t="inlineStr">
        <is>
          <t>Não lançado</t>
        </is>
      </c>
      <c r="G18" s="6" t="inlineStr">
        <is>
          <t>3152</t>
        </is>
      </c>
      <c r="H18" s="6" t="inlineStr">
        <is>
          <t>2524</t>
        </is>
      </c>
      <c r="I18" s="7" t="inlineStr"/>
      <c r="J18" s="7" t="inlineStr"/>
    </row>
    <row r="19">
      <c r="A19" s="4" t="n">
        <v>162.77</v>
      </c>
      <c r="B19" s="5" t="inlineStr">
        <is>
          <t>8 - SD SUPORTE</t>
        </is>
      </c>
      <c r="C19" s="5" t="inlineStr">
        <is>
          <t>931 - 1/3 DAS FERIAS</t>
        </is>
      </c>
      <c r="D19" s="6" t="inlineStr">
        <is>
          <t>Folha</t>
        </is>
      </c>
      <c r="E19" s="5" t="inlineStr">
        <is>
          <t>Não lançado</t>
        </is>
      </c>
      <c r="F19" s="5" t="inlineStr">
        <is>
          <t>Não lançado</t>
        </is>
      </c>
      <c r="G19" s="6" t="inlineStr">
        <is>
          <t>3152</t>
        </is>
      </c>
      <c r="H19" s="6" t="inlineStr">
        <is>
          <t>2524</t>
        </is>
      </c>
      <c r="I19" s="7" t="inlineStr"/>
      <c r="J19" s="7" t="inlineStr"/>
    </row>
    <row r="20">
      <c r="A20" s="4" t="n">
        <v>1.11</v>
      </c>
      <c r="B20" s="5" t="inlineStr">
        <is>
          <t>8 - SD SUPORTE</t>
        </is>
      </c>
      <c r="C20" s="5" t="inlineStr">
        <is>
          <t>805 - MEDIA VALOR FERIAS</t>
        </is>
      </c>
      <c r="D20" s="6" t="inlineStr">
        <is>
          <t>Folha</t>
        </is>
      </c>
      <c r="E20" s="5" t="inlineStr">
        <is>
          <t>Não lançado</t>
        </is>
      </c>
      <c r="F20" s="5" t="inlineStr">
        <is>
          <t>Não lançado</t>
        </is>
      </c>
      <c r="G20" s="6" t="inlineStr">
        <is>
          <t>3152</t>
        </is>
      </c>
      <c r="H20" s="6" t="inlineStr">
        <is>
          <t>2524</t>
        </is>
      </c>
      <c r="I20" s="7" t="inlineStr"/>
      <c r="J20" s="7" t="inlineStr"/>
    </row>
    <row r="21">
      <c r="A21" s="4" t="n">
        <v>3.33</v>
      </c>
      <c r="B21" s="5" t="inlineStr">
        <is>
          <t>8 - SD SUPORTE</t>
        </is>
      </c>
      <c r="C21" s="5" t="inlineStr">
        <is>
          <t>806 - MEDIA HORAS FERIAS</t>
        </is>
      </c>
      <c r="D21" s="6" t="inlineStr">
        <is>
          <t>Folha</t>
        </is>
      </c>
      <c r="E21" s="5" t="inlineStr">
        <is>
          <t>Não lançado</t>
        </is>
      </c>
      <c r="F21" s="5" t="inlineStr">
        <is>
          <t>Não lançado</t>
        </is>
      </c>
      <c r="G21" s="6" t="inlineStr">
        <is>
          <t>3152</t>
        </is>
      </c>
      <c r="H21" s="6" t="inlineStr">
        <is>
          <t>2524</t>
        </is>
      </c>
      <c r="I21" s="7" t="inlineStr"/>
      <c r="J21" s="7" t="inlineStr"/>
    </row>
    <row r="22">
      <c r="A22" s="4" t="n">
        <v>60.24</v>
      </c>
      <c r="B22" s="5" t="inlineStr">
        <is>
          <t>8 - SD SUPORTE</t>
        </is>
      </c>
      <c r="C22" s="5" t="inlineStr">
        <is>
          <t>812 - INSS FERIAS</t>
        </is>
      </c>
      <c r="D22" s="6" t="inlineStr">
        <is>
          <t>Folha</t>
        </is>
      </c>
      <c r="E22" s="5" t="inlineStr">
        <is>
          <t>Não lançado</t>
        </is>
      </c>
      <c r="F22" s="5" t="inlineStr">
        <is>
          <t>Não lançado</t>
        </is>
      </c>
      <c r="G22" s="6" t="inlineStr">
        <is>
          <t>2524</t>
        </is>
      </c>
      <c r="H22" s="6" t="inlineStr">
        <is>
          <t>2531</t>
        </is>
      </c>
      <c r="I22" s="7" t="inlineStr"/>
      <c r="J22" s="7" t="inlineStr"/>
    </row>
    <row r="23">
      <c r="A23" s="4" t="n">
        <v>4926.04</v>
      </c>
      <c r="B23" s="5" t="inlineStr">
        <is>
          <t>8 - SD SUPORTE</t>
        </is>
      </c>
      <c r="C23" s="5" t="inlineStr">
        <is>
          <t>937 - ADIANTAMENTO DE FERIAS</t>
        </is>
      </c>
      <c r="D23" s="6" t="inlineStr">
        <is>
          <t>Folha</t>
        </is>
      </c>
      <c r="E23" s="5" t="inlineStr">
        <is>
          <t>Não lançado</t>
        </is>
      </c>
      <c r="F23" s="5" t="inlineStr">
        <is>
          <t>Não lançado</t>
        </is>
      </c>
      <c r="G23" s="6" t="inlineStr">
        <is>
          <t>2524</t>
        </is>
      </c>
      <c r="H23" s="6" t="inlineStr">
        <is>
          <t>2463</t>
        </is>
      </c>
      <c r="I23" s="7" t="inlineStr"/>
      <c r="J23" s="7" t="inlineStr"/>
    </row>
    <row r="24">
      <c r="A24" s="4" t="n">
        <v>81.38</v>
      </c>
      <c r="B24" s="5" t="inlineStr">
        <is>
          <t>9 - CONSULTORIA INTERNA E GP</t>
        </is>
      </c>
      <c r="C24" s="5" t="inlineStr">
        <is>
          <t>302 - HORAS EXTRAS 75%</t>
        </is>
      </c>
      <c r="D24" s="6" t="inlineStr">
        <is>
          <t>Folha</t>
        </is>
      </c>
      <c r="E24" s="6" t="inlineStr">
        <is>
          <t>2577</t>
        </is>
      </c>
      <c r="F24" s="6" t="inlineStr">
        <is>
          <t>2521</t>
        </is>
      </c>
      <c r="G24" s="6" t="inlineStr">
        <is>
          <t>3151</t>
        </is>
      </c>
      <c r="H24" s="6" t="inlineStr">
        <is>
          <t>2521</t>
        </is>
      </c>
      <c r="I24" s="7" t="inlineStr"/>
      <c r="J24" s="7" t="inlineStr"/>
    </row>
    <row r="25">
      <c r="A25" s="4" t="n">
        <v>19.53</v>
      </c>
      <c r="B25" s="5" t="inlineStr">
        <is>
          <t>9 - CONSULTORIA INTERNA E GP</t>
        </is>
      </c>
      <c r="C25" s="5" t="inlineStr">
        <is>
          <t>250 - REFLEXO EXTRAS DSR</t>
        </is>
      </c>
      <c r="D25" s="6" t="inlineStr">
        <is>
          <t>Folha</t>
        </is>
      </c>
      <c r="E25" s="6" t="inlineStr">
        <is>
          <t>2577</t>
        </is>
      </c>
      <c r="F25" s="6" t="inlineStr">
        <is>
          <t>2521</t>
        </is>
      </c>
      <c r="G25" s="6" t="inlineStr">
        <is>
          <t>3151</t>
        </is>
      </c>
      <c r="H25" s="6" t="inlineStr">
        <is>
          <t>2521</t>
        </is>
      </c>
      <c r="I25" s="7" t="inlineStr"/>
      <c r="J25" s="7" t="inlineStr"/>
    </row>
    <row r="26">
      <c r="A26" s="4" t="n">
        <v>35</v>
      </c>
      <c r="B26" s="5" t="inlineStr">
        <is>
          <t>9 - CONSULTORIA INTERNA E GP</t>
        </is>
      </c>
      <c r="C26" s="5" t="inlineStr">
        <is>
          <t>690 - CONTRIBUIÇÃO ASSISTENCIAL</t>
        </is>
      </c>
      <c r="D26" s="6" t="inlineStr">
        <is>
          <t>Folha</t>
        </is>
      </c>
      <c r="E26" s="6" t="inlineStr">
        <is>
          <t>2521</t>
        </is>
      </c>
      <c r="F26" s="6" t="inlineStr">
        <is>
          <t>3148</t>
        </is>
      </c>
      <c r="G26" s="6" t="inlineStr">
        <is>
          <t>2521</t>
        </is>
      </c>
      <c r="H26" s="6" t="inlineStr">
        <is>
          <t>2911</t>
        </is>
      </c>
      <c r="I26" s="7" t="inlineStr"/>
      <c r="J26" s="7" t="inlineStr"/>
    </row>
    <row r="27">
      <c r="A27" s="4" t="n">
        <v>1761.3</v>
      </c>
      <c r="B27" s="5" t="inlineStr">
        <is>
          <t>13 - DES PRODUÇÃO</t>
        </is>
      </c>
      <c r="C27" s="5" t="inlineStr">
        <is>
          <t>8797 - DIAS BOLSA AUXILIO</t>
        </is>
      </c>
      <c r="D27" s="6" t="inlineStr">
        <is>
          <t>Folha</t>
        </is>
      </c>
      <c r="E27" s="6" t="inlineStr">
        <is>
          <t>2910</t>
        </is>
      </c>
      <c r="F27" s="6" t="inlineStr">
        <is>
          <t>2521</t>
        </is>
      </c>
      <c r="G27" s="6" t="inlineStr">
        <is>
          <t>2910</t>
        </is>
      </c>
      <c r="H27" s="6" t="inlineStr">
        <is>
          <t>2526</t>
        </is>
      </c>
      <c r="I27" s="7" t="inlineStr"/>
      <c r="J27" s="7" t="inlineStr"/>
    </row>
    <row r="28">
      <c r="A28" s="8">
        <f>SUM(A5:A27)</f>
        <v/>
      </c>
      <c r="B28" s="9" t="inlineStr">
        <is>
          <t>Total</t>
        </is>
      </c>
      <c r="H28" s="9" t="inlineStr">
        <is>
          <t>Corrigidos:</t>
        </is>
      </c>
      <c r="I28" s="9">
        <f>COUNTIF(I5:I27,"Sim")&amp;" de "&amp;ROWS(I5:I27)</f>
        <v/>
      </c>
    </row>
  </sheetData>
  <dataValidations count="1">
    <dataValidation sqref="I5:I27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" customWidth="1" min="3" max="3"/>
    <col width="15" customWidth="1" min="4" max="4"/>
    <col width="15" customWidth="1" min="5" max="5"/>
    <col width="58" customWidth="1" min="6" max="6"/>
    <col width="12" customWidth="1" min="7" max="7"/>
    <col width="40" customWidth="1" min="8" max="8"/>
  </cols>
  <sheetData>
    <row r="1">
      <c r="A1" s="1" t="inlineStr">
        <is>
          <t>KORP Filial (145) - Conferência preventiva da integração (outros CCs)</t>
        </is>
      </c>
    </row>
    <row r="2">
      <c r="A2" s="2" t="inlineStr">
        <is>
          <t>Preencha apenas as colunas amarelas: "Conferido?" (Sim/Não) e "Observação".</t>
        </is>
      </c>
    </row>
    <row r="4">
      <c r="A4" s="3" t="inlineStr">
        <is>
          <t>CC Domínio</t>
        </is>
      </c>
      <c r="B4" s="3" t="inlineStr">
        <is>
          <t>Rubrica</t>
        </is>
      </c>
      <c r="C4" s="3" t="inlineStr">
        <is>
          <t>Aba Domínio</t>
        </is>
      </c>
      <c r="D4" s="3" t="inlineStr">
        <is>
          <t>Débito sugerido</t>
        </is>
      </c>
      <c r="E4" s="3" t="inlineStr">
        <is>
          <t>Crédito sugerido</t>
        </is>
      </c>
      <c r="F4" s="3" t="inlineStr">
        <is>
          <t>Motivo</t>
        </is>
      </c>
      <c r="G4" s="3" t="inlineStr">
        <is>
          <t>Conferido?</t>
        </is>
      </c>
      <c r="H4" s="3" t="inlineStr">
        <is>
          <t>Observação</t>
        </is>
      </c>
    </row>
    <row r="5">
      <c r="A5" s="5" t="inlineStr">
        <is>
          <t>4 - COM HANTERS</t>
        </is>
      </c>
      <c r="B5" s="5" t="inlineStr">
        <is>
          <t>937 - ADIANTAMENTO DE FERIAS</t>
        </is>
      </c>
      <c r="C5" s="6" t="inlineStr">
        <is>
          <t>Folha</t>
        </is>
      </c>
      <c r="D5" s="6" t="inlineStr">
        <is>
          <t>2524</t>
        </is>
      </c>
      <c r="E5" s="6" t="inlineStr">
        <is>
          <t>2463</t>
        </is>
      </c>
      <c r="F5" s="5" t="inlineStr">
        <is>
          <t>Não saiu no TXT de 05/2026; incluir para os próximos meses</t>
        </is>
      </c>
      <c r="G5" s="7" t="inlineStr"/>
      <c r="H5" s="7" t="inlineStr"/>
    </row>
    <row r="6">
      <c r="A6" s="5" t="inlineStr">
        <is>
          <t>5 - COM BRUNO ECKS</t>
        </is>
      </c>
      <c r="B6" s="5" t="inlineStr">
        <is>
          <t>937 - ADIANTAMENTO DE FERIAS</t>
        </is>
      </c>
      <c r="C6" s="6" t="inlineStr">
        <is>
          <t>Folha</t>
        </is>
      </c>
      <c r="D6" s="6" t="inlineStr">
        <is>
          <t>2524</t>
        </is>
      </c>
      <c r="E6" s="6" t="inlineStr">
        <is>
          <t>2463</t>
        </is>
      </c>
      <c r="F6" s="5" t="inlineStr">
        <is>
          <t>Não saiu no TXT de 05/2026; incluir para os próximos meses</t>
        </is>
      </c>
      <c r="G6" s="7" t="inlineStr"/>
      <c r="H6" s="7" t="inlineStr"/>
    </row>
    <row r="7">
      <c r="A7" s="5" t="inlineStr">
        <is>
          <t>7 - DES TECNOLOGIA</t>
        </is>
      </c>
      <c r="B7" s="5" t="inlineStr">
        <is>
          <t>937 - ADIANTAMENTO DE FERIAS</t>
        </is>
      </c>
      <c r="C7" s="6" t="inlineStr">
        <is>
          <t>Folha</t>
        </is>
      </c>
      <c r="D7" s="6" t="inlineStr">
        <is>
          <t>2524</t>
        </is>
      </c>
      <c r="E7" s="6" t="inlineStr">
        <is>
          <t>2463</t>
        </is>
      </c>
      <c r="F7" s="5" t="inlineStr">
        <is>
          <t>Não saiu no TXT de 05/2026; incluir para os próximos meses</t>
        </is>
      </c>
      <c r="G7" s="7" t="inlineStr"/>
      <c r="H7" s="7" t="inlineStr"/>
    </row>
    <row r="8">
      <c r="A8" s="5" t="inlineStr">
        <is>
          <t>9 - CONSULTORIA INTERNA E GP</t>
        </is>
      </c>
      <c r="B8" s="5" t="inlineStr">
        <is>
          <t>937 - ADIANTAMENTO DE FERIAS</t>
        </is>
      </c>
      <c r="C8" s="6" t="inlineStr">
        <is>
          <t>Folha</t>
        </is>
      </c>
      <c r="D8" s="6" t="inlineStr">
        <is>
          <t>2524</t>
        </is>
      </c>
      <c r="E8" s="6" t="inlineStr">
        <is>
          <t>2463</t>
        </is>
      </c>
      <c r="F8" s="5" t="inlineStr">
        <is>
          <t>Não saiu no TXT de 05/2026; incluir para os próximos meses</t>
        </is>
      </c>
      <c r="G8" s="7" t="inlineStr"/>
      <c r="H8" s="7" t="inlineStr"/>
    </row>
    <row r="9">
      <c r="A9" s="5" t="inlineStr">
        <is>
          <t>10 - ADM FINANCEIRO</t>
        </is>
      </c>
      <c r="B9" s="5" t="inlineStr">
        <is>
          <t>937 - ADIANTAMENTO DE FERIAS</t>
        </is>
      </c>
      <c r="C9" s="6" t="inlineStr">
        <is>
          <t>Folha</t>
        </is>
      </c>
      <c r="D9" s="6" t="inlineStr">
        <is>
          <t>2524</t>
        </is>
      </c>
      <c r="E9" s="6" t="inlineStr">
        <is>
          <t>2463</t>
        </is>
      </c>
      <c r="F9" s="5" t="inlineStr">
        <is>
          <t>Não saiu no TXT de 05/2026; incluir para os próximos meses</t>
        </is>
      </c>
      <c r="G9" s="7" t="inlineStr"/>
      <c r="H9" s="7" t="inlineStr"/>
    </row>
    <row r="10">
      <c r="A10" s="5" t="inlineStr">
        <is>
          <t>11 - DES WEB</t>
        </is>
      </c>
      <c r="B10" s="5" t="inlineStr">
        <is>
          <t>937 - ADIANTAMENTO DE FERIAS</t>
        </is>
      </c>
      <c r="C10" s="6" t="inlineStr">
        <is>
          <t>Folha</t>
        </is>
      </c>
      <c r="D10" s="6" t="inlineStr">
        <is>
          <t>2524</t>
        </is>
      </c>
      <c r="E10" s="6" t="inlineStr">
        <is>
          <t>2463</t>
        </is>
      </c>
      <c r="F10" s="5" t="inlineStr">
        <is>
          <t>Não saiu no TXT de 05/2026; incluir para os próximos meses</t>
        </is>
      </c>
      <c r="G10" s="7" t="inlineStr"/>
      <c r="H10" s="7" t="inlineStr"/>
    </row>
    <row r="11">
      <c r="A11" s="5" t="inlineStr">
        <is>
          <t>12 - DES BACKOFFICE</t>
        </is>
      </c>
      <c r="B11" s="5" t="inlineStr">
        <is>
          <t>937 - ADIANTAMENTO DE FERIAS</t>
        </is>
      </c>
      <c r="C11" s="6" t="inlineStr">
        <is>
          <t>Folha</t>
        </is>
      </c>
      <c r="D11" s="6" t="inlineStr">
        <is>
          <t>2524</t>
        </is>
      </c>
      <c r="E11" s="6" t="inlineStr">
        <is>
          <t>2463</t>
        </is>
      </c>
      <c r="F11" s="5" t="inlineStr">
        <is>
          <t>Não saiu no TXT de 05/2026; incluir para os próximos meses</t>
        </is>
      </c>
      <c r="G11" s="7" t="inlineStr"/>
      <c r="H11" s="7" t="inlineStr"/>
    </row>
    <row r="12">
      <c r="A12" s="5" t="inlineStr">
        <is>
          <t>13 - DES PRODUÇÃO</t>
        </is>
      </c>
      <c r="B12" s="5" t="inlineStr">
        <is>
          <t>937 - ADIANTAMENTO DE FERIAS</t>
        </is>
      </c>
      <c r="C12" s="6" t="inlineStr">
        <is>
          <t>Folha</t>
        </is>
      </c>
      <c r="D12" s="6" t="inlineStr">
        <is>
          <t>2524</t>
        </is>
      </c>
      <c r="E12" s="6" t="inlineStr">
        <is>
          <t>2463</t>
        </is>
      </c>
      <c r="F12" s="5" t="inlineStr">
        <is>
          <t>Não saiu no TXT de 05/2026; incluir para os próximos meses</t>
        </is>
      </c>
      <c r="G12" s="7" t="inlineStr"/>
      <c r="H12" s="7" t="inlineStr"/>
    </row>
    <row r="13">
      <c r="A13" s="5" t="inlineStr">
        <is>
          <t>17 - DES FISCAL CONTABIL</t>
        </is>
      </c>
      <c r="B13" s="5" t="inlineStr">
        <is>
          <t>937 - ADIANTAMENTO DE FERIAS</t>
        </is>
      </c>
      <c r="C13" s="6" t="inlineStr">
        <is>
          <t>Folha</t>
        </is>
      </c>
      <c r="D13" s="6" t="inlineStr">
        <is>
          <t>2524</t>
        </is>
      </c>
      <c r="E13" s="6" t="inlineStr">
        <is>
          <t>2463</t>
        </is>
      </c>
      <c r="F13" s="5" t="inlineStr">
        <is>
          <t>Não saiu no TXT de 05/2026; incluir para os próximos meses</t>
        </is>
      </c>
      <c r="G13" s="7" t="inlineStr"/>
      <c r="H13" s="7" t="inlineStr"/>
    </row>
    <row r="14">
      <c r="A14" s="5" t="inlineStr">
        <is>
          <t>4 - COM HANTERS</t>
        </is>
      </c>
      <c r="B14" s="5" t="inlineStr">
        <is>
          <t>690 - CONTRIBUIÇÃO ASSISTENCIAL</t>
        </is>
      </c>
      <c r="C14" s="6" t="inlineStr">
        <is>
          <t>Folha</t>
        </is>
      </c>
      <c r="D14" s="6" t="inlineStr">
        <is>
          <t>2521</t>
        </is>
      </c>
      <c r="E14" s="6" t="inlineStr">
        <is>
          <t>3148</t>
        </is>
      </c>
      <c r="F14" s="5" t="inlineStr">
        <is>
          <t>Saiu certo em 05/2026; confirmar a configuração</t>
        </is>
      </c>
      <c r="G14" s="7" t="inlineStr"/>
      <c r="H14" s="7" t="inlineStr"/>
    </row>
    <row r="15">
      <c r="A15" s="5" t="inlineStr">
        <is>
          <t>7 - DES TECNOLOGIA</t>
        </is>
      </c>
      <c r="B15" s="5" t="inlineStr">
        <is>
          <t>690 - CONTRIBUIÇÃO ASSISTENCIAL</t>
        </is>
      </c>
      <c r="C15" s="6" t="inlineStr">
        <is>
          <t>Folha</t>
        </is>
      </c>
      <c r="D15" s="6" t="inlineStr">
        <is>
          <t>2521</t>
        </is>
      </c>
      <c r="E15" s="6" t="inlineStr">
        <is>
          <t>2905</t>
        </is>
      </c>
      <c r="F15" s="5" t="inlineStr">
        <is>
          <t>Saiu certo em 05/2026; confirmar a configuração</t>
        </is>
      </c>
      <c r="G15" s="7" t="inlineStr"/>
      <c r="H15" s="7" t="inlineStr"/>
    </row>
    <row r="16">
      <c r="A16" s="5" t="inlineStr">
        <is>
          <t>10 - ADM FINANCEIRO</t>
        </is>
      </c>
      <c r="B16" s="5" t="inlineStr">
        <is>
          <t>690 - CONTRIBUIÇÃO ASSISTENCIAL</t>
        </is>
      </c>
      <c r="C16" s="6" t="inlineStr">
        <is>
          <t>Folha</t>
        </is>
      </c>
      <c r="D16" s="6" t="inlineStr">
        <is>
          <t>2521</t>
        </is>
      </c>
      <c r="E16" s="6" t="inlineStr">
        <is>
          <t>3145</t>
        </is>
      </c>
      <c r="F16" s="5" t="inlineStr">
        <is>
          <t>Saiu certo em 05/2026; confirmar a configuração</t>
        </is>
      </c>
      <c r="G16" s="7" t="inlineStr"/>
      <c r="H16" s="7" t="inlineStr"/>
    </row>
    <row r="17">
      <c r="A17" s="5" t="inlineStr">
        <is>
          <t>11 - DES WEB</t>
        </is>
      </c>
      <c r="B17" s="5" t="inlineStr">
        <is>
          <t>690 - CONTRIBUIÇÃO ASSISTENCIAL</t>
        </is>
      </c>
      <c r="C17" s="6" t="inlineStr">
        <is>
          <t>Folha</t>
        </is>
      </c>
      <c r="D17" s="6" t="inlineStr">
        <is>
          <t>2521</t>
        </is>
      </c>
      <c r="E17" s="6" t="inlineStr">
        <is>
          <t>2905</t>
        </is>
      </c>
      <c r="F17" s="5" t="inlineStr">
        <is>
          <t>Saiu certo em 05/2026; confirmar a configuração</t>
        </is>
      </c>
      <c r="G17" s="7" t="inlineStr"/>
      <c r="H17" s="7" t="inlineStr"/>
    </row>
    <row r="18">
      <c r="A18" s="5" t="inlineStr">
        <is>
          <t>12 - DES BACKOFFICE</t>
        </is>
      </c>
      <c r="B18" s="5" t="inlineStr">
        <is>
          <t>690 - CONTRIBUIÇÃO ASSISTENCIAL</t>
        </is>
      </c>
      <c r="C18" s="6" t="inlineStr">
        <is>
          <t>Folha</t>
        </is>
      </c>
      <c r="D18" s="6" t="inlineStr">
        <is>
          <t>2521</t>
        </is>
      </c>
      <c r="E18" s="6" t="inlineStr">
        <is>
          <t>2905</t>
        </is>
      </c>
      <c r="F18" s="5" t="inlineStr">
        <is>
          <t>Saiu certo em 05/2026; confirmar a configuração</t>
        </is>
      </c>
      <c r="G18" s="7" t="inlineStr"/>
      <c r="H18" s="7" t="inlineStr"/>
    </row>
    <row r="19">
      <c r="A19" s="5" t="inlineStr">
        <is>
          <t>13 - DES PRODUÇÃO</t>
        </is>
      </c>
      <c r="B19" s="5" t="inlineStr">
        <is>
          <t>690 - CONTRIBUIÇÃO ASSISTENCIAL</t>
        </is>
      </c>
      <c r="C19" s="6" t="inlineStr">
        <is>
          <t>Folha</t>
        </is>
      </c>
      <c r="D19" s="6" t="inlineStr">
        <is>
          <t>2521</t>
        </is>
      </c>
      <c r="E19" s="6" t="inlineStr">
        <is>
          <t>2905</t>
        </is>
      </c>
      <c r="F19" s="5" t="inlineStr">
        <is>
          <t>Saiu certo em 05/2026; confirmar a configuração</t>
        </is>
      </c>
      <c r="G19" s="7" t="inlineStr"/>
      <c r="H19" s="7" t="inlineStr"/>
    </row>
    <row r="20">
      <c r="A20" s="5" t="inlineStr">
        <is>
          <t>17 - DES FISCAL CONTABIL</t>
        </is>
      </c>
      <c r="B20" s="5" t="inlineStr">
        <is>
          <t>690 - CONTRIBUIÇÃO ASSISTENCIAL</t>
        </is>
      </c>
      <c r="C20" s="6" t="inlineStr">
        <is>
          <t>Folha</t>
        </is>
      </c>
      <c r="D20" s="6" t="inlineStr">
        <is>
          <t>2521</t>
        </is>
      </c>
      <c r="E20" s="6" t="inlineStr">
        <is>
          <t>2905</t>
        </is>
      </c>
      <c r="F20" s="5" t="inlineStr">
        <is>
          <t>Saiu certo em 05/2026; confirmar a configuração</t>
        </is>
      </c>
      <c r="G20" s="7" t="inlineStr"/>
      <c r="H20" s="7" t="inlineStr"/>
    </row>
    <row r="21">
      <c r="A21" s="5" t="inlineStr">
        <is>
          <t>10 - ADM FINANCEIRO</t>
        </is>
      </c>
      <c r="B21" s="5" t="inlineStr">
        <is>
          <t>8797 - DIAS BOLSA AUXILIO</t>
        </is>
      </c>
      <c r="C21" s="6" t="inlineStr">
        <is>
          <t>Folha</t>
        </is>
      </c>
      <c r="D21" s="6" t="inlineStr">
        <is>
          <t>2995</t>
        </is>
      </c>
      <c r="E21" s="6" t="inlineStr">
        <is>
          <t>2526</t>
        </is>
      </c>
      <c r="F21" s="5" t="inlineStr">
        <is>
          <t>Sem estagiário em 05/2026 (exceto CC 10); confirmar crédito em 2526</t>
        </is>
      </c>
      <c r="G21" s="7" t="inlineStr"/>
      <c r="H21" s="7" t="inlineStr"/>
    </row>
    <row r="22">
      <c r="A22" s="5" t="inlineStr">
        <is>
          <t>11 - DES WEB</t>
        </is>
      </c>
      <c r="B22" s="5" t="inlineStr">
        <is>
          <t>8797 - DIAS BOLSA AUXILIO</t>
        </is>
      </c>
      <c r="C22" s="6" t="inlineStr">
        <is>
          <t>Folha</t>
        </is>
      </c>
      <c r="D22" s="6" t="inlineStr">
        <is>
          <t>2910</t>
        </is>
      </c>
      <c r="E22" s="6" t="inlineStr">
        <is>
          <t>2526</t>
        </is>
      </c>
      <c r="F22" s="5" t="inlineStr">
        <is>
          <t>Sem estagiário em 05/2026 (exceto CC 10); confirmar crédito em 2526</t>
        </is>
      </c>
      <c r="G22" s="7" t="inlineStr"/>
      <c r="H22" s="7" t="inlineStr"/>
    </row>
    <row r="23">
      <c r="A23" s="5" t="inlineStr">
        <is>
          <t>12 - DES BACKOFFICE</t>
        </is>
      </c>
      <c r="B23" s="5" t="inlineStr">
        <is>
          <t>8797 - DIAS BOLSA AUXILIO</t>
        </is>
      </c>
      <c r="C23" s="6" t="inlineStr">
        <is>
          <t>Folha</t>
        </is>
      </c>
      <c r="D23" s="6" t="inlineStr">
        <is>
          <t>2910</t>
        </is>
      </c>
      <c r="E23" s="6" t="inlineStr">
        <is>
          <t>2526</t>
        </is>
      </c>
      <c r="F23" s="5" t="inlineStr">
        <is>
          <t>Sem estagiário em 05/2026 (exceto CC 10); confirmar crédito em 2526</t>
        </is>
      </c>
      <c r="G23" s="7" t="inlineStr"/>
      <c r="H23" s="7" t="inlineStr"/>
    </row>
    <row r="24">
      <c r="A24" s="5" t="inlineStr">
        <is>
          <t>17 - DES FISCAL CONTABIL</t>
        </is>
      </c>
      <c r="B24" s="5" t="inlineStr">
        <is>
          <t>8797 - DIAS BOLSA AUXILIO</t>
        </is>
      </c>
      <c r="C24" s="6" t="inlineStr">
        <is>
          <t>Folha</t>
        </is>
      </c>
      <c r="D24" s="6" t="inlineStr">
        <is>
          <t>2910</t>
        </is>
      </c>
      <c r="E24" s="6" t="inlineStr">
        <is>
          <t>2526</t>
        </is>
      </c>
      <c r="F24" s="5" t="inlineStr">
        <is>
          <t>Sem estagiário em 05/2026 (exceto CC 10); confirmar crédito em 2526</t>
        </is>
      </c>
      <c r="G24" s="7" t="inlineStr"/>
      <c r="H24" s="7" t="inlineStr"/>
    </row>
    <row r="25">
      <c r="F25" s="9" t="inlineStr">
        <is>
          <t>Conferidos:</t>
        </is>
      </c>
      <c r="G25" s="9">
        <f>COUNTIF(G5:G24,"Sim")&amp;" de "&amp;ROWS(G5:G24)</f>
        <v/>
      </c>
    </row>
  </sheetData>
  <dataValidations count="1">
    <dataValidation sqref="G5:G24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2026-09-28T14:55:06Z</dcterms:created>
  <dcterms:modified xsi:type="dcterms:W3CDTF">2026-09-28T14:55:06Z</dcterms:modified>
</cp:coreProperties>
</file>