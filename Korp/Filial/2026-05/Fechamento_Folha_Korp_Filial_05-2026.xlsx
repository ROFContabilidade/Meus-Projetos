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05-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-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8" customWidth="1" min="2" max="2"/>
    <col width="13" customWidth="1" min="3" max="3"/>
  </cols>
  <sheetData>
    <row r="1">
      <c r="A1" s="1" t="inlineStr">
        <is>
          <t>KORP Filial (145) - Fechamento da folha - Contas patrimoniais</t>
        </is>
      </c>
    </row>
    <row r="2">
      <c r="A2" s="2" t="inlineStr">
        <is>
          <t>Valores = movimento do mês (crédito - débito). Confere = folha do mês + competência de outros meses = TXT corrigido.</t>
        </is>
      </c>
    </row>
    <row r="4">
      <c r="A4" s="3" t="inlineStr">
        <is>
          <t>Conta</t>
        </is>
      </c>
      <c r="B4" s="3" t="inlineStr">
        <is>
          <t>Descrição</t>
        </is>
      </c>
      <c r="C4" s="3" t="inlineStr">
        <is>
          <t>05-2026</t>
        </is>
      </c>
    </row>
    <row r="5">
      <c r="A5" s="4" t="inlineStr">
        <is>
          <t>2521</t>
        </is>
      </c>
      <c r="B5" s="4" t="inlineStr">
        <is>
          <t>Salários a Pagar</t>
        </is>
      </c>
      <c r="C5" s="5">
        <f>'05-2026'!F5</f>
        <v/>
      </c>
    </row>
    <row r="6">
      <c r="A6" s="4" t="inlineStr">
        <is>
          <t>2523</t>
        </is>
      </c>
      <c r="B6" s="4" t="inlineStr">
        <is>
          <t>Indenizações Trabalhistas (rescisões)</t>
        </is>
      </c>
      <c r="C6" s="5">
        <f>'05-2026'!F6</f>
        <v/>
      </c>
    </row>
    <row r="7">
      <c r="A7" s="4" t="inlineStr">
        <is>
          <t>2524</t>
        </is>
      </c>
      <c r="B7" s="4" t="inlineStr">
        <is>
          <t>Férias a Pagar</t>
        </is>
      </c>
      <c r="C7" s="5">
        <f>'05-2026'!F7</f>
        <v/>
      </c>
    </row>
    <row r="8">
      <c r="A8" s="4" t="inlineStr">
        <is>
          <t>2526</t>
        </is>
      </c>
      <c r="B8" s="4" t="inlineStr">
        <is>
          <t>Estágios a pagar</t>
        </is>
      </c>
      <c r="C8" s="5">
        <f>'05-2026'!F8</f>
        <v/>
      </c>
    </row>
    <row r="9">
      <c r="A9" s="4" t="inlineStr">
        <is>
          <t>2530</t>
        </is>
      </c>
      <c r="B9" s="4" t="inlineStr">
        <is>
          <t>FGTS a Recolher</t>
        </is>
      </c>
      <c r="C9" s="5">
        <f>'05-2026'!F9</f>
        <v/>
      </c>
    </row>
    <row r="10">
      <c r="A10" s="4" t="inlineStr">
        <is>
          <t>2531</t>
        </is>
      </c>
      <c r="B10" s="4" t="inlineStr">
        <is>
          <t>INSS a Recolher</t>
        </is>
      </c>
      <c r="C10" s="5">
        <f>'05-2026'!F10</f>
        <v/>
      </c>
    </row>
    <row r="11">
      <c r="A11" s="4" t="inlineStr">
        <is>
          <t>2533</t>
        </is>
      </c>
      <c r="B11" s="4" t="inlineStr">
        <is>
          <t>IRRF a Recolher s/ Folha</t>
        </is>
      </c>
      <c r="C11" s="5">
        <f>'05-2026'!F11</f>
        <v/>
      </c>
    </row>
    <row r="12">
      <c r="A12" s="4" t="inlineStr">
        <is>
          <t>3137</t>
        </is>
      </c>
      <c r="B12" s="4" t="inlineStr">
        <is>
          <t>Empréstimo a Funcionário (consignado)</t>
        </is>
      </c>
      <c r="C12" s="5">
        <f>'05-2026'!F12</f>
        <v/>
      </c>
    </row>
    <row r="13">
      <c r="A13" s="4" t="inlineStr">
        <is>
          <t>2463</t>
        </is>
      </c>
      <c r="B13" s="4" t="inlineStr">
        <is>
          <t>Adiantamento de Férias (ativo)</t>
        </is>
      </c>
      <c r="C13" s="5">
        <f>'05-2026'!F13</f>
        <v/>
      </c>
    </row>
    <row r="14">
      <c r="B14" s="6" t="inlineStr">
        <is>
          <t>Confere com a folha?</t>
        </is>
      </c>
      <c r="C14" s="7">
        <f>IF(COUNTIF('05-2026'!H5:H13,"Não")=0,"Sim","Não")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4" customWidth="1" min="2" max="2"/>
    <col width="16" customWidth="1" min="3" max="3"/>
    <col width="15" customWidth="1" min="4" max="4"/>
    <col width="13" customWidth="1" min="5" max="5"/>
    <col width="16" customWidth="1" min="6" max="6"/>
    <col width="16" customWidth="1" min="7" max="7"/>
    <col width="10" customWidth="1" min="8" max="8"/>
    <col width="90" customWidth="1" min="9" max="9"/>
  </cols>
  <sheetData>
    <row r="1">
      <c r="A1" s="1" t="inlineStr">
        <is>
          <t>KORP Filial (145) - Fechamento da folha - Contas patrimoniais - 05/2026</t>
        </is>
      </c>
    </row>
    <row r="2">
      <c r="A2" s="2" t="inlineStr">
        <is>
          <t>Liquido do extrato 05/2026: 83.431,14 (sem rescisões). Situação: TXT corrigido gerado e importado na Korp.</t>
        </is>
      </c>
    </row>
    <row r="4">
      <c r="A4" s="3" t="inlineStr">
        <is>
          <t>Conta</t>
        </is>
      </c>
      <c r="B4" s="3" t="inlineStr">
        <is>
          <t>Descrição</t>
        </is>
      </c>
      <c r="C4" s="3" t="inlineStr">
        <is>
          <t>Valor pela folha (extrato do mês)</t>
        </is>
      </c>
      <c r="D4" s="3" t="inlineStr">
        <is>
          <t>Valor no TXT do Domínio</t>
        </is>
      </c>
      <c r="E4" s="3" t="inlineStr">
        <is>
          <t>Correções de conta</t>
        </is>
      </c>
      <c r="F4" s="3" t="inlineStr">
        <is>
          <t>TXT corrigido (lançado na Korp)</t>
        </is>
      </c>
      <c r="G4" s="3" t="inlineStr">
        <is>
          <t>Competência de outros meses no TXT</t>
        </is>
      </c>
      <c r="H4" s="3" t="inlineStr">
        <is>
          <t>Confere?</t>
        </is>
      </c>
      <c r="I4" s="3" t="inlineStr">
        <is>
          <t>Composição</t>
        </is>
      </c>
    </row>
    <row r="5" ht="42" customHeight="1">
      <c r="A5" s="8" t="inlineStr">
        <is>
          <t>2521</t>
        </is>
      </c>
      <c r="B5" s="9" t="inlineStr">
        <is>
          <t>Salários a Pagar</t>
        </is>
      </c>
      <c r="C5" s="10" t="n">
        <v>78487.18000000001</v>
      </c>
      <c r="D5" s="10" t="n">
        <v>78065.32000000001</v>
      </c>
      <c r="E5" s="10" t="n">
        <v>421.86</v>
      </c>
      <c r="F5" s="10">
        <f>D5+E5</f>
        <v/>
      </c>
      <c r="G5" s="10" t="n">
        <v>0</v>
      </c>
      <c r="H5" s="8">
        <f>IF(ABS(C5+G5-F5)&lt;1,"Sim","Não")</f>
        <v/>
      </c>
      <c r="I5" s="11" t="inlineStr">
        <is>
          <t>+3.180,00 salário do Bruno (8781, CC 5) com D/C na mesma conta; -2.961,30 bolsas DES (CC 7 e 13) que vão para 2526; +203,16 afastamento do Michael (CC 8) lançado invertido</t>
        </is>
      </c>
    </row>
    <row r="6" ht="42" customHeight="1">
      <c r="A6" s="8" t="inlineStr">
        <is>
          <t>2523</t>
        </is>
      </c>
      <c r="B6" s="9" t="inlineStr">
        <is>
          <t>Indenizações Trabalhistas (rescisões)</t>
        </is>
      </c>
      <c r="C6" s="10" t="n">
        <v>0</v>
      </c>
      <c r="D6" s="10" t="n">
        <v>0</v>
      </c>
      <c r="E6" s="10" t="n">
        <v>0</v>
      </c>
      <c r="F6" s="10">
        <f>D6+E6</f>
        <v/>
      </c>
      <c r="G6" s="10" t="n">
        <v>0</v>
      </c>
      <c r="H6" s="8">
        <f>IF(ABS(C6+G6-F6)&lt;1,"Sim","Não")</f>
        <v/>
      </c>
      <c r="I6" s="11" t="inlineStr">
        <is>
          <t>Sem rescisões em 05/2026</t>
        </is>
      </c>
    </row>
    <row r="7" ht="42" customHeight="1">
      <c r="A7" s="8" t="inlineStr">
        <is>
          <t>2524</t>
        </is>
      </c>
      <c r="B7" s="9" t="inlineStr">
        <is>
          <t>Férias a Pagar</t>
        </is>
      </c>
      <c r="C7" s="10" t="n">
        <v>-188.7600000000002</v>
      </c>
      <c r="D7" s="10" t="n">
        <v>4146.44</v>
      </c>
      <c r="E7" s="10" t="n">
        <v>-4335.2</v>
      </c>
      <c r="F7" s="10">
        <f>D7+E7</f>
        <v/>
      </c>
      <c r="G7" s="10" t="n">
        <v>0</v>
      </c>
      <c r="H7" s="8">
        <f>IF(ABS(C7+G7-F7)&lt;1,"Sim","Não")</f>
        <v/>
      </c>
      <c r="I7" s="11" t="inlineStr">
        <is>
          <t>+651,08 férias da Atalia não exportadas; -60,24 INSS férias Atalia; -4.926,04 adiantamento de férias (Ana Paula, Atalia, Fernanda) não exportado. Saldo devedor: o adiantamento foi pago antes da folha</t>
        </is>
      </c>
    </row>
    <row r="8" ht="42" customHeight="1">
      <c r="A8" s="8" t="inlineStr">
        <is>
          <t>2526</t>
        </is>
      </c>
      <c r="B8" s="9" t="inlineStr">
        <is>
          <t>Estágios a pagar</t>
        </is>
      </c>
      <c r="C8" s="10" t="n">
        <v>5132.72</v>
      </c>
      <c r="D8" s="10" t="n">
        <v>2171.42</v>
      </c>
      <c r="E8" s="10" t="n">
        <v>2961.3</v>
      </c>
      <c r="F8" s="10">
        <f>D8+E8</f>
        <v/>
      </c>
      <c r="G8" s="10" t="n">
        <v>0</v>
      </c>
      <c r="H8" s="8">
        <f>IF(ABS(C8+G8-F8)&lt;1,"Sim","Não")</f>
        <v/>
      </c>
      <c r="I8" s="11" t="inlineStr">
        <is>
          <t>+2.961,30 bolsas DES (CC 7 e 13) creditadas em 2521</t>
        </is>
      </c>
    </row>
    <row r="9" ht="16" customHeight="1">
      <c r="A9" s="8" t="inlineStr">
        <is>
          <t>2530</t>
        </is>
      </c>
      <c r="B9" s="9" t="inlineStr">
        <is>
          <t>FGTS a Recolher</t>
        </is>
      </c>
      <c r="C9" s="10" t="n">
        <v>7558.72</v>
      </c>
      <c r="D9" s="10" t="n">
        <v>7558.72</v>
      </c>
      <c r="E9" s="10" t="n">
        <v>0</v>
      </c>
      <c r="F9" s="10">
        <f>D9+E9</f>
        <v/>
      </c>
      <c r="G9" s="10" t="n">
        <v>0</v>
      </c>
      <c r="H9" s="8">
        <f>IF(ABS(C9+G9-F9)&lt;1,"Sim","Não")</f>
        <v/>
      </c>
      <c r="I9" s="11" t="inlineStr"/>
    </row>
    <row r="10" ht="42" customHeight="1">
      <c r="A10" s="8" t="inlineStr">
        <is>
          <t>2531</t>
        </is>
      </c>
      <c r="B10" s="9" t="inlineStr">
        <is>
          <t>INSS a Recolher</t>
        </is>
      </c>
      <c r="C10" s="10" t="n">
        <v>34220.62</v>
      </c>
      <c r="D10" s="10" t="n">
        <v>33988.79</v>
      </c>
      <c r="E10" s="10" t="n">
        <v>231.5</v>
      </c>
      <c r="F10" s="10">
        <f>D10+E10</f>
        <v/>
      </c>
      <c r="G10" s="10" t="n">
        <v>0</v>
      </c>
      <c r="H10" s="8">
        <f>IF(ABS(C10+G10-F10)&lt;1,"Sim","Não")</f>
        <v/>
      </c>
      <c r="I10" s="11" t="inlineStr">
        <is>
          <t>+171,26 INSS férias Fernanda lançado em 3017; +60,24 INSS férias Atalia não exportado; 0,33 restante = arredondamento</t>
        </is>
      </c>
    </row>
    <row r="11" ht="16" customHeight="1">
      <c r="A11" s="8" t="inlineStr">
        <is>
          <t>2533</t>
        </is>
      </c>
      <c r="B11" s="9" t="inlineStr">
        <is>
          <t>IRRF a Recolher s/ Folha</t>
        </is>
      </c>
      <c r="C11" s="10" t="n">
        <v>1039.26</v>
      </c>
      <c r="D11" s="10" t="n">
        <v>1039.26</v>
      </c>
      <c r="E11" s="10" t="n">
        <v>0</v>
      </c>
      <c r="F11" s="10">
        <f>D11+E11</f>
        <v/>
      </c>
      <c r="G11" s="10" t="n">
        <v>0</v>
      </c>
      <c r="H11" s="8">
        <f>IF(ABS(C11+G11-F11)&lt;1,"Sim","Não")</f>
        <v/>
      </c>
      <c r="I11" s="11" t="inlineStr"/>
    </row>
    <row r="12" ht="16" customHeight="1">
      <c r="A12" s="8" t="inlineStr">
        <is>
          <t>3137</t>
        </is>
      </c>
      <c r="B12" s="9" t="inlineStr">
        <is>
          <t>Empréstimo a Funcionário (consignado)</t>
        </is>
      </c>
      <c r="C12" s="10" t="n">
        <v>1990.95</v>
      </c>
      <c r="D12" s="10" t="n">
        <v>1990.95</v>
      </c>
      <c r="E12" s="10" t="n">
        <v>0</v>
      </c>
      <c r="F12" s="10">
        <f>D12+E12</f>
        <v/>
      </c>
      <c r="G12" s="10" t="n">
        <v>0</v>
      </c>
      <c r="H12" s="8">
        <f>IF(ABS(C12+G12-F12)&lt;1,"Sim","Não")</f>
        <v/>
      </c>
      <c r="I12" s="11" t="inlineStr"/>
    </row>
    <row r="13" ht="42" customHeight="1">
      <c r="A13" s="8" t="inlineStr">
        <is>
          <t>2463</t>
        </is>
      </c>
      <c r="B13" s="9" t="inlineStr">
        <is>
          <t>Adiantamento de Férias (ativo)</t>
        </is>
      </c>
      <c r="C13" s="10" t="n">
        <v>4926.04</v>
      </c>
      <c r="D13" s="10" t="n">
        <v>0</v>
      </c>
      <c r="E13" s="10" t="n">
        <v>4926.04</v>
      </c>
      <c r="F13" s="10">
        <f>D13+E13</f>
        <v/>
      </c>
      <c r="G13" s="10" t="n">
        <v>0</v>
      </c>
      <c r="H13" s="8">
        <f>IF(ABS(C13+G13-F13)&lt;1,"Sim","Não")</f>
        <v/>
      </c>
      <c r="I13" s="11" t="inlineStr">
        <is>
          <t>Baixa do adiantamento de férias (Ana Paula 2.333,33; Atalia 590,84; Fernanda 2.001,87) não exportada</t>
        </is>
      </c>
    </row>
    <row r="15">
      <c r="A15" s="6" t="inlineStr">
        <is>
          <t>Salários + Indenizações + Férias + Estágios a pagar</t>
        </is>
      </c>
    </row>
    <row r="16">
      <c r="B16" s="6" t="inlineStr">
        <is>
          <t>Total</t>
        </is>
      </c>
      <c r="C16" s="12">
        <f>C5+C6+C7+C8</f>
        <v/>
      </c>
      <c r="D16" s="12">
        <f>D5+D6+D7+D8</f>
        <v/>
      </c>
      <c r="F16" s="12">
        <f>F5+F6+F7+F8</f>
        <v/>
      </c>
      <c r="G16" s="12">
        <f>G5+G6+G7+G8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2026-09-28T15:43:57Z</dcterms:created>
  <dcterms:modified xsi:type="dcterms:W3CDTF">2026-09-28T15:43:57Z</dcterms:modified>
</cp:coreProperties>
</file>