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ência 05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10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pivotButton="0" quotePrefix="0" xfId="0"/>
    <xf numFmtId="4" fontId="5" fillId="0" borderId="1" pivotButton="0" quotePrefix="0" xfId="0"/>
    <xf numFmtId="0" fontId="5" fillId="3" borderId="1" pivotButton="0" quotePrefix="0" xfId="0"/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2" customWidth="1" min="4" max="4"/>
    <col width="12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KORP Filial (145) - TXT 05/2026 - Lançamentos das contas 2530, 2531, 2533 e 3137</t>
        </is>
      </c>
    </row>
    <row r="2">
      <c r="A2" s="2" t="inlineStr">
        <is>
          <t>Marque na coluna amarela se o lançamento aparece no razão da Korp. Seq. = número do registro 03 no TXT corrigido de maio.</t>
        </is>
      </c>
    </row>
    <row r="4">
      <c r="A4" s="3" t="inlineStr">
        <is>
          <t>2530 - FGTS a Recolher</t>
        </is>
      </c>
    </row>
    <row r="5">
      <c r="A5" s="4" t="inlineStr">
        <is>
          <t>Seq.</t>
        </is>
      </c>
      <c r="B5" s="4" t="inlineStr">
        <is>
          <t>Data</t>
        </is>
      </c>
      <c r="C5" s="4" t="inlineStr">
        <is>
          <t>Conta débito</t>
        </is>
      </c>
      <c r="D5" s="4" t="inlineStr">
        <is>
          <t>Conta crédito</t>
        </is>
      </c>
      <c r="E5" s="4" t="inlineStr">
        <is>
          <t>Valor</t>
        </is>
      </c>
      <c r="F5" s="4" t="inlineStr">
        <is>
          <t>Histórico</t>
        </is>
      </c>
      <c r="G5" s="4" t="inlineStr">
        <is>
          <t>CC Korp (lado débito)</t>
        </is>
      </c>
      <c r="H5" s="4" t="inlineStr">
        <is>
          <t>Está no razão da Korp?</t>
        </is>
      </c>
    </row>
    <row r="6">
      <c r="A6" s="5" t="n">
        <v>37</v>
      </c>
      <c r="B6" s="5" t="inlineStr">
        <is>
          <t>30/05/2026</t>
        </is>
      </c>
      <c r="C6" s="5" t="inlineStr">
        <is>
          <t>2334</t>
        </is>
      </c>
      <c r="D6" s="5" t="inlineStr">
        <is>
          <t>2530</t>
        </is>
      </c>
      <c r="E6" s="6" t="n">
        <v>199.93</v>
      </c>
      <c r="F6" s="5" t="inlineStr">
        <is>
          <t>F.G.T.S DO MES</t>
        </is>
      </c>
      <c r="G6" s="5" t="inlineStr">
        <is>
          <t>CC379</t>
        </is>
      </c>
      <c r="H6" s="7" t="inlineStr"/>
    </row>
    <row r="7">
      <c r="A7" s="5" t="n">
        <v>92</v>
      </c>
      <c r="B7" s="5" t="inlineStr">
        <is>
          <t>30/05/2026</t>
        </is>
      </c>
      <c r="C7" s="5" t="inlineStr">
        <is>
          <t>2334</t>
        </is>
      </c>
      <c r="D7" s="5" t="inlineStr">
        <is>
          <t>2530</t>
        </is>
      </c>
      <c r="E7" s="6" t="n">
        <v>370.85</v>
      </c>
      <c r="F7" s="5" t="inlineStr">
        <is>
          <t>F.G.T.S DO MES</t>
        </is>
      </c>
      <c r="G7" s="5" t="inlineStr">
        <is>
          <t>CC379</t>
        </is>
      </c>
      <c r="H7" s="7" t="inlineStr"/>
    </row>
    <row r="8">
      <c r="A8" s="5" t="n">
        <v>127</v>
      </c>
      <c r="B8" s="5" t="inlineStr">
        <is>
          <t>30/05/2026</t>
        </is>
      </c>
      <c r="C8" s="5" t="inlineStr">
        <is>
          <t>2886</t>
        </is>
      </c>
      <c r="D8" s="5" t="inlineStr">
        <is>
          <t>2530</t>
        </is>
      </c>
      <c r="E8" s="6" t="n">
        <v>1662.58</v>
      </c>
      <c r="F8" s="5" t="inlineStr">
        <is>
          <t>F.G.T.S DO MES</t>
        </is>
      </c>
      <c r="G8" s="5" t="inlineStr">
        <is>
          <t>CC337</t>
        </is>
      </c>
      <c r="H8" s="7" t="inlineStr"/>
    </row>
    <row r="9">
      <c r="A9" s="5" t="n">
        <v>198</v>
      </c>
      <c r="B9" s="5" t="inlineStr">
        <is>
          <t>30/05/2026</t>
        </is>
      </c>
      <c r="C9" s="5" t="inlineStr">
        <is>
          <t>2913</t>
        </is>
      </c>
      <c r="D9" s="5" t="inlineStr">
        <is>
          <t>2530</t>
        </is>
      </c>
      <c r="E9" s="6" t="n">
        <v>2804.91</v>
      </c>
      <c r="F9" s="5" t="inlineStr">
        <is>
          <t>F.G.T.S DO MES</t>
        </is>
      </c>
      <c r="G9" s="5" t="inlineStr">
        <is>
          <t>CC345</t>
        </is>
      </c>
      <c r="H9" s="7" t="inlineStr"/>
    </row>
    <row r="10">
      <c r="A10" s="5" t="n">
        <v>242</v>
      </c>
      <c r="B10" s="5" t="inlineStr">
        <is>
          <t>30/05/2026</t>
        </is>
      </c>
      <c r="C10" s="5" t="inlineStr">
        <is>
          <t>2913</t>
        </is>
      </c>
      <c r="D10" s="5" t="inlineStr">
        <is>
          <t>2530</t>
        </is>
      </c>
      <c r="E10" s="6" t="n">
        <v>428.92</v>
      </c>
      <c r="F10" s="5" t="inlineStr">
        <is>
          <t>FGTS FERIAS</t>
        </is>
      </c>
      <c r="G10" s="5" t="inlineStr">
        <is>
          <t>CC345</t>
        </is>
      </c>
      <c r="H10" s="7" t="inlineStr"/>
    </row>
    <row r="11">
      <c r="A11" s="5" t="n">
        <v>306</v>
      </c>
      <c r="B11" s="5" t="inlineStr">
        <is>
          <t>30/05/2026</t>
        </is>
      </c>
      <c r="C11" s="5" t="inlineStr">
        <is>
          <t>3097</t>
        </is>
      </c>
      <c r="D11" s="5" t="inlineStr">
        <is>
          <t>2530</t>
        </is>
      </c>
      <c r="E11" s="6" t="n">
        <v>479.45</v>
      </c>
      <c r="F11" s="5" t="inlineStr">
        <is>
          <t>F.G.T.S DO MES</t>
        </is>
      </c>
      <c r="G11" s="5" t="inlineStr">
        <is>
          <t>CC644</t>
        </is>
      </c>
      <c r="H11" s="7" t="inlineStr"/>
    </row>
    <row r="12">
      <c r="A12" s="5" t="n">
        <v>348</v>
      </c>
      <c r="B12" s="5" t="inlineStr">
        <is>
          <t>30/05/2026</t>
        </is>
      </c>
      <c r="C12" s="5" t="inlineStr">
        <is>
          <t>2886</t>
        </is>
      </c>
      <c r="D12" s="5" t="inlineStr">
        <is>
          <t>2530</t>
        </is>
      </c>
      <c r="E12" s="6" t="n">
        <v>263.68</v>
      </c>
      <c r="F12" s="5" t="inlineStr">
        <is>
          <t>F.G.T.S DO MES</t>
        </is>
      </c>
      <c r="G12" s="5" t="inlineStr">
        <is>
          <t>CC337</t>
        </is>
      </c>
      <c r="H12" s="7" t="inlineStr"/>
    </row>
    <row r="13">
      <c r="A13" s="5" t="n">
        <v>375</v>
      </c>
      <c r="B13" s="5" t="inlineStr">
        <is>
          <t>30/05/2026</t>
        </is>
      </c>
      <c r="C13" s="5" t="inlineStr">
        <is>
          <t>2886</t>
        </is>
      </c>
      <c r="D13" s="5" t="inlineStr">
        <is>
          <t>2530</t>
        </is>
      </c>
      <c r="E13" s="6" t="n">
        <v>556.7</v>
      </c>
      <c r="F13" s="5" t="inlineStr">
        <is>
          <t>F.G.T.S DO MES</t>
        </is>
      </c>
      <c r="G13" s="5" t="inlineStr">
        <is>
          <t>CC337</t>
        </is>
      </c>
      <c r="H13" s="7" t="inlineStr"/>
    </row>
    <row r="14">
      <c r="A14" s="5" t="n">
        <v>421</v>
      </c>
      <c r="B14" s="5" t="inlineStr">
        <is>
          <t>30/05/2026</t>
        </is>
      </c>
      <c r="C14" s="5" t="inlineStr">
        <is>
          <t>2886</t>
        </is>
      </c>
      <c r="D14" s="5" t="inlineStr">
        <is>
          <t>2530</t>
        </is>
      </c>
      <c r="E14" s="6" t="n">
        <v>337.24</v>
      </c>
      <c r="F14" s="5" t="inlineStr">
        <is>
          <t>F.G.T.S DO MES</t>
        </is>
      </c>
      <c r="G14" s="5" t="inlineStr">
        <is>
          <t>CC337</t>
        </is>
      </c>
      <c r="H14" s="7" t="inlineStr"/>
    </row>
    <row r="15">
      <c r="A15" s="5" t="n">
        <v>468</v>
      </c>
      <c r="B15" s="5" t="inlineStr">
        <is>
          <t>30/05/2026</t>
        </is>
      </c>
      <c r="C15" s="5" t="inlineStr">
        <is>
          <t>2886</t>
        </is>
      </c>
      <c r="D15" s="5" t="inlineStr">
        <is>
          <t>2530</t>
        </is>
      </c>
      <c r="E15" s="6" t="n">
        <v>454.46</v>
      </c>
      <c r="F15" s="5" t="inlineStr">
        <is>
          <t>F.G.T.S DO MES</t>
        </is>
      </c>
      <c r="G15" s="5" t="inlineStr">
        <is>
          <t>CC337</t>
        </is>
      </c>
      <c r="H15" s="7" t="inlineStr"/>
    </row>
    <row r="16">
      <c r="D16" s="8" t="inlineStr">
        <is>
          <t>Total crédito</t>
        </is>
      </c>
      <c r="E16" s="9">
        <f>SUMIF(D6:D15,"2530",E6:E15)-SUMIF(C6:C15,"2530",E6:E15)</f>
        <v/>
      </c>
    </row>
    <row r="18">
      <c r="A18" s="3" t="inlineStr">
        <is>
          <t>2531 - INSS a Recolher</t>
        </is>
      </c>
    </row>
    <row r="19">
      <c r="A19" s="4" t="inlineStr">
        <is>
          <t>Seq.</t>
        </is>
      </c>
      <c r="B19" s="4" t="inlineStr">
        <is>
          <t>Data</t>
        </is>
      </c>
      <c r="C19" s="4" t="inlineStr">
        <is>
          <t>Conta débito</t>
        </is>
      </c>
      <c r="D19" s="4" t="inlineStr">
        <is>
          <t>Conta crédito</t>
        </is>
      </c>
      <c r="E19" s="4" t="inlineStr">
        <is>
          <t>Valor</t>
        </is>
      </c>
      <c r="F19" s="4" t="inlineStr">
        <is>
          <t>Histórico</t>
        </is>
      </c>
      <c r="G19" s="4" t="inlineStr">
        <is>
          <t>CC Korp (lado débito)</t>
        </is>
      </c>
      <c r="H19" s="4" t="inlineStr">
        <is>
          <t>Está no razão da Korp?</t>
        </is>
      </c>
    </row>
    <row r="20">
      <c r="A20" s="5" t="n">
        <v>10</v>
      </c>
      <c r="B20" s="5" t="inlineStr">
        <is>
          <t>08/05/2026</t>
        </is>
      </c>
      <c r="C20" s="5" t="inlineStr">
        <is>
          <t>2524</t>
        </is>
      </c>
      <c r="D20" s="5" t="inlineStr">
        <is>
          <t>2531</t>
        </is>
      </c>
      <c r="E20" s="6" t="n">
        <v>171.26</v>
      </c>
      <c r="F20" s="5" t="inlineStr">
        <is>
          <t>INSS FERIAS</t>
        </is>
      </c>
      <c r="G20" s="5" t="inlineStr">
        <is>
          <t>CC345</t>
        </is>
      </c>
      <c r="H20" s="7" t="inlineStr"/>
    </row>
    <row r="21">
      <c r="A21" s="5" t="n">
        <v>40</v>
      </c>
      <c r="B21" s="5" t="inlineStr">
        <is>
          <t>30/05/2026</t>
        </is>
      </c>
      <c r="C21" s="5" t="inlineStr">
        <is>
          <t>2521</t>
        </is>
      </c>
      <c r="D21" s="5" t="inlineStr">
        <is>
          <t>2531</t>
        </is>
      </c>
      <c r="E21" s="6" t="n">
        <v>200.6</v>
      </c>
      <c r="F21" s="5" t="inlineStr">
        <is>
          <t>I.N.S.S.</t>
        </is>
      </c>
      <c r="G21" s="5" t="inlineStr">
        <is>
          <t>CC379</t>
        </is>
      </c>
      <c r="H21" s="7" t="inlineStr"/>
    </row>
    <row r="22">
      <c r="A22" s="5" t="n">
        <v>55</v>
      </c>
      <c r="B22" s="5" t="inlineStr">
        <is>
          <t>30/05/2026</t>
        </is>
      </c>
      <c r="C22" s="5" t="inlineStr">
        <is>
          <t>2332</t>
        </is>
      </c>
      <c r="D22" s="5" t="inlineStr">
        <is>
          <t>2531</t>
        </is>
      </c>
      <c r="E22" s="6" t="n">
        <v>499.84</v>
      </c>
      <c r="F22" s="5" t="inlineStr">
        <is>
          <t>INSS Empresa</t>
        </is>
      </c>
      <c r="G22" s="5" t="inlineStr">
        <is>
          <t>CC379</t>
        </is>
      </c>
      <c r="H22" s="7" t="inlineStr"/>
    </row>
    <row r="23">
      <c r="A23" s="5" t="n">
        <v>58</v>
      </c>
      <c r="B23" s="5" t="inlineStr">
        <is>
          <t>30/05/2026</t>
        </is>
      </c>
      <c r="C23" s="5" t="inlineStr">
        <is>
          <t>2332</t>
        </is>
      </c>
      <c r="D23" s="5" t="inlineStr">
        <is>
          <t>2531</t>
        </is>
      </c>
      <c r="E23" s="6" t="n">
        <v>144.93</v>
      </c>
      <c r="F23" s="5" t="inlineStr">
        <is>
          <t>INSS Terceiros</t>
        </is>
      </c>
      <c r="G23" s="5" t="inlineStr">
        <is>
          <t>CC379</t>
        </is>
      </c>
      <c r="H23" s="7" t="inlineStr"/>
    </row>
    <row r="24">
      <c r="A24" s="5" t="n">
        <v>61</v>
      </c>
      <c r="B24" s="5" t="inlineStr">
        <is>
          <t>30/05/2026</t>
        </is>
      </c>
      <c r="C24" s="5" t="inlineStr">
        <is>
          <t>2332</t>
        </is>
      </c>
      <c r="D24" s="5" t="inlineStr">
        <is>
          <t>2531</t>
        </is>
      </c>
      <c r="E24" s="6" t="n">
        <v>24.99</v>
      </c>
      <c r="F24" s="5" t="inlineStr">
        <is>
          <t>INSS Acid. Trabalho</t>
        </is>
      </c>
      <c r="G24" s="5" t="inlineStr">
        <is>
          <t>CC379</t>
        </is>
      </c>
      <c r="H24" s="7" t="inlineStr"/>
    </row>
    <row r="25">
      <c r="A25" s="5" t="n">
        <v>95</v>
      </c>
      <c r="B25" s="5" t="inlineStr">
        <is>
          <t>30/05/2026</t>
        </is>
      </c>
      <c r="C25" s="5" t="inlineStr">
        <is>
          <t>2521</t>
        </is>
      </c>
      <c r="D25" s="5" t="inlineStr">
        <is>
          <t>2531</t>
        </is>
      </c>
      <c r="E25" s="6" t="n">
        <v>450.5</v>
      </c>
      <c r="F25" s="5" t="inlineStr">
        <is>
          <t>I.N.S.S.</t>
        </is>
      </c>
      <c r="G25" s="5" t="inlineStr">
        <is>
          <t>CC379</t>
        </is>
      </c>
      <c r="H25" s="7" t="inlineStr"/>
    </row>
    <row r="26">
      <c r="A26" s="5" t="n">
        <v>102</v>
      </c>
      <c r="B26" s="5" t="inlineStr">
        <is>
          <t>30/05/2026</t>
        </is>
      </c>
      <c r="C26" s="5" t="inlineStr">
        <is>
          <t>2332</t>
        </is>
      </c>
      <c r="D26" s="5" t="inlineStr">
        <is>
          <t>2531</t>
        </is>
      </c>
      <c r="E26" s="6" t="n">
        <v>927.14</v>
      </c>
      <c r="F26" s="5" t="inlineStr">
        <is>
          <t>INSS Empresa</t>
        </is>
      </c>
      <c r="G26" s="5" t="inlineStr">
        <is>
          <t>CC379</t>
        </is>
      </c>
      <c r="H26" s="7" t="inlineStr"/>
    </row>
    <row r="27">
      <c r="A27" s="5" t="n">
        <v>105</v>
      </c>
      <c r="B27" s="5" t="inlineStr">
        <is>
          <t>30/05/2026</t>
        </is>
      </c>
      <c r="C27" s="5" t="inlineStr">
        <is>
          <t>2332</t>
        </is>
      </c>
      <c r="D27" s="5" t="inlineStr">
        <is>
          <t>2531</t>
        </is>
      </c>
      <c r="E27" s="6" t="n">
        <v>268.85</v>
      </c>
      <c r="F27" s="5" t="inlineStr">
        <is>
          <t>INSS Terceiros</t>
        </is>
      </c>
      <c r="G27" s="5" t="inlineStr">
        <is>
          <t>CC379</t>
        </is>
      </c>
      <c r="H27" s="7" t="inlineStr"/>
    </row>
    <row r="28">
      <c r="A28" s="5" t="n">
        <v>108</v>
      </c>
      <c r="B28" s="5" t="inlineStr">
        <is>
          <t>30/05/2026</t>
        </is>
      </c>
      <c r="C28" s="5" t="inlineStr">
        <is>
          <t>2332</t>
        </is>
      </c>
      <c r="D28" s="5" t="inlineStr">
        <is>
          <t>2531</t>
        </is>
      </c>
      <c r="E28" s="6" t="n">
        <v>46.35</v>
      </c>
      <c r="F28" s="5" t="inlineStr">
        <is>
          <t>INSS Acid. Trabalho</t>
        </is>
      </c>
      <c r="G28" s="5" t="inlineStr">
        <is>
          <t>CC379</t>
        </is>
      </c>
      <c r="H28" s="7" t="inlineStr"/>
    </row>
    <row r="29">
      <c r="A29" s="5" t="n">
        <v>130</v>
      </c>
      <c r="B29" s="5" t="inlineStr">
        <is>
          <t>30/05/2026</t>
        </is>
      </c>
      <c r="C29" s="5" t="inlineStr">
        <is>
          <t>2521</t>
        </is>
      </c>
      <c r="D29" s="5" t="inlineStr">
        <is>
          <t>2531</t>
        </is>
      </c>
      <c r="E29" s="6" t="n">
        <v>1986.15</v>
      </c>
      <c r="F29" s="5" t="inlineStr">
        <is>
          <t>I.N.S.S.</t>
        </is>
      </c>
      <c r="G29" s="5" t="inlineStr">
        <is>
          <t>CC337</t>
        </is>
      </c>
      <c r="H29" s="7" t="inlineStr"/>
    </row>
    <row r="30">
      <c r="A30" s="5" t="n">
        <v>148</v>
      </c>
      <c r="B30" s="5" t="inlineStr">
        <is>
          <t>30/05/2026</t>
        </is>
      </c>
      <c r="C30" s="5" t="inlineStr">
        <is>
          <t>2885</t>
        </is>
      </c>
      <c r="D30" s="5" t="inlineStr">
        <is>
          <t>2531</t>
        </is>
      </c>
      <c r="E30" s="6" t="n">
        <v>4156.47</v>
      </c>
      <c r="F30" s="5" t="inlineStr">
        <is>
          <t>INSS Empresa</t>
        </is>
      </c>
      <c r="G30" s="5" t="inlineStr">
        <is>
          <t>CC337</t>
        </is>
      </c>
      <c r="H30" s="7" t="inlineStr"/>
    </row>
    <row r="31">
      <c r="A31" s="5" t="n">
        <v>151</v>
      </c>
      <c r="B31" s="5" t="inlineStr">
        <is>
          <t>30/05/2026</t>
        </is>
      </c>
      <c r="C31" s="5" t="inlineStr">
        <is>
          <t>2885</t>
        </is>
      </c>
      <c r="D31" s="5" t="inlineStr">
        <is>
          <t>2531</t>
        </is>
      </c>
      <c r="E31" s="6" t="n">
        <v>1205.35</v>
      </c>
      <c r="F31" s="5" t="inlineStr">
        <is>
          <t>INSS Terceiros</t>
        </is>
      </c>
      <c r="G31" s="5" t="inlineStr">
        <is>
          <t>CC337</t>
        </is>
      </c>
      <c r="H31" s="7" t="inlineStr"/>
    </row>
    <row r="32">
      <c r="A32" s="5" t="n">
        <v>154</v>
      </c>
      <c r="B32" s="5" t="inlineStr">
        <is>
          <t>30/05/2026</t>
        </is>
      </c>
      <c r="C32" s="5" t="inlineStr">
        <is>
          <t>2885</t>
        </is>
      </c>
      <c r="D32" s="5" t="inlineStr">
        <is>
          <t>2531</t>
        </is>
      </c>
      <c r="E32" s="6" t="n">
        <v>207.82</v>
      </c>
      <c r="F32" s="5" t="inlineStr">
        <is>
          <t>INSS Acid. Trabalho</t>
        </is>
      </c>
      <c r="G32" s="5" t="inlineStr">
        <is>
          <t>CC337</t>
        </is>
      </c>
      <c r="H32" s="7" t="inlineStr"/>
    </row>
    <row r="33">
      <c r="A33" s="5" t="n">
        <v>195</v>
      </c>
      <c r="B33" s="5" t="inlineStr">
        <is>
          <t>30/05/2026</t>
        </is>
      </c>
      <c r="C33" s="5" t="inlineStr">
        <is>
          <t>2524</t>
        </is>
      </c>
      <c r="D33" s="5" t="inlineStr">
        <is>
          <t>2531</t>
        </is>
      </c>
      <c r="E33" s="6" t="n">
        <v>188.76</v>
      </c>
      <c r="F33" s="5" t="inlineStr">
        <is>
          <t>INSS DIFERENÇA DE FÉRIAS</t>
        </is>
      </c>
      <c r="G33" s="5" t="inlineStr">
        <is>
          <t>CC345</t>
        </is>
      </c>
      <c r="H33" s="7" t="inlineStr"/>
    </row>
    <row r="34">
      <c r="A34" s="5" t="n">
        <v>201</v>
      </c>
      <c r="B34" s="5" t="inlineStr">
        <is>
          <t>30/05/2026</t>
        </is>
      </c>
      <c r="C34" s="5" t="inlineStr">
        <is>
          <t>2521</t>
        </is>
      </c>
      <c r="D34" s="5" t="inlineStr">
        <is>
          <t>2531</t>
        </is>
      </c>
      <c r="E34" s="6" t="n">
        <v>3108.91</v>
      </c>
      <c r="F34" s="5" t="inlineStr">
        <is>
          <t>I.N.S.S.</t>
        </is>
      </c>
      <c r="G34" s="5" t="inlineStr">
        <is>
          <t>CC345</t>
        </is>
      </c>
      <c r="H34" s="7" t="inlineStr"/>
    </row>
    <row r="35">
      <c r="A35" s="5" t="n">
        <v>231</v>
      </c>
      <c r="B35" s="5" t="inlineStr">
        <is>
          <t>04/05/2026</t>
        </is>
      </c>
      <c r="C35" s="5" t="inlineStr">
        <is>
          <t>2524</t>
        </is>
      </c>
      <c r="D35" s="5" t="inlineStr">
        <is>
          <t>2531</t>
        </is>
      </c>
      <c r="E35" s="6" t="n">
        <v>204.04</v>
      </c>
      <c r="F35" s="5" t="inlineStr">
        <is>
          <t>INSS FERIAS</t>
        </is>
      </c>
      <c r="G35" s="5" t="inlineStr">
        <is>
          <t>CC345</t>
        </is>
      </c>
      <c r="H35" s="7" t="inlineStr"/>
    </row>
    <row r="36">
      <c r="A36" s="5" t="n">
        <v>245</v>
      </c>
      <c r="B36" s="5" t="inlineStr">
        <is>
          <t>30/05/2026</t>
        </is>
      </c>
      <c r="C36" s="5" t="inlineStr">
        <is>
          <t>3078</t>
        </is>
      </c>
      <c r="D36" s="5" t="inlineStr">
        <is>
          <t>2531</t>
        </is>
      </c>
      <c r="E36" s="6" t="n">
        <v>7012.37</v>
      </c>
      <c r="F36" s="5" t="inlineStr">
        <is>
          <t>INSS Empresa</t>
        </is>
      </c>
      <c r="G36" s="5" t="inlineStr">
        <is>
          <t>CC345</t>
        </is>
      </c>
      <c r="H36" s="7" t="inlineStr"/>
    </row>
    <row r="37">
      <c r="A37" s="5" t="n">
        <v>248</v>
      </c>
      <c r="B37" s="5" t="inlineStr">
        <is>
          <t>30/05/2026</t>
        </is>
      </c>
      <c r="C37" s="5" t="inlineStr">
        <is>
          <t>3078</t>
        </is>
      </c>
      <c r="D37" s="5" t="inlineStr">
        <is>
          <t>2531</t>
        </is>
      </c>
      <c r="E37" s="6" t="n">
        <v>2033.56</v>
      </c>
      <c r="F37" s="5" t="inlineStr">
        <is>
          <t>INSS Terceiros</t>
        </is>
      </c>
      <c r="G37" s="5" t="inlineStr">
        <is>
          <t>CC345</t>
        </is>
      </c>
      <c r="H37" s="7" t="inlineStr"/>
    </row>
    <row r="38">
      <c r="A38" s="5" t="n">
        <v>251</v>
      </c>
      <c r="B38" s="5" t="inlineStr">
        <is>
          <t>30/05/2026</t>
        </is>
      </c>
      <c r="C38" s="5" t="inlineStr">
        <is>
          <t>3078</t>
        </is>
      </c>
      <c r="D38" s="5" t="inlineStr">
        <is>
          <t>2531</t>
        </is>
      </c>
      <c r="E38" s="6" t="n">
        <v>350.61</v>
      </c>
      <c r="F38" s="5" t="inlineStr">
        <is>
          <t>INSS Acid. Trabalho</t>
        </is>
      </c>
      <c r="G38" s="5" t="inlineStr">
        <is>
          <t>CC345</t>
        </is>
      </c>
      <c r="H38" s="7" t="inlineStr"/>
    </row>
    <row r="39">
      <c r="A39" s="5" t="n">
        <v>254</v>
      </c>
      <c r="B39" s="5" t="inlineStr">
        <is>
          <t>30/05/2026</t>
        </is>
      </c>
      <c r="C39" s="5" t="inlineStr">
        <is>
          <t>3078</t>
        </is>
      </c>
      <c r="D39" s="5" t="inlineStr">
        <is>
          <t>2531</t>
        </is>
      </c>
      <c r="E39" s="6" t="n">
        <v>1072.31</v>
      </c>
      <c r="F39" s="5" t="inlineStr">
        <is>
          <t>INSS Empresa Férias</t>
        </is>
      </c>
      <c r="G39" s="5" t="inlineStr">
        <is>
          <t>CC345</t>
        </is>
      </c>
      <c r="H39" s="7" t="inlineStr"/>
    </row>
    <row r="40">
      <c r="A40" s="5" t="n">
        <v>257</v>
      </c>
      <c r="B40" s="5" t="inlineStr">
        <is>
          <t>30/05/2026</t>
        </is>
      </c>
      <c r="C40" s="5" t="inlineStr">
        <is>
          <t>3078</t>
        </is>
      </c>
      <c r="D40" s="5" t="inlineStr">
        <is>
          <t>2531</t>
        </is>
      </c>
      <c r="E40" s="6" t="n">
        <v>310.9</v>
      </c>
      <c r="F40" s="5" t="inlineStr">
        <is>
          <t>INSS Terceiros Férias</t>
        </is>
      </c>
      <c r="G40" s="5" t="inlineStr">
        <is>
          <t>CC345</t>
        </is>
      </c>
      <c r="H40" s="7" t="inlineStr"/>
    </row>
    <row r="41">
      <c r="A41" s="5" t="n">
        <v>260</v>
      </c>
      <c r="B41" s="5" t="inlineStr">
        <is>
          <t>30/05/2026</t>
        </is>
      </c>
      <c r="C41" s="5" t="inlineStr">
        <is>
          <t>3078</t>
        </is>
      </c>
      <c r="D41" s="5" t="inlineStr">
        <is>
          <t>2531</t>
        </is>
      </c>
      <c r="E41" s="6" t="n">
        <v>53.62</v>
      </c>
      <c r="F41" s="5" t="inlineStr">
        <is>
          <t>INSS Acid. Trabalho Férias</t>
        </is>
      </c>
      <c r="G41" s="5" t="inlineStr">
        <is>
          <t>CC345</t>
        </is>
      </c>
      <c r="H41" s="7" t="inlineStr"/>
    </row>
    <row r="42">
      <c r="A42" s="5" t="n">
        <v>279</v>
      </c>
      <c r="B42" s="5" t="inlineStr">
        <is>
          <t>04/05/2026</t>
        </is>
      </c>
      <c r="C42" s="5" t="inlineStr">
        <is>
          <t>2524</t>
        </is>
      </c>
      <c r="D42" s="5" t="inlineStr">
        <is>
          <t>2531</t>
        </is>
      </c>
      <c r="E42" s="6" t="n">
        <v>60.24</v>
      </c>
      <c r="F42" s="5" t="inlineStr">
        <is>
          <t>INSS FERIAS</t>
        </is>
      </c>
      <c r="G42" s="5" t="inlineStr">
        <is>
          <t>CC345</t>
        </is>
      </c>
      <c r="H42" s="7" t="inlineStr"/>
    </row>
    <row r="43">
      <c r="A43" s="5" t="n">
        <v>309</v>
      </c>
      <c r="B43" s="5" t="inlineStr">
        <is>
          <t>30/05/2026</t>
        </is>
      </c>
      <c r="C43" s="5" t="inlineStr">
        <is>
          <t>2521</t>
        </is>
      </c>
      <c r="D43" s="5" t="inlineStr">
        <is>
          <t>2531</t>
        </is>
      </c>
      <c r="E43" s="6" t="n">
        <v>640.55</v>
      </c>
      <c r="F43" s="5" t="inlineStr">
        <is>
          <t>I.N.S.S.</t>
        </is>
      </c>
      <c r="G43" s="5" t="inlineStr">
        <is>
          <t>CC644</t>
        </is>
      </c>
      <c r="H43" s="7" t="inlineStr"/>
    </row>
    <row r="44">
      <c r="A44" s="5" t="n">
        <v>323</v>
      </c>
      <c r="B44" s="5" t="inlineStr">
        <is>
          <t>30/05/2026</t>
        </is>
      </c>
      <c r="C44" s="5" t="inlineStr">
        <is>
          <t>3143</t>
        </is>
      </c>
      <c r="D44" s="5" t="inlineStr">
        <is>
          <t>2531</t>
        </is>
      </c>
      <c r="E44" s="6" t="n">
        <v>1198.64</v>
      </c>
      <c r="F44" s="5" t="inlineStr">
        <is>
          <t>INSS Empresa</t>
        </is>
      </c>
      <c r="G44" s="5" t="inlineStr">
        <is>
          <t>CC644</t>
        </is>
      </c>
      <c r="H44" s="7" t="inlineStr"/>
    </row>
    <row r="45">
      <c r="A45" s="5" t="n">
        <v>326</v>
      </c>
      <c r="B45" s="5" t="inlineStr">
        <is>
          <t>30/05/2026</t>
        </is>
      </c>
      <c r="C45" s="5" t="inlineStr">
        <is>
          <t>3143</t>
        </is>
      </c>
      <c r="D45" s="5" t="inlineStr">
        <is>
          <t>2531</t>
        </is>
      </c>
      <c r="E45" s="6" t="n">
        <v>347.58</v>
      </c>
      <c r="F45" s="5" t="inlineStr">
        <is>
          <t>INSS Terceiros</t>
        </is>
      </c>
      <c r="G45" s="5" t="inlineStr">
        <is>
          <t>CC644</t>
        </is>
      </c>
      <c r="H45" s="7" t="inlineStr"/>
    </row>
    <row r="46">
      <c r="A46" s="5" t="n">
        <v>329</v>
      </c>
      <c r="B46" s="5" t="inlineStr">
        <is>
          <t>30/05/2026</t>
        </is>
      </c>
      <c r="C46" s="5" t="inlineStr">
        <is>
          <t>3143</t>
        </is>
      </c>
      <c r="D46" s="5" t="inlineStr">
        <is>
          <t>2531</t>
        </is>
      </c>
      <c r="E46" s="6" t="n">
        <v>59.93</v>
      </c>
      <c r="F46" s="5" t="inlineStr">
        <is>
          <t>INSS Acid. Trabalho</t>
        </is>
      </c>
      <c r="G46" s="5" t="inlineStr">
        <is>
          <t>CC644</t>
        </is>
      </c>
      <c r="H46" s="7" t="inlineStr"/>
    </row>
    <row r="47">
      <c r="A47" s="5" t="n">
        <v>351</v>
      </c>
      <c r="B47" s="5" t="inlineStr">
        <is>
          <t>30/05/2026</t>
        </is>
      </c>
      <c r="C47" s="5" t="inlineStr">
        <is>
          <t>2521</t>
        </is>
      </c>
      <c r="D47" s="5" t="inlineStr">
        <is>
          <t>2531</t>
        </is>
      </c>
      <c r="E47" s="6" t="n">
        <v>284.1</v>
      </c>
      <c r="F47" s="5" t="inlineStr">
        <is>
          <t>I.N.S.S.</t>
        </is>
      </c>
      <c r="G47" s="5" t="inlineStr">
        <is>
          <t>CC337</t>
        </is>
      </c>
      <c r="H47" s="7" t="inlineStr"/>
    </row>
    <row r="48">
      <c r="A48" s="5" t="n">
        <v>358</v>
      </c>
      <c r="B48" s="5" t="inlineStr">
        <is>
          <t>30/05/2026</t>
        </is>
      </c>
      <c r="C48" s="5" t="inlineStr">
        <is>
          <t>2885</t>
        </is>
      </c>
      <c r="D48" s="5" t="inlineStr">
        <is>
          <t>2531</t>
        </is>
      </c>
      <c r="E48" s="6" t="n">
        <v>659.2</v>
      </c>
      <c r="F48" s="5" t="inlineStr">
        <is>
          <t>INSS Empresa</t>
        </is>
      </c>
      <c r="G48" s="5" t="inlineStr">
        <is>
          <t>CC337</t>
        </is>
      </c>
      <c r="H48" s="7" t="inlineStr"/>
    </row>
    <row r="49">
      <c r="A49" s="5" t="n">
        <v>361</v>
      </c>
      <c r="B49" s="5" t="inlineStr">
        <is>
          <t>30/05/2026</t>
        </is>
      </c>
      <c r="C49" s="5" t="inlineStr">
        <is>
          <t>2885</t>
        </is>
      </c>
      <c r="D49" s="5" t="inlineStr">
        <is>
          <t>2531</t>
        </is>
      </c>
      <c r="E49" s="6" t="n">
        <v>191.16</v>
      </c>
      <c r="F49" s="5" t="inlineStr">
        <is>
          <t>INSS Terceiros</t>
        </is>
      </c>
      <c r="G49" s="5" t="inlineStr">
        <is>
          <t>CC337</t>
        </is>
      </c>
      <c r="H49" s="7" t="inlineStr"/>
    </row>
    <row r="50">
      <c r="A50" s="5" t="n">
        <v>364</v>
      </c>
      <c r="B50" s="5" t="inlineStr">
        <is>
          <t>30/05/2026</t>
        </is>
      </c>
      <c r="C50" s="5" t="inlineStr">
        <is>
          <t>2885</t>
        </is>
      </c>
      <c r="D50" s="5" t="inlineStr">
        <is>
          <t>2531</t>
        </is>
      </c>
      <c r="E50" s="6" t="n">
        <v>32.96</v>
      </c>
      <c r="F50" s="5" t="inlineStr">
        <is>
          <t>INSS Acid. Trabalho</t>
        </is>
      </c>
      <c r="G50" s="5" t="inlineStr">
        <is>
          <t>CC337</t>
        </is>
      </c>
      <c r="H50" s="7" t="inlineStr"/>
    </row>
    <row r="51">
      <c r="A51" s="5" t="n">
        <v>378</v>
      </c>
      <c r="B51" s="5" t="inlineStr">
        <is>
          <t>30/05/2026</t>
        </is>
      </c>
      <c r="C51" s="5" t="inlineStr">
        <is>
          <t>2521</t>
        </is>
      </c>
      <c r="D51" s="5" t="inlineStr">
        <is>
          <t>2531</t>
        </is>
      </c>
      <c r="E51" s="6" t="n">
        <v>612.23</v>
      </c>
      <c r="F51" s="5" t="inlineStr">
        <is>
          <t>I.N.S.S.</t>
        </is>
      </c>
      <c r="G51" s="5" t="inlineStr">
        <is>
          <t>CC337</t>
        </is>
      </c>
      <c r="H51" s="7" t="inlineStr"/>
    </row>
    <row r="52">
      <c r="A52" s="5" t="n">
        <v>396</v>
      </c>
      <c r="B52" s="5" t="inlineStr">
        <is>
          <t>30/05/2026</t>
        </is>
      </c>
      <c r="C52" s="5" t="inlineStr">
        <is>
          <t>2885</t>
        </is>
      </c>
      <c r="D52" s="5" t="inlineStr">
        <is>
          <t>2531</t>
        </is>
      </c>
      <c r="E52" s="6" t="n">
        <v>1391.77</v>
      </c>
      <c r="F52" s="5" t="inlineStr">
        <is>
          <t>INSS Empresa</t>
        </is>
      </c>
      <c r="G52" s="5" t="inlineStr">
        <is>
          <t>CC337</t>
        </is>
      </c>
      <c r="H52" s="7" t="inlineStr"/>
    </row>
    <row r="53">
      <c r="A53" s="5" t="n">
        <v>399</v>
      </c>
      <c r="B53" s="5" t="inlineStr">
        <is>
          <t>30/05/2026</t>
        </is>
      </c>
      <c r="C53" s="5" t="inlineStr">
        <is>
          <t>2885</t>
        </is>
      </c>
      <c r="D53" s="5" t="inlineStr">
        <is>
          <t>2531</t>
        </is>
      </c>
      <c r="E53" s="6" t="n">
        <v>403.59</v>
      </c>
      <c r="F53" s="5" t="inlineStr">
        <is>
          <t>INSS Terceiros</t>
        </is>
      </c>
      <c r="G53" s="5" t="inlineStr">
        <is>
          <t>CC337</t>
        </is>
      </c>
      <c r="H53" s="7" t="inlineStr"/>
    </row>
    <row r="54">
      <c r="A54" s="5" t="n">
        <v>402</v>
      </c>
      <c r="B54" s="5" t="inlineStr">
        <is>
          <t>30/05/2026</t>
        </is>
      </c>
      <c r="C54" s="5" t="inlineStr">
        <is>
          <t>2885</t>
        </is>
      </c>
      <c r="D54" s="5" t="inlineStr">
        <is>
          <t>2531</t>
        </is>
      </c>
      <c r="E54" s="6" t="n">
        <v>69.58</v>
      </c>
      <c r="F54" s="5" t="inlineStr">
        <is>
          <t>INSS Acid. Trabalho</t>
        </is>
      </c>
      <c r="G54" s="5" t="inlineStr">
        <is>
          <t>CC337</t>
        </is>
      </c>
      <c r="H54" s="7" t="inlineStr"/>
    </row>
    <row r="55">
      <c r="A55" s="5" t="n">
        <v>424</v>
      </c>
      <c r="B55" s="5" t="inlineStr">
        <is>
          <t>30/05/2026</t>
        </is>
      </c>
      <c r="C55" s="5" t="inlineStr">
        <is>
          <t>2521</t>
        </is>
      </c>
      <c r="D55" s="5" t="inlineStr">
        <is>
          <t>2531</t>
        </is>
      </c>
      <c r="E55" s="6" t="n">
        <v>394.45</v>
      </c>
      <c r="F55" s="5" t="inlineStr">
        <is>
          <t>I.N.S.S.</t>
        </is>
      </c>
      <c r="G55" s="5" t="inlineStr">
        <is>
          <t>CC337</t>
        </is>
      </c>
      <c r="H55" s="7" t="inlineStr"/>
    </row>
    <row r="56">
      <c r="A56" s="5" t="n">
        <v>443</v>
      </c>
      <c r="B56" s="5" t="inlineStr">
        <is>
          <t>30/05/2026</t>
        </is>
      </c>
      <c r="C56" s="5" t="inlineStr">
        <is>
          <t>2885</t>
        </is>
      </c>
      <c r="D56" s="5" t="inlineStr">
        <is>
          <t>2531</t>
        </is>
      </c>
      <c r="E56" s="6" t="n">
        <v>843.11</v>
      </c>
      <c r="F56" s="5" t="inlineStr">
        <is>
          <t>INSS Empresa</t>
        </is>
      </c>
      <c r="G56" s="5" t="inlineStr">
        <is>
          <t>CC337</t>
        </is>
      </c>
      <c r="H56" s="7" t="inlineStr"/>
    </row>
    <row r="57">
      <c r="A57" s="5" t="n">
        <v>446</v>
      </c>
      <c r="B57" s="5" t="inlineStr">
        <is>
          <t>30/05/2026</t>
        </is>
      </c>
      <c r="C57" s="5" t="inlineStr">
        <is>
          <t>2885</t>
        </is>
      </c>
      <c r="D57" s="5" t="inlineStr">
        <is>
          <t>2531</t>
        </is>
      </c>
      <c r="E57" s="6" t="n">
        <v>244.48</v>
      </c>
      <c r="F57" s="5" t="inlineStr">
        <is>
          <t>INSS Terceiros</t>
        </is>
      </c>
      <c r="G57" s="5" t="inlineStr">
        <is>
          <t>CC337</t>
        </is>
      </c>
      <c r="H57" s="7" t="inlineStr"/>
    </row>
    <row r="58">
      <c r="A58" s="5" t="n">
        <v>449</v>
      </c>
      <c r="B58" s="5" t="inlineStr">
        <is>
          <t>30/05/2026</t>
        </is>
      </c>
      <c r="C58" s="5" t="inlineStr">
        <is>
          <t>2885</t>
        </is>
      </c>
      <c r="D58" s="5" t="inlineStr">
        <is>
          <t>2531</t>
        </is>
      </c>
      <c r="E58" s="6" t="n">
        <v>42.15</v>
      </c>
      <c r="F58" s="5" t="inlineStr">
        <is>
          <t>INSS Acid. Trabalho</t>
        </is>
      </c>
      <c r="G58" s="5" t="inlineStr">
        <is>
          <t>CC337</t>
        </is>
      </c>
      <c r="H58" s="7" t="inlineStr"/>
    </row>
    <row r="59">
      <c r="A59" s="5" t="n">
        <v>471</v>
      </c>
      <c r="B59" s="5" t="inlineStr">
        <is>
          <t>30/05/2026</t>
        </is>
      </c>
      <c r="C59" s="5" t="inlineStr">
        <is>
          <t>2521</t>
        </is>
      </c>
      <c r="D59" s="5" t="inlineStr">
        <is>
          <t>2531</t>
        </is>
      </c>
      <c r="E59" s="6" t="n">
        <v>596.8099999999999</v>
      </c>
      <c r="F59" s="5" t="inlineStr">
        <is>
          <t>I.N.S.S.</t>
        </is>
      </c>
      <c r="G59" s="5" t="inlineStr">
        <is>
          <t>CC337</t>
        </is>
      </c>
      <c r="H59" s="7" t="inlineStr"/>
    </row>
    <row r="60">
      <c r="A60" s="5" t="n">
        <v>481</v>
      </c>
      <c r="B60" s="5" t="inlineStr">
        <is>
          <t>30/05/2026</t>
        </is>
      </c>
      <c r="C60" s="5" t="inlineStr">
        <is>
          <t>2885</t>
        </is>
      </c>
      <c r="D60" s="5" t="inlineStr">
        <is>
          <t>2531</t>
        </is>
      </c>
      <c r="E60" s="6" t="n">
        <v>1136.16</v>
      </c>
      <c r="F60" s="5" t="inlineStr">
        <is>
          <t>INSS Empresa</t>
        </is>
      </c>
      <c r="G60" s="5" t="inlineStr">
        <is>
          <t>CC337</t>
        </is>
      </c>
      <c r="H60" s="7" t="inlineStr"/>
    </row>
    <row r="61">
      <c r="A61" s="5" t="n">
        <v>484</v>
      </c>
      <c r="B61" s="5" t="inlineStr">
        <is>
          <t>30/05/2026</t>
        </is>
      </c>
      <c r="C61" s="5" t="inlineStr">
        <is>
          <t>2885</t>
        </is>
      </c>
      <c r="D61" s="5" t="inlineStr">
        <is>
          <t>2531</t>
        </is>
      </c>
      <c r="E61" s="6" t="n">
        <v>329.47</v>
      </c>
      <c r="F61" s="5" t="inlineStr">
        <is>
          <t>INSS Terceiros</t>
        </is>
      </c>
      <c r="G61" s="5" t="inlineStr">
        <is>
          <t>CC337</t>
        </is>
      </c>
      <c r="H61" s="7" t="inlineStr"/>
    </row>
    <row r="62">
      <c r="A62" s="5" t="n">
        <v>487</v>
      </c>
      <c r="B62" s="5" t="inlineStr">
        <is>
          <t>30/05/2026</t>
        </is>
      </c>
      <c r="C62" s="5" t="inlineStr">
        <is>
          <t>2885</t>
        </is>
      </c>
      <c r="D62" s="5" t="inlineStr">
        <is>
          <t>2531</t>
        </is>
      </c>
      <c r="E62" s="6" t="n">
        <v>56.8</v>
      </c>
      <c r="F62" s="5" t="inlineStr">
        <is>
          <t>INSS Acid. Trabalho</t>
        </is>
      </c>
      <c r="G62" s="5" t="inlineStr">
        <is>
          <t>CC337</t>
        </is>
      </c>
      <c r="H62" s="7" t="inlineStr"/>
    </row>
    <row r="63">
      <c r="D63" s="8" t="inlineStr">
        <is>
          <t>Total crédito</t>
        </is>
      </c>
      <c r="E63" s="9">
        <f>SUMIF(D20:D62,"2531",E20:E62)-SUMIF(C20:C62,"2531",E20:E62)</f>
        <v/>
      </c>
    </row>
    <row r="65">
      <c r="A65" s="3" t="inlineStr">
        <is>
          <t>2533 - IRRF a Recolher s/ Folha</t>
        </is>
      </c>
    </row>
    <row r="66">
      <c r="A66" s="4" t="inlineStr">
        <is>
          <t>Seq.</t>
        </is>
      </c>
      <c r="B66" s="4" t="inlineStr">
        <is>
          <t>Data</t>
        </is>
      </c>
      <c r="C66" s="4" t="inlineStr">
        <is>
          <t>Conta débito</t>
        </is>
      </c>
      <c r="D66" s="4" t="inlineStr">
        <is>
          <t>Conta crédito</t>
        </is>
      </c>
      <c r="E66" s="4" t="inlineStr">
        <is>
          <t>Valor</t>
        </is>
      </c>
      <c r="F66" s="4" t="inlineStr">
        <is>
          <t>Histórico</t>
        </is>
      </c>
      <c r="G66" s="4" t="inlineStr">
        <is>
          <t>CC Korp (lado débito)</t>
        </is>
      </c>
      <c r="H66" s="4" t="inlineStr">
        <is>
          <t>Está no razão da Korp?</t>
        </is>
      </c>
    </row>
    <row r="67">
      <c r="A67" s="5" t="n">
        <v>133</v>
      </c>
      <c r="B67" s="5" t="inlineStr">
        <is>
          <t>30/05/2026</t>
        </is>
      </c>
      <c r="C67" s="5" t="inlineStr">
        <is>
          <t>2521</t>
        </is>
      </c>
      <c r="D67" s="5" t="inlineStr">
        <is>
          <t>2533</t>
        </is>
      </c>
      <c r="E67" s="6" t="n">
        <v>444.53</v>
      </c>
      <c r="F67" s="5" t="inlineStr">
        <is>
          <t>IMPOSTO DE RENDA.</t>
        </is>
      </c>
      <c r="G67" s="5" t="inlineStr">
        <is>
          <t>CC337</t>
        </is>
      </c>
      <c r="H67" s="7" t="inlineStr"/>
    </row>
    <row r="68">
      <c r="A68" s="5" t="n">
        <v>312</v>
      </c>
      <c r="B68" s="5" t="inlineStr">
        <is>
          <t>30/05/2026</t>
        </is>
      </c>
      <c r="C68" s="5" t="inlineStr">
        <is>
          <t>2521</t>
        </is>
      </c>
      <c r="D68" s="5" t="inlineStr">
        <is>
          <t>2533</t>
        </is>
      </c>
      <c r="E68" s="6" t="n">
        <v>330.46</v>
      </c>
      <c r="F68" s="5" t="inlineStr">
        <is>
          <t>IMPOSTO DE RENDA.</t>
        </is>
      </c>
      <c r="G68" s="5" t="inlineStr">
        <is>
          <t>CC644</t>
        </is>
      </c>
      <c r="H68" s="7" t="inlineStr"/>
    </row>
    <row r="69">
      <c r="A69" s="5" t="n">
        <v>474</v>
      </c>
      <c r="B69" s="5" t="inlineStr">
        <is>
          <t>30/05/2026</t>
        </is>
      </c>
      <c r="C69" s="5" t="inlineStr">
        <is>
          <t>2521</t>
        </is>
      </c>
      <c r="D69" s="5" t="inlineStr">
        <is>
          <t>2533</t>
        </is>
      </c>
      <c r="E69" s="6" t="n">
        <v>264.27</v>
      </c>
      <c r="F69" s="5" t="inlineStr">
        <is>
          <t>IMPOSTO DE RENDA.</t>
        </is>
      </c>
      <c r="G69" s="5" t="inlineStr">
        <is>
          <t>CC337</t>
        </is>
      </c>
      <c r="H69" s="7" t="inlineStr"/>
    </row>
    <row r="70">
      <c r="D70" s="8" t="inlineStr">
        <is>
          <t>Total crédito</t>
        </is>
      </c>
      <c r="E70" s="9">
        <f>SUMIF(D67:D69,"2533",E67:E69)-SUMIF(C67:C69,"2533",E67:E69)</f>
        <v/>
      </c>
    </row>
    <row r="72">
      <c r="A72" s="3" t="inlineStr">
        <is>
          <t>3137 - Empréstimo a Funcionário</t>
        </is>
      </c>
    </row>
    <row r="73">
      <c r="A73" s="4" t="inlineStr">
        <is>
          <t>Seq.</t>
        </is>
      </c>
      <c r="B73" s="4" t="inlineStr">
        <is>
          <t>Data</t>
        </is>
      </c>
      <c r="C73" s="4" t="inlineStr">
        <is>
          <t>Conta débito</t>
        </is>
      </c>
      <c r="D73" s="4" t="inlineStr">
        <is>
          <t>Conta crédito</t>
        </is>
      </c>
      <c r="E73" s="4" t="inlineStr">
        <is>
          <t>Valor</t>
        </is>
      </c>
      <c r="F73" s="4" t="inlineStr">
        <is>
          <t>Histórico</t>
        </is>
      </c>
      <c r="G73" s="4" t="inlineStr">
        <is>
          <t>CC Korp (lado débito)</t>
        </is>
      </c>
      <c r="H73" s="4" t="inlineStr">
        <is>
          <t>Está no razão da Korp?</t>
        </is>
      </c>
    </row>
    <row r="74">
      <c r="A74" s="5" t="n">
        <v>185</v>
      </c>
      <c r="B74" s="5" t="inlineStr">
        <is>
          <t>30/05/2026</t>
        </is>
      </c>
      <c r="C74" s="5" t="inlineStr">
        <is>
          <t>2521</t>
        </is>
      </c>
      <c r="D74" s="5" t="inlineStr">
        <is>
          <t>3137</t>
        </is>
      </c>
      <c r="E74" s="6" t="n">
        <v>106.36</v>
      </c>
      <c r="F74" s="5" t="inlineStr">
        <is>
          <t>DESC. EMP. CRED. TRAB Nº Emprestimo a Fu</t>
        </is>
      </c>
      <c r="G74" s="5" t="inlineStr">
        <is>
          <t>CC345</t>
        </is>
      </c>
      <c r="H74" s="7" t="inlineStr"/>
    </row>
    <row r="75">
      <c r="A75" s="5" t="n">
        <v>188</v>
      </c>
      <c r="B75" s="5" t="inlineStr">
        <is>
          <t>30/05/2026</t>
        </is>
      </c>
      <c r="C75" s="5" t="inlineStr">
        <is>
          <t>2521</t>
        </is>
      </c>
      <c r="D75" s="5" t="inlineStr">
        <is>
          <t>3137</t>
        </is>
      </c>
      <c r="E75" s="6" t="n">
        <v>203.46</v>
      </c>
      <c r="F75" s="5" t="inlineStr">
        <is>
          <t>DESC. EMP. CRED. TRAB Nº Emprestimo a Fu</t>
        </is>
      </c>
      <c r="G75" s="5" t="inlineStr">
        <is>
          <t>CC345</t>
        </is>
      </c>
      <c r="H75" s="7" t="inlineStr"/>
    </row>
    <row r="76">
      <c r="A76" s="5" t="n">
        <v>220</v>
      </c>
      <c r="B76" s="5" t="inlineStr">
        <is>
          <t>30/05/2026</t>
        </is>
      </c>
      <c r="C76" s="5" t="inlineStr">
        <is>
          <t>2521</t>
        </is>
      </c>
      <c r="D76" s="5" t="inlineStr">
        <is>
          <t>3137</t>
        </is>
      </c>
      <c r="E76" s="6" t="n">
        <v>1205.81</v>
      </c>
      <c r="F76" s="5" t="inlineStr">
        <is>
          <t>DESC. EMP. CRED. TRAB Nº Emprestimo a Fu</t>
        </is>
      </c>
      <c r="G76" s="5" t="inlineStr">
        <is>
          <t>CC345</t>
        </is>
      </c>
      <c r="H76" s="7" t="inlineStr"/>
    </row>
    <row r="77">
      <c r="A77" s="5" t="n">
        <v>393</v>
      </c>
      <c r="B77" s="5" t="inlineStr">
        <is>
          <t>30/05/2026</t>
        </is>
      </c>
      <c r="C77" s="5" t="inlineStr">
        <is>
          <t>2521</t>
        </is>
      </c>
      <c r="D77" s="5" t="inlineStr">
        <is>
          <t>3137</t>
        </is>
      </c>
      <c r="E77" s="6" t="n">
        <v>475.32</v>
      </c>
      <c r="F77" s="5" t="inlineStr">
        <is>
          <t>DESC EMP CRED TRAB FE Nª CONTRATO</t>
        </is>
      </c>
      <c r="G77" s="5" t="inlineStr">
        <is>
          <t>CC337</t>
        </is>
      </c>
      <c r="H77" s="7" t="inlineStr"/>
    </row>
    <row r="78">
      <c r="D78" s="8" t="inlineStr">
        <is>
          <t>Total crédito</t>
        </is>
      </c>
      <c r="E78" s="9">
        <f>SUMIF(D74:D77,"3137",E74:E77)-SUMIF(C74:C77,"3137",E74:E77)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2026-09-28T18:43:38Z</dcterms:created>
  <dcterms:modified xsi:type="dcterms:W3CDTF">2026-09-28T18:43:38Z</dcterms:modified>
</cp:coreProperties>
</file>