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ções 09-2026" sheetId="1" state="visible" r:id="rId1"/>
    <sheet xmlns:r="http://schemas.openxmlformats.org/officeDocument/2006/relationships" name="Conferê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38" customWidth="1" min="8" max="8"/>
    <col width="9" customWidth="1" min="9" max="9"/>
    <col width="12" customWidth="1" min="10" max="10"/>
    <col width="12" customWidth="1" min="11" max="11"/>
    <col width="28" customWidth="1" min="12" max="12"/>
    <col width="70" customWidth="1" min="13" max="13"/>
    <col width="11" customWidth="1" min="14" max="14"/>
    <col width="25" customWidth="1" min="15" max="15"/>
  </cols>
  <sheetData>
    <row r="1">
      <c r="A1" s="1" t="inlineStr">
        <is>
          <t>KORP - Lançamentos a corrigir manualmente - Folha 09/2026</t>
        </is>
      </c>
    </row>
    <row r="2">
      <c r="A2" t="inlineStr">
        <is>
          <t>Base: TXTs Folha_Korp_140_Matriz_09-2026 e Folha_Korp_145_Filial_09-2026. "Seq" é o número do lançamento (registro 03) dentro de cada TXT.</t>
        </is>
      </c>
    </row>
    <row r="4">
      <c r="A4" s="2" t="inlineStr">
        <is>
          <t>#</t>
        </is>
      </c>
      <c r="B4" s="2" t="inlineStr">
        <is>
          <t>Empresa</t>
        </is>
      </c>
      <c r="C4" s="2" t="inlineStr">
        <is>
          <t>Seq no TXT</t>
        </is>
      </c>
      <c r="D4" s="2" t="inlineStr">
        <is>
          <t>Data do lote</t>
        </is>
      </c>
      <c r="E4" s="2" t="inlineStr">
        <is>
          <t>Débito atual</t>
        </is>
      </c>
      <c r="F4" s="2" t="inlineStr">
        <is>
          <t>Crédito atual</t>
        </is>
      </c>
      <c r="G4" s="2" t="inlineStr">
        <is>
          <t>Valor</t>
        </is>
      </c>
      <c r="H4" s="2" t="inlineStr">
        <is>
          <t>Histórico</t>
        </is>
      </c>
      <c r="I4" s="2" t="inlineStr">
        <is>
          <t>CC Korp</t>
        </is>
      </c>
      <c r="J4" s="2" t="inlineStr">
        <is>
          <t>Débito correto</t>
        </is>
      </c>
      <c r="K4" s="2" t="inlineStr">
        <is>
          <t>Crédito correto</t>
        </is>
      </c>
      <c r="L4" s="2" t="inlineStr">
        <is>
          <t>Ação</t>
        </is>
      </c>
      <c r="M4" s="2" t="inlineStr">
        <is>
          <t>Motivo / conferência</t>
        </is>
      </c>
      <c r="N4" s="2" t="inlineStr">
        <is>
          <t>Corrigido?</t>
        </is>
      </c>
      <c r="O4" s="2" t="inlineStr">
        <is>
          <t>Observação</t>
        </is>
      </c>
    </row>
    <row r="5">
      <c r="A5" s="3" t="n">
        <v>1</v>
      </c>
      <c r="B5" s="3" t="inlineStr">
        <is>
          <t>Filial (145)</t>
        </is>
      </c>
      <c r="C5" s="3" t="n">
        <v>510</v>
      </c>
      <c r="D5" s="3" t="inlineStr">
        <is>
          <t>30/09/2026</t>
        </is>
      </c>
      <c r="E5" s="3" t="inlineStr">
        <is>
          <t>3137</t>
        </is>
      </c>
      <c r="F5" s="3" t="inlineStr">
        <is>
          <t>2521</t>
        </is>
      </c>
      <c r="G5" s="4" t="n">
        <v>459.65</v>
      </c>
      <c r="H5" s="3" t="inlineStr">
        <is>
          <t>ESTORNO DESC PROV EMPRESTIMO TRAB FERIAS (consignado Ana)</t>
        </is>
      </c>
      <c r="I5" s="3" t="inlineStr">
        <is>
          <t>CC345</t>
        </is>
      </c>
      <c r="J5" s="3" t="inlineStr">
        <is>
          <t>-</t>
        </is>
      </c>
      <c r="K5" s="3" t="inlineStr">
        <is>
          <t>-</t>
        </is>
      </c>
      <c r="L5" s="5" t="inlineStr">
        <is>
          <t>EXCLUIR o lançamento (os 2 registros 05 também)</t>
        </is>
      </c>
      <c r="M5" s="3" t="inlineStr">
        <is>
          <t>O Domínio exportou o estorno sem a provisão que ele anula. Com o estorno, 3137 da folha = 934,97; o extrato diz 1.394,62 (934,97 + 459,65). Sem o estorno, fecha.</t>
        </is>
      </c>
      <c r="N5" s="6" t="inlineStr"/>
      <c r="O5" s="6" t="inlineStr"/>
    </row>
    <row r="6">
      <c r="A6" s="3" t="n">
        <v>2</v>
      </c>
      <c r="B6" s="3" t="inlineStr">
        <is>
          <t>Matriz (140)</t>
        </is>
      </c>
      <c r="C6" s="3" t="n">
        <v>1062</v>
      </c>
      <c r="D6" s="3" t="inlineStr">
        <is>
          <t>30/09/2026</t>
        </is>
      </c>
      <c r="E6" s="3" t="inlineStr">
        <is>
          <t>2885</t>
        </is>
      </c>
      <c r="F6" s="3" t="inlineStr">
        <is>
          <t>2530</t>
        </is>
      </c>
      <c r="G6" s="4" t="n">
        <v>25.35</v>
      </c>
      <c r="H6" s="3" t="inlineStr">
        <is>
          <t>FGTS FERIAS</t>
        </is>
      </c>
      <c r="I6" s="3" t="inlineStr">
        <is>
          <t>CC337</t>
        </is>
      </c>
      <c r="J6" s="3" t="inlineStr">
        <is>
          <t>2886</t>
        </is>
      </c>
      <c r="K6" s="3" t="inlineStr">
        <is>
          <t>2530</t>
        </is>
      </c>
      <c r="L6" s="5" t="inlineStr">
        <is>
          <t>Trocar a conta do DÉBITO</t>
        </is>
      </c>
      <c r="M6" s="3" t="inlineStr">
        <is>
          <t>2885 é INSS Empresa (Desenvolvedores); FGTS do grupo é 2886. Todos os outros FGTS de férias do TXT já estão em 2886. Não altera saldo de 2530.</t>
        </is>
      </c>
      <c r="N6" s="6" t="inlineStr"/>
      <c r="O6" s="6" t="inlineStr"/>
    </row>
    <row r="7">
      <c r="A7" s="7" t="n">
        <v>3</v>
      </c>
      <c r="B7" s="7" t="inlineStr">
        <is>
          <t>Filial (145)</t>
        </is>
      </c>
      <c r="C7" s="7" t="n">
        <v>102</v>
      </c>
      <c r="D7" s="7" t="inlineStr">
        <is>
          <t>02/09/2026</t>
        </is>
      </c>
      <c r="E7" s="7" t="inlineStr">
        <is>
          <t>2900</t>
        </is>
      </c>
      <c r="F7" s="7" t="inlineStr">
        <is>
          <t>2523</t>
        </is>
      </c>
      <c r="G7" s="8" t="n">
        <v>3</v>
      </c>
      <c r="H7" s="7" t="inlineStr">
        <is>
          <t>MEDIAS HORAS AVISO PREVIO (Guilherme, rescisão de 08)</t>
        </is>
      </c>
      <c r="I7" s="7" t="inlineStr">
        <is>
          <t>CC379</t>
        </is>
      </c>
      <c r="J7" s="7" t="inlineStr">
        <is>
          <t>conforme sua decisão</t>
        </is>
      </c>
      <c r="K7" s="7" t="inlineStr">
        <is>
          <t>2523</t>
        </is>
      </c>
      <c r="L7" s="9" t="inlineStr">
        <is>
          <t>CONFERIR (não obrigatório)</t>
        </is>
      </c>
      <c r="M7" s="3" t="inlineStr">
        <is>
          <t>Conta 2900 é Folha Qualidade e o CC é Comercial (CC379). O Domínio exporta assim; a regra da skill é manter o CC do funcionário e avisar. Se quiser alinhar ao grupo Comercial, usar 2577 (HE) ou 2323.</t>
        </is>
      </c>
      <c r="N7" s="6" t="inlineStr"/>
      <c r="O7" s="6" t="inlineStr"/>
    </row>
    <row r="8">
      <c r="A8" s="7" t="n">
        <v>4</v>
      </c>
      <c r="B8" s="7" t="inlineStr">
        <is>
          <t>Filial (145)</t>
        </is>
      </c>
      <c r="C8" s="7" t="n">
        <v>114</v>
      </c>
      <c r="D8" s="7" t="inlineStr">
        <is>
          <t>02/09/2026</t>
        </is>
      </c>
      <c r="E8" s="7" t="inlineStr">
        <is>
          <t>2924</t>
        </is>
      </c>
      <c r="F8" s="7" t="inlineStr">
        <is>
          <t>2530</t>
        </is>
      </c>
      <c r="G8" s="8" t="n">
        <v>251</v>
      </c>
      <c r="H8" s="7" t="inlineStr">
        <is>
          <t>F.G.T.S DE AVISO PRÉVIO (Guilherme, rescisão de 08)</t>
        </is>
      </c>
      <c r="I8" s="7" t="inlineStr">
        <is>
          <t>CC379</t>
        </is>
      </c>
      <c r="J8" s="7" t="inlineStr">
        <is>
          <t>conforme sua decisão</t>
        </is>
      </c>
      <c r="K8" s="7" t="inlineStr">
        <is>
          <t>2530</t>
        </is>
      </c>
      <c r="L8" s="9" t="inlineStr">
        <is>
          <t>CONFERIR (não obrigatório)</t>
        </is>
      </c>
      <c r="M8" s="3" t="inlineStr">
        <is>
          <t>Conta 2924 é FGTS da Qualidade e o CC é Comercial (CC379). Grupo Comercial: 2334 (FGTS) ou 2335 (FGTS rescisões). Corrigir também no Domínio para não repetir.</t>
        </is>
      </c>
      <c r="N8" s="6" t="inlineStr"/>
      <c r="O8" s="6" t="inlineStr"/>
    </row>
    <row r="10">
      <c r="A10" t="inlineStr"/>
      <c r="B10" t="inlineStr">
        <is>
          <t>Total de lançamentos a ajustar (obrigatórios: 1 e 2)</t>
        </is>
      </c>
    </row>
    <row r="11">
      <c r="A11" t="inlineStr"/>
      <c r="B11" t="inlineStr">
        <is>
          <t>Corrigidos:</t>
        </is>
      </c>
      <c r="C11">
        <f>COUNTIF(N5:N8,"Sim")&amp;" de "&amp;COUNTA(A5:A8)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38" customWidth="1" min="3" max="3"/>
    <col width="15" customWidth="1" min="4" max="4"/>
    <col width="15" customWidth="1" min="5" max="5"/>
    <col width="18" customWidth="1" min="6" max="6"/>
    <col width="18" customWidth="1" min="7" max="7"/>
    <col width="80" customWidth="1" min="8" max="8"/>
  </cols>
  <sheetData>
    <row r="1">
      <c r="A1" s="10" t="inlineStr">
        <is>
          <t>Contas patrimoniais de 09/2026 (movimento = crédito - débito) - TXT da SKILL, após aplicar as correções</t>
        </is>
      </c>
    </row>
    <row r="2">
      <c r="A2" s="11" t="inlineStr">
        <is>
          <t>Empresa</t>
        </is>
      </c>
      <c r="B2" s="11" t="inlineStr">
        <is>
          <t>Conta</t>
        </is>
      </c>
      <c r="C2" s="11" t="inlineStr">
        <is>
          <t>Descrição</t>
        </is>
      </c>
      <c r="D2" s="11" t="inlineStr">
        <is>
          <t>Extrato (folha)</t>
        </is>
      </c>
      <c r="E2" s="11" t="inlineStr">
        <is>
          <t>TXT da SKILL</t>
        </is>
      </c>
      <c r="F2" s="11" t="inlineStr">
        <is>
          <t>TXT após correções</t>
        </is>
      </c>
      <c r="G2" s="11" t="inlineStr">
        <is>
          <t>Diferença p/ extrato</t>
        </is>
      </c>
      <c r="H2" s="11" t="inlineStr">
        <is>
          <t>Observação</t>
        </is>
      </c>
    </row>
    <row r="3">
      <c r="A3" t="inlineStr">
        <is>
          <t>Filial</t>
        </is>
      </c>
      <c r="B3" t="inlineStr">
        <is>
          <t>3137</t>
        </is>
      </c>
      <c r="C3" t="inlineStr">
        <is>
          <t>Empréstimo a Funcionário (consignado)</t>
        </is>
      </c>
      <c r="D3" s="12" t="n">
        <v>1394.62</v>
      </c>
      <c r="E3" s="12" t="n">
        <v>3351.68</v>
      </c>
      <c r="F3" s="12" t="n">
        <v>3811.33</v>
      </c>
      <c r="G3" s="12" t="n">
        <v>0</v>
      </c>
      <c r="H3" t="inlineStr">
        <is>
          <t>Folha 1.394,62 + consignado do Enzo (competência 08) 2.416,71 = 3.811,33. Fecha após excluir o estorno.</t>
        </is>
      </c>
    </row>
    <row r="4">
      <c r="A4" t="inlineStr">
        <is>
          <t>Matriz</t>
        </is>
      </c>
      <c r="B4" t="inlineStr">
        <is>
          <t>2530</t>
        </is>
      </c>
      <c r="C4" t="inlineStr">
        <is>
          <t>FGTS a Recolher</t>
        </is>
      </c>
      <c r="D4" s="12" t="n">
        <v>18496.02</v>
      </c>
      <c r="E4" s="12" t="n">
        <v>18496.02</v>
      </c>
      <c r="F4" s="12" t="n">
        <v>18496.02</v>
      </c>
      <c r="G4" s="12" t="n">
        <v>0</v>
      </c>
      <c r="H4" t="inlineStr">
        <is>
          <t>A correção da seq 1062 só troca a conta do débito; 2530 não muda.</t>
        </is>
      </c>
    </row>
    <row r="5">
      <c r="A5" t="inlineStr">
        <is>
          <t>Matriz</t>
        </is>
      </c>
      <c r="B5" t="inlineStr">
        <is>
          <t>2523</t>
        </is>
      </c>
      <c r="C5" t="inlineStr">
        <is>
          <t>Indenizações Trabalhistas</t>
        </is>
      </c>
      <c r="D5" s="12" t="n">
        <v>34579.17</v>
      </c>
      <c r="E5" s="12" t="n">
        <v>34579.17</v>
      </c>
      <c r="F5" s="12" t="n">
        <v>34579.17</v>
      </c>
      <c r="G5" s="12" t="n">
        <v>0</v>
      </c>
      <c r="H5" t="inlineStr">
        <is>
          <t>Líquido da rescisão do Augusto.</t>
        </is>
      </c>
    </row>
    <row r="6">
      <c r="A6" t="inlineStr">
        <is>
          <t>Filial</t>
        </is>
      </c>
      <c r="B6" t="inlineStr">
        <is>
          <t>2523</t>
        </is>
      </c>
      <c r="C6" t="inlineStr">
        <is>
          <t>Indenizações Trabalhistas</t>
        </is>
      </c>
      <c r="D6" s="12" t="n">
        <v>24700.8</v>
      </c>
      <c r="E6" s="12" t="n">
        <v>24700.8</v>
      </c>
      <c r="F6" s="12" t="n">
        <v>24700.8</v>
      </c>
      <c r="G6" s="12" t="n">
        <v>0</v>
      </c>
      <c r="H6" t="inlineStr">
        <is>
          <t>Guilherme 9.151,01 + Enzo 6.958,54 + Wellington 8.591,25 (08) + Isabele 0,00.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2026-10-21T20:23:26Z</dcterms:created>
  <dcterms:modified xmlns:dcterms="http://purl.org/dc/terms/" xmlns:xsi="http://www.w3.org/2001/XMLSchema-instance" xsi:type="dcterms:W3CDTF">2026-10-21T20:23:26Z</dcterms:modified>
</cp:coreProperties>
</file>