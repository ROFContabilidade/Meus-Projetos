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o" sheetId="1" state="visible" r:id="rId1"/>
    <sheet xmlns:r="http://schemas.openxmlformats.org/officeDocument/2006/relationships" name="Detalhe mensal" sheetId="2" state="visible" r:id="rId2"/>
    <sheet xmlns:r="http://schemas.openxmlformats.org/officeDocument/2006/relationships" name="Fora da comparaçã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0.00% &quot;do faturamento&quot;"/>
  </numFmts>
  <fonts count="15">
    <font>
      <name val="Calibri"/>
      <family val="2"/>
      <color theme="1"/>
      <sz val="11"/>
      <scheme val="minor"/>
    </font>
    <font>
      <b val="1"/>
      <color rgb="001F4E78"/>
      <sz val="13"/>
    </font>
    <font>
      <i val="1"/>
      <color rgb="00595959"/>
      <sz val="9"/>
    </font>
    <font>
      <b val="1"/>
      <color rgb="00FFFFFF"/>
    </font>
    <font>
      <b val="1"/>
    </font>
    <font>
      <color rgb="00595959"/>
      <sz val="9"/>
    </font>
    <font>
      <b val="1"/>
      <color rgb="001F4E78"/>
      <sz val="16"/>
    </font>
    <font>
      <color rgb="00595959"/>
      <sz val="10"/>
    </font>
    <font>
      <b val="1"/>
      <color rgb="00FFFFFF"/>
      <sz val="10"/>
    </font>
    <font>
      <b val="1"/>
      <color rgb="00595959"/>
      <sz val="15"/>
    </font>
    <font>
      <b val="1"/>
      <color rgb="001F4E78"/>
      <sz val="15"/>
    </font>
    <font>
      <b val="1"/>
      <color rgb="00C55A11"/>
      <sz val="15"/>
    </font>
    <font>
      <b val="1"/>
      <color rgb="007F6000"/>
      <sz val="15"/>
    </font>
    <font>
      <b val="1"/>
      <color rgb="007F6000"/>
      <sz val="11"/>
    </font>
    <font>
      <b val="1"/>
      <color rgb="001F4E78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55A11"/>
      </patternFill>
    </fill>
    <fill>
      <patternFill patternType="solid">
        <fgColor rgb="00F2F2F2"/>
      </patternFill>
    </fill>
    <fill>
      <patternFill patternType="solid">
        <fgColor rgb="00595959"/>
      </patternFill>
    </fill>
    <fill>
      <patternFill patternType="solid">
        <fgColor rgb="00F7F7F7"/>
      </patternFill>
    </fill>
    <fill>
      <patternFill patternType="solid">
        <fgColor rgb="007F6000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5" borderId="0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0" fontId="8" fillId="3" borderId="0" applyAlignment="1" pivotButton="0" quotePrefix="0" xfId="0">
      <alignment horizontal="center"/>
    </xf>
    <xf numFmtId="0" fontId="8" fillId="7" borderId="0" applyAlignment="1" pivotButton="0" quotePrefix="0" xfId="0">
      <alignment horizontal="center"/>
    </xf>
    <xf numFmtId="164" fontId="9" fillId="6" borderId="0" applyAlignment="1" pivotButton="0" quotePrefix="0" xfId="0">
      <alignment horizontal="center"/>
    </xf>
    <xf numFmtId="164" fontId="10" fillId="6" borderId="0" applyAlignment="1" pivotButton="0" quotePrefix="0" xfId="0">
      <alignment horizontal="center"/>
    </xf>
    <xf numFmtId="164" fontId="11" fillId="6" borderId="0" applyAlignment="1" pivotButton="0" quotePrefix="0" xfId="0">
      <alignment horizontal="center"/>
    </xf>
    <xf numFmtId="164" fontId="12" fillId="6" borderId="0" applyAlignment="1" pivotButton="0" quotePrefix="0" xfId="0">
      <alignment horizontal="center"/>
    </xf>
    <xf numFmtId="10" fontId="5" fillId="6" borderId="0" applyAlignment="1" pivotButton="0" quotePrefix="0" xfId="0">
      <alignment horizontal="center"/>
    </xf>
    <xf numFmtId="165" fontId="5" fillId="6" borderId="0" applyAlignment="1" pivotButton="0" quotePrefix="0" xfId="0">
      <alignment horizontal="center"/>
    </xf>
    <xf numFmtId="49" fontId="5" fillId="6" borderId="0" applyAlignment="1" pivotButton="0" quotePrefix="0" xfId="0">
      <alignment horizontal="center"/>
    </xf>
    <xf numFmtId="0" fontId="13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4" fillId="4" borderId="0" pivotButton="0" quotePrefix="0" xfId="0"/>
    <xf numFmtId="4" fontId="4" fillId="4" borderId="0" pivotButton="0" quotePrefix="0" xfId="0"/>
    <xf numFmtId="0" fontId="1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10" fontId="0" fillId="0" borderId="1" pivotButton="0" quotePrefix="0" xfId="0"/>
    <xf numFmtId="10" fontId="4" fillId="4" borderId="0" pivotButton="0" quotePrefix="0" xfId="0"/>
    <xf numFmtId="0" fontId="3" fillId="5" borderId="0" applyAlignment="1" pivotButton="0" quotePrefix="0" xfId="0">
      <alignment horizontal="center"/>
    </xf>
    <xf numFmtId="4" fontId="0" fillId="0" borderId="0" pivotButton="0" quotePrefix="0" xfId="0"/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Imposto por trimestre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'Comparativo'!D11</f>
            </strRef>
          </tx>
          <spPr>
            <a:solidFill xmlns:a="http://schemas.openxmlformats.org/drawingml/2006/main">
              <a:srgbClr val="1F4E78"/>
            </a:solidFill>
            <a:ln xmlns:a="http://schemas.openxmlformats.org/drawingml/2006/main">
              <a:solidFill>
                <a:srgbClr val="1F4E78"/>
              </a:solidFill>
              <a:prstDash val="solid"/>
            </a:ln>
          </spPr>
          <cat>
            <numRef>
              <f>'Comparativo'!$B$12:$B$14</f>
            </numRef>
          </cat>
          <val>
            <numRef>
              <f>'Comparativo'!$D$12:$D$14</f>
            </numRef>
          </val>
        </ser>
        <ser>
          <idx val="1"/>
          <order val="1"/>
          <tx>
            <strRef>
              <f>'Comparativo'!E11</f>
            </strRef>
          </tx>
          <spPr>
            <a:solidFill xmlns:a="http://schemas.openxmlformats.org/drawingml/2006/main">
              <a:srgbClr val="C55A11"/>
            </a:solidFill>
            <a:ln xmlns:a="http://schemas.openxmlformats.org/drawingml/2006/main">
              <a:solidFill>
                <a:srgbClr val="C55A11"/>
              </a:solidFill>
              <a:prstDash val="solid"/>
            </a:ln>
          </spPr>
          <cat>
            <numRef>
              <f>'Comparativo'!$B$12:$B$14</f>
            </numRef>
          </cat>
          <val>
            <numRef>
              <f>'Comparativo'!$E$12:$E$14</f>
            </numRef>
          </val>
        </ser>
        <dLbls>
          <numFmt formatCode="#,##0"/>
          <showLegendKey val="0"/>
          <showVal val="1"/>
          <showCatName val="0"/>
          <showSerName val="0"/>
        </dLbls>
        <gapWidth val="60"/>
        <overlap val="-1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16</row>
      <rowOff>0</rowOff>
    </from>
    <ext cx="612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F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8" customWidth="1" min="3" max="3"/>
    <col width="18" customWidth="1" min="4" max="4"/>
    <col width="18" customWidth="1" min="5" max="5"/>
    <col width="22" customWidth="1" min="6" max="6"/>
    <col width="2" customWidth="1" min="7" max="7"/>
    <col width="2" customWidth="1" min="8" max="8"/>
  </cols>
  <sheetData>
    <row r="2">
      <c r="B2" s="1" t="inlineStr">
        <is>
          <t>KOPP INDÚSTRIA — Lucro Presumido x Simples Nacional</t>
        </is>
      </c>
    </row>
    <row r="3">
      <c r="B3" s="2" t="inlineStr">
        <is>
          <t>Mesmo faturamento de jan a set/2026 · CNPJ 02.967.738/0001-58 · Domínio 60</t>
        </is>
      </c>
    </row>
    <row r="5">
      <c r="B5" s="3" t="inlineStr">
        <is>
          <t>FATURAMENTO</t>
        </is>
      </c>
      <c r="C5" s="4" t="inlineStr">
        <is>
          <t>LUCRO PRESUMIDO</t>
        </is>
      </c>
      <c r="D5" s="5" t="inlineStr">
        <is>
          <t>SIMPLES (DAS)</t>
        </is>
      </c>
      <c r="E5" s="6" t="inlineStr">
        <is>
          <t>DIFERENÇA</t>
        </is>
      </c>
    </row>
    <row r="6" ht="26" customHeight="1">
      <c r="B6" s="7">
        <f>'Detalhe mensal'!B14</f>
        <v/>
      </c>
      <c r="C6" s="8">
        <f>'Detalhe mensal'!L14</f>
        <v/>
      </c>
      <c r="D6" s="9">
        <f>'Detalhe mensal'!N14</f>
        <v/>
      </c>
      <c r="E6" s="10">
        <f>ABS('Detalhe mensal'!P14)</f>
        <v/>
      </c>
    </row>
    <row r="7">
      <c r="B7" s="11" t="inlineStr">
        <is>
          <t>jan a set/2026</t>
        </is>
      </c>
      <c r="C7" s="12">
        <f>'Detalhe mensal'!M14</f>
        <v/>
      </c>
      <c r="D7" s="12">
        <f>'Detalhe mensal'!O14</f>
        <v/>
      </c>
      <c r="E7" s="13">
        <f>IF('Detalhe mensal'!P14&gt;0,"o Simples custaria a mais","o Simples economizaria")</f>
        <v/>
      </c>
    </row>
    <row r="9">
      <c r="B9" s="14" t="inlineStr">
        <is>
          <t>Com o faturamento de 2026, o Lucro Presumido saiu R$ 150.804,35 mais barato que o Simples Nacional.</t>
        </is>
      </c>
    </row>
    <row r="11">
      <c r="B11" s="15" t="inlineStr">
        <is>
          <t>Trimestre</t>
        </is>
      </c>
      <c r="C11" s="15" t="inlineStr">
        <is>
          <t>Faturamento</t>
        </is>
      </c>
      <c r="D11" s="15" t="inlineStr">
        <is>
          <t>Lucro Presumido</t>
        </is>
      </c>
      <c r="E11" s="16" t="inlineStr">
        <is>
          <t>Simples (DAS)</t>
        </is>
      </c>
      <c r="F11" s="15" t="inlineStr">
        <is>
          <t>Simples − Presumido</t>
        </is>
      </c>
    </row>
    <row r="12">
      <c r="B12" s="17" t="inlineStr">
        <is>
          <t>1º trimestre</t>
        </is>
      </c>
      <c r="C12" s="18">
        <f>SUM('Detalhe mensal'!B5:B7)</f>
        <v/>
      </c>
      <c r="D12" s="18">
        <f>SUM('Detalhe mensal'!L5:L7)</f>
        <v/>
      </c>
      <c r="E12" s="18">
        <f>SUM('Detalhe mensal'!N5:N7)</f>
        <v/>
      </c>
      <c r="F12" s="18">
        <f>E12-D12</f>
        <v/>
      </c>
    </row>
    <row r="13">
      <c r="B13" s="17" t="inlineStr">
        <is>
          <t>2º trimestre</t>
        </is>
      </c>
      <c r="C13" s="18">
        <f>SUM('Detalhe mensal'!B8:B10)</f>
        <v/>
      </c>
      <c r="D13" s="18">
        <f>SUM('Detalhe mensal'!L8:L10)</f>
        <v/>
      </c>
      <c r="E13" s="18">
        <f>SUM('Detalhe mensal'!N8:N10)</f>
        <v/>
      </c>
      <c r="F13" s="18">
        <f>E13-D13</f>
        <v/>
      </c>
    </row>
    <row r="14">
      <c r="B14" s="17" t="inlineStr">
        <is>
          <t>3º trimestre</t>
        </is>
      </c>
      <c r="C14" s="18">
        <f>SUM('Detalhe mensal'!B11:B13)</f>
        <v/>
      </c>
      <c r="D14" s="18">
        <f>SUM('Detalhe mensal'!L11:L13)</f>
        <v/>
      </c>
      <c r="E14" s="18">
        <f>SUM('Detalhe mensal'!N11:N13)</f>
        <v/>
      </c>
      <c r="F14" s="18">
        <f>E14-D14</f>
        <v/>
      </c>
    </row>
    <row r="15">
      <c r="B15" s="19" t="inlineStr">
        <is>
          <t>Total</t>
        </is>
      </c>
      <c r="C15" s="20">
        <f>SUM(C12:C14)</f>
        <v/>
      </c>
      <c r="D15" s="20">
        <f>SUM(D12:D14)</f>
        <v/>
      </c>
      <c r="E15" s="20">
        <f>SUM(E12:E14)</f>
        <v/>
      </c>
      <c r="F15" s="20">
        <f>SUM(F12:F14)</f>
        <v/>
      </c>
    </row>
    <row r="33">
      <c r="B33" s="21" t="inlineStr">
        <is>
          <t>Observações</t>
        </is>
      </c>
    </row>
    <row r="34">
      <c r="B34" s="22" t="inlineStr">
        <is>
          <t>• Presumido = PIS + COFINS + IRPJ + CSLL + ICMS + IPI + DIFAL não contribuinte + diferencial de alíquota + ICMS antecipado.</t>
        </is>
      </c>
    </row>
    <row r="35">
      <c r="B35" s="22" t="inlineStr">
        <is>
          <t>• Simples = DAS simulado no Domínio com o mesmo faturamento.</t>
        </is>
      </c>
    </row>
    <row r="36">
      <c r="B36" s="22" t="inlineStr">
        <is>
          <t>• ICMS e IPI no Presumido ficaram zerados pelos créditos das compras (saldo credor). No Simples esses créditos se perdem.</t>
        </is>
      </c>
    </row>
    <row r="37">
      <c r="B37" s="22" t="inlineStr">
        <is>
          <t>• A contribuição patronal ao INSS (CPP) da folha não está somada no Presumido. No Simples (Anexo II), ela já vem dentro do DAS.</t>
        </is>
      </c>
    </row>
    <row r="38">
      <c r="B38" s="22" t="inlineStr">
        <is>
          <t>• Mesmo que toda a GPS/DCTFWeb de jan a ago (R$ 62.974,80, incluindo a parte dos empregados) fosse somada ao Presumido, ele continuaria mais barato.</t>
        </is>
      </c>
    </row>
    <row r="39">
      <c r="B39" s="22" t="inlineStr">
        <is>
          <t>• Ficaram fora apenas as retenções de impostos de terceiros (IRRF, CSRF e ISS retidos) — ver aba "Fora da comparação".</t>
        </is>
      </c>
    </row>
  </sheetData>
  <mergeCells count="4">
    <mergeCell ref="E5:F5"/>
    <mergeCell ref="B9:F9"/>
    <mergeCell ref="E6:F6"/>
    <mergeCell ref="E7:F7"/>
  </mergeCells>
  <pageMargins left="0.75" right="0.75" top="1" bottom="1" header="0.5" footer="0.5"/>
  <pageSetup orientation="portrait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8" customWidth="1" min="16" max="16"/>
  </cols>
  <sheetData>
    <row r="1">
      <c r="A1" s="23" t="inlineStr">
        <is>
          <t>Detalhe mensal — Lucro Presumido x Simples Nacional (jan a set/2026)</t>
        </is>
      </c>
    </row>
    <row r="2">
      <c r="A2" s="24" t="inlineStr">
        <is>
          <t>Fontes: Relatório de Faturamento, Resumo dos Impostos (empresa 60) e simulação do DAS (empresa 2000) — Domínio, emitidos em 14/10/2026</t>
        </is>
      </c>
    </row>
    <row r="4" ht="32" customHeight="1">
      <c r="A4" s="25" t="inlineStr">
        <is>
          <t>Mês</t>
        </is>
      </c>
      <c r="B4" s="25" t="inlineStr">
        <is>
          <t>Faturamento</t>
        </is>
      </c>
      <c r="C4" s="25" t="inlineStr">
        <is>
          <t>PIS</t>
        </is>
      </c>
      <c r="D4" s="25" t="inlineStr">
        <is>
          <t>COFINS</t>
        </is>
      </c>
      <c r="E4" s="25" t="inlineStr">
        <is>
          <t>IRPJ</t>
        </is>
      </c>
      <c r="F4" s="25" t="inlineStr">
        <is>
          <t>CSLL</t>
        </is>
      </c>
      <c r="G4" s="25" t="inlineStr">
        <is>
          <t>ICMS</t>
        </is>
      </c>
      <c r="H4" s="25" t="inlineStr">
        <is>
          <t>IPI</t>
        </is>
      </c>
      <c r="I4" s="25" t="inlineStr">
        <is>
          <t>DIFAL não contribuinte</t>
        </is>
      </c>
      <c r="J4" s="25" t="inlineStr">
        <is>
          <t>Diferencial de alíquota (compras)</t>
        </is>
      </c>
      <c r="K4" s="25" t="inlineStr">
        <is>
          <t>ICMS antecipado</t>
        </is>
      </c>
      <c r="L4" s="25" t="inlineStr">
        <is>
          <t>Total Presumido</t>
        </is>
      </c>
      <c r="M4" s="25" t="inlineStr">
        <is>
          <t>% s/ fat.</t>
        </is>
      </c>
      <c r="N4" s="26" t="inlineStr">
        <is>
          <t>DAS Simples</t>
        </is>
      </c>
      <c r="O4" s="25" t="inlineStr">
        <is>
          <t>% s/ fat.</t>
        </is>
      </c>
      <c r="P4" s="25" t="inlineStr">
        <is>
          <t>Diferença (Simples − Presumido)</t>
        </is>
      </c>
    </row>
    <row r="5">
      <c r="A5" s="17" t="inlineStr">
        <is>
          <t>Jan/26</t>
        </is>
      </c>
      <c r="B5" s="18" t="n">
        <v>122255.79</v>
      </c>
      <c r="C5" s="18" t="n">
        <v>17.59</v>
      </c>
      <c r="D5" s="18" t="n">
        <v>81.19</v>
      </c>
      <c r="E5" s="18" t="n">
        <v>0</v>
      </c>
      <c r="F5" s="18" t="n">
        <v>0</v>
      </c>
      <c r="G5" s="18" t="n">
        <v>0</v>
      </c>
      <c r="H5" s="18" t="n">
        <v>0</v>
      </c>
      <c r="I5" s="18" t="n">
        <v>41.84</v>
      </c>
      <c r="J5" s="18" t="n">
        <v>122.52</v>
      </c>
      <c r="K5" s="18" t="n">
        <v>456.71</v>
      </c>
      <c r="L5" s="18">
        <f>SUM(C5:K5)</f>
        <v/>
      </c>
      <c r="M5" s="27">
        <f>L5/B5</f>
        <v/>
      </c>
      <c r="N5" s="18" t="n">
        <v>14719.75</v>
      </c>
      <c r="O5" s="27">
        <f>N5/B5</f>
        <v/>
      </c>
      <c r="P5" s="18">
        <f>N5-L5</f>
        <v/>
      </c>
    </row>
    <row r="6">
      <c r="A6" s="17" t="inlineStr">
        <is>
          <t>Fev/26</t>
        </is>
      </c>
      <c r="B6" s="18" t="n">
        <v>220115.95</v>
      </c>
      <c r="C6" s="18" t="n">
        <v>42.33</v>
      </c>
      <c r="D6" s="18" t="n">
        <v>195.39</v>
      </c>
      <c r="E6" s="18" t="n">
        <v>0</v>
      </c>
      <c r="F6" s="18" t="n">
        <v>0</v>
      </c>
      <c r="G6" s="18" t="n">
        <v>0</v>
      </c>
      <c r="H6" s="18" t="n">
        <v>0</v>
      </c>
      <c r="I6" s="18" t="n">
        <v>86.55</v>
      </c>
      <c r="J6" s="18" t="n">
        <v>197.71</v>
      </c>
      <c r="K6" s="18" t="n">
        <v>0</v>
      </c>
      <c r="L6" s="18">
        <f>SUM(C6:K6)</f>
        <v/>
      </c>
      <c r="M6" s="27">
        <f>L6/B6</f>
        <v/>
      </c>
      <c r="N6" s="18" t="n">
        <v>26267.9</v>
      </c>
      <c r="O6" s="27">
        <f>N6/B6</f>
        <v/>
      </c>
      <c r="P6" s="18">
        <f>N6-L6</f>
        <v/>
      </c>
    </row>
    <row r="7">
      <c r="A7" s="17" t="inlineStr">
        <is>
          <t>Mar/26</t>
        </is>
      </c>
      <c r="B7" s="18" t="n">
        <v>301153.81</v>
      </c>
      <c r="C7" s="18" t="n">
        <v>90.84</v>
      </c>
      <c r="D7" s="18" t="n">
        <v>419.26</v>
      </c>
      <c r="E7" s="18" t="n">
        <v>7723.87</v>
      </c>
      <c r="F7" s="18" t="n">
        <v>6951.71</v>
      </c>
      <c r="G7" s="18" t="n">
        <v>0</v>
      </c>
      <c r="H7" s="18" t="n">
        <v>0</v>
      </c>
      <c r="I7" s="18" t="n">
        <v>179.43</v>
      </c>
      <c r="J7" s="18" t="n">
        <v>203.45</v>
      </c>
      <c r="K7" s="18" t="n">
        <v>4153.42</v>
      </c>
      <c r="L7" s="18">
        <f>SUM(C7:K7)</f>
        <v/>
      </c>
      <c r="M7" s="27">
        <f>L7/B7</f>
        <v/>
      </c>
      <c r="N7" s="18" t="n">
        <v>35977.34</v>
      </c>
      <c r="O7" s="27">
        <f>N7/B7</f>
        <v/>
      </c>
      <c r="P7" s="18">
        <f>N7-L7</f>
        <v/>
      </c>
    </row>
    <row r="8">
      <c r="A8" s="17" t="inlineStr">
        <is>
          <t>Abr/26</t>
        </is>
      </c>
      <c r="B8" s="18" t="n">
        <v>229521.7</v>
      </c>
      <c r="C8" s="18" t="n">
        <v>222.56</v>
      </c>
      <c r="D8" s="18" t="n">
        <v>1027.21</v>
      </c>
      <c r="E8" s="18" t="n">
        <v>0</v>
      </c>
      <c r="F8" s="18" t="n">
        <v>0</v>
      </c>
      <c r="G8" s="18" t="n">
        <v>0</v>
      </c>
      <c r="H8" s="18" t="n">
        <v>0</v>
      </c>
      <c r="I8" s="18" t="n">
        <v>45.69</v>
      </c>
      <c r="J8" s="18" t="n">
        <v>841.41</v>
      </c>
      <c r="K8" s="18" t="n">
        <v>191.92</v>
      </c>
      <c r="L8" s="18">
        <f>SUM(C8:K8)</f>
        <v/>
      </c>
      <c r="M8" s="27">
        <f>L8/B8</f>
        <v/>
      </c>
      <c r="N8" s="18" t="n">
        <v>27304.5</v>
      </c>
      <c r="O8" s="27">
        <f>N8/B8</f>
        <v/>
      </c>
      <c r="P8" s="18">
        <f>N8-L8</f>
        <v/>
      </c>
    </row>
    <row r="9">
      <c r="A9" s="17" t="inlineStr">
        <is>
          <t>Mai/26</t>
        </is>
      </c>
      <c r="B9" s="18" t="n">
        <v>269324.11</v>
      </c>
      <c r="C9" s="18" t="n">
        <v>295.66</v>
      </c>
      <c r="D9" s="18" t="n">
        <v>1364.76</v>
      </c>
      <c r="E9" s="18" t="n">
        <v>0</v>
      </c>
      <c r="F9" s="18" t="n">
        <v>0</v>
      </c>
      <c r="G9" s="18" t="n">
        <v>0</v>
      </c>
      <c r="H9" s="18" t="n">
        <v>0</v>
      </c>
      <c r="I9" s="18" t="n">
        <v>642.0700000000001</v>
      </c>
      <c r="J9" s="18" t="n">
        <v>58.23</v>
      </c>
      <c r="K9" s="18" t="n">
        <v>2692.26</v>
      </c>
      <c r="L9" s="18">
        <f>SUM(C9:K9)</f>
        <v/>
      </c>
      <c r="M9" s="27">
        <f>L9/B9</f>
        <v/>
      </c>
      <c r="N9" s="18" t="n">
        <v>31964.84</v>
      </c>
      <c r="O9" s="27">
        <f>N9/B9</f>
        <v/>
      </c>
      <c r="P9" s="18">
        <f>N9-L9</f>
        <v/>
      </c>
    </row>
    <row r="10">
      <c r="A10" s="17" t="inlineStr">
        <is>
          <t>Jun/26</t>
        </is>
      </c>
      <c r="B10" s="18" t="n">
        <v>113054.22</v>
      </c>
      <c r="C10" s="18" t="n">
        <v>200</v>
      </c>
      <c r="D10" s="18" t="n">
        <v>923.37</v>
      </c>
      <c r="E10" s="18" t="n">
        <v>7369.98</v>
      </c>
      <c r="F10" s="18" t="n">
        <v>6625.9</v>
      </c>
      <c r="G10" s="18" t="n">
        <v>0</v>
      </c>
      <c r="H10" s="18" t="n">
        <v>0</v>
      </c>
      <c r="I10" s="18" t="n">
        <v>318.67</v>
      </c>
      <c r="J10" s="18" t="n">
        <v>0</v>
      </c>
      <c r="K10" s="18" t="n">
        <v>6.39</v>
      </c>
      <c r="L10" s="18">
        <f>SUM(C10:K10)</f>
        <v/>
      </c>
      <c r="M10" s="27">
        <f>L10/B10</f>
        <v/>
      </c>
      <c r="N10" s="18" t="n">
        <v>13459.6</v>
      </c>
      <c r="O10" s="27">
        <f>N10/B10</f>
        <v/>
      </c>
      <c r="P10" s="18">
        <f>N10-L10</f>
        <v/>
      </c>
    </row>
    <row r="11">
      <c r="A11" s="17" t="inlineStr">
        <is>
          <t>Jul/26</t>
        </is>
      </c>
      <c r="B11" s="18" t="n">
        <v>252256.51</v>
      </c>
      <c r="C11" s="18" t="n">
        <v>213.99</v>
      </c>
      <c r="D11" s="18" t="n">
        <v>987.79</v>
      </c>
      <c r="E11" s="18" t="n">
        <v>0</v>
      </c>
      <c r="F11" s="18" t="n">
        <v>0</v>
      </c>
      <c r="G11" s="18" t="n">
        <v>0</v>
      </c>
      <c r="H11" s="18" t="n">
        <v>0</v>
      </c>
      <c r="I11" s="18" t="n">
        <v>56.89</v>
      </c>
      <c r="J11" s="18" t="n">
        <v>0</v>
      </c>
      <c r="K11" s="18" t="n">
        <v>2216.43</v>
      </c>
      <c r="L11" s="18">
        <f>SUM(C11:K11)</f>
        <v/>
      </c>
      <c r="M11" s="27">
        <f>L11/B11</f>
        <v/>
      </c>
      <c r="N11" s="18" t="n">
        <v>29568.19</v>
      </c>
      <c r="O11" s="27">
        <f>N11/B11</f>
        <v/>
      </c>
      <c r="P11" s="18">
        <f>N11-L11</f>
        <v/>
      </c>
    </row>
    <row r="12">
      <c r="A12" s="17" t="inlineStr">
        <is>
          <t>Ago/26</t>
        </is>
      </c>
      <c r="B12" s="18" t="n">
        <v>97406.59</v>
      </c>
      <c r="C12" s="18" t="n">
        <v>219.76</v>
      </c>
      <c r="D12" s="18" t="n">
        <v>1014.66</v>
      </c>
      <c r="E12" s="18" t="n">
        <v>0</v>
      </c>
      <c r="F12" s="18" t="n">
        <v>0</v>
      </c>
      <c r="G12" s="18" t="n">
        <v>0</v>
      </c>
      <c r="H12" s="18" t="n">
        <v>0</v>
      </c>
      <c r="I12" s="18" t="n">
        <v>0</v>
      </c>
      <c r="J12" s="18" t="n">
        <v>299.76</v>
      </c>
      <c r="K12" s="18" t="n">
        <v>1933.41</v>
      </c>
      <c r="L12" s="18">
        <f>SUM(C12:K12)</f>
        <v/>
      </c>
      <c r="M12" s="27">
        <f>L12/B12</f>
        <v/>
      </c>
      <c r="N12" s="18" t="n">
        <v>11422.98</v>
      </c>
      <c r="O12" s="27">
        <f>N12/B12</f>
        <v/>
      </c>
      <c r="P12" s="18">
        <f>N12-L12</f>
        <v/>
      </c>
    </row>
    <row r="13">
      <c r="A13" s="17" t="inlineStr">
        <is>
          <t>Set/26</t>
        </is>
      </c>
      <c r="B13" s="18" t="n">
        <v>225407.76</v>
      </c>
      <c r="C13" s="18" t="n">
        <v>246.9</v>
      </c>
      <c r="D13" s="18" t="n">
        <v>1139.82</v>
      </c>
      <c r="E13" s="18" t="n">
        <v>6802.18</v>
      </c>
      <c r="F13" s="18" t="n">
        <v>6325.26</v>
      </c>
      <c r="G13" s="18" t="n">
        <v>0</v>
      </c>
      <c r="H13" s="18" t="n">
        <v>0</v>
      </c>
      <c r="I13" s="18" t="n">
        <v>423.5</v>
      </c>
      <c r="J13" s="18" t="n">
        <v>167.7</v>
      </c>
      <c r="K13" s="18" t="n">
        <v>0</v>
      </c>
      <c r="L13" s="18">
        <f>SUM(C13:K13)</f>
        <v/>
      </c>
      <c r="M13" s="27">
        <f>L13/B13</f>
        <v/>
      </c>
      <c r="N13" s="18" t="n">
        <v>25957.19</v>
      </c>
      <c r="O13" s="27">
        <f>N13/B13</f>
        <v/>
      </c>
      <c r="P13" s="18">
        <f>N13-L13</f>
        <v/>
      </c>
    </row>
    <row r="14">
      <c r="A14" s="19" t="inlineStr">
        <is>
          <t>Total</t>
        </is>
      </c>
      <c r="B14" s="20">
        <f>SUM(B5:B13)</f>
        <v/>
      </c>
      <c r="C14" s="20">
        <f>SUM(C5:C13)</f>
        <v/>
      </c>
      <c r="D14" s="20">
        <f>SUM(D5:D13)</f>
        <v/>
      </c>
      <c r="E14" s="20">
        <f>SUM(E5:E13)</f>
        <v/>
      </c>
      <c r="F14" s="20">
        <f>SUM(F5:F13)</f>
        <v/>
      </c>
      <c r="G14" s="20">
        <f>SUM(G5:G13)</f>
        <v/>
      </c>
      <c r="H14" s="20">
        <f>SUM(H5:H13)</f>
        <v/>
      </c>
      <c r="I14" s="20">
        <f>SUM(I5:I13)</f>
        <v/>
      </c>
      <c r="J14" s="20">
        <f>SUM(J5:J13)</f>
        <v/>
      </c>
      <c r="K14" s="20">
        <f>SUM(K5:K13)</f>
        <v/>
      </c>
      <c r="L14" s="20">
        <f>SUM(L5:L13)</f>
        <v/>
      </c>
      <c r="M14" s="28">
        <f>L14/B14</f>
        <v/>
      </c>
      <c r="N14" s="20">
        <f>SUM(N5:N13)</f>
        <v/>
      </c>
      <c r="O14" s="28">
        <f>N14/B14</f>
        <v/>
      </c>
      <c r="P14" s="20">
        <f>SUM(P5:P13)</f>
        <v/>
      </c>
    </row>
    <row r="16">
      <c r="A16" s="22" t="inlineStr">
        <is>
          <t>IRPJ e CSLL do Presumido são trimestrais: aparecem em março, junho e setembro (apuração do trimestre).</t>
        </is>
      </c>
    </row>
    <row r="17">
      <c r="A17" s="22" t="inlineStr">
        <is>
          <t>ICMS e IPI ficaram com saldo credor em todos os meses (nada a recolher). Saldo credor em 30/09/2026: ICMS R$ 3.553,33 · IPI R$ 7.810,94 — esses créditos não são aproveitados no Simples.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3" t="inlineStr">
        <is>
          <t>Valores que NÃO entram no comparativo</t>
        </is>
      </c>
    </row>
    <row r="2">
      <c r="A2" s="24" t="inlineStr">
        <is>
          <t>São retenções de impostos de terceiros (prestadores de serviço): a Kopp só repassa, não é custo dela.</t>
        </is>
      </c>
    </row>
    <row r="4">
      <c r="A4" s="29" t="inlineStr">
        <is>
          <t>Item</t>
        </is>
      </c>
      <c r="B4" s="29" t="inlineStr">
        <is>
          <t>Jan/26</t>
        </is>
      </c>
      <c r="C4" s="29" t="inlineStr">
        <is>
          <t>Fev/26</t>
        </is>
      </c>
      <c r="D4" s="29" t="inlineStr">
        <is>
          <t>Mar/26</t>
        </is>
      </c>
      <c r="E4" s="29" t="inlineStr">
        <is>
          <t>Abr/26</t>
        </is>
      </c>
      <c r="F4" s="29" t="inlineStr">
        <is>
          <t>Mai/26</t>
        </is>
      </c>
      <c r="G4" s="29" t="inlineStr">
        <is>
          <t>Jun/26</t>
        </is>
      </c>
      <c r="H4" s="29" t="inlineStr">
        <is>
          <t>Jul/26</t>
        </is>
      </c>
      <c r="I4" s="29" t="inlineStr">
        <is>
          <t>Ago/26</t>
        </is>
      </c>
      <c r="J4" s="29" t="inlineStr">
        <is>
          <t>Set/26</t>
        </is>
      </c>
      <c r="K4" s="29" t="inlineStr">
        <is>
          <t>Total</t>
        </is>
      </c>
    </row>
    <row r="5">
      <c r="A5" t="inlineStr">
        <is>
          <t>IRRF retido de terceiros</t>
        </is>
      </c>
      <c r="B5" s="30" t="n">
        <v>55.45</v>
      </c>
      <c r="C5" s="30" t="n">
        <v>68.48999999999999</v>
      </c>
      <c r="D5" s="30" t="n">
        <v>85.95</v>
      </c>
      <c r="E5" s="30" t="n">
        <v>174.79</v>
      </c>
      <c r="F5" s="30" t="n">
        <v>179.01</v>
      </c>
      <c r="G5" s="30" t="n">
        <v>316.09</v>
      </c>
      <c r="H5" s="30" t="n">
        <v>162.57</v>
      </c>
      <c r="I5" s="30" t="n">
        <v>162.58</v>
      </c>
      <c r="J5" s="30" t="n">
        <v>207.36</v>
      </c>
      <c r="K5" s="31">
        <f>SUM(B5:J5)</f>
        <v/>
      </c>
    </row>
    <row r="6">
      <c r="A6" t="inlineStr">
        <is>
          <t>CSRF retida de terceiros</t>
        </is>
      </c>
      <c r="B6" s="30" t="n">
        <v>219.4</v>
      </c>
      <c r="C6" s="30" t="n">
        <v>231.11</v>
      </c>
      <c r="D6" s="30" t="n">
        <v>330.11</v>
      </c>
      <c r="E6" s="30" t="n">
        <v>505.27</v>
      </c>
      <c r="F6" s="30" t="n">
        <v>594.45</v>
      </c>
      <c r="G6" s="30" t="n">
        <v>937.12</v>
      </c>
      <c r="H6" s="30" t="n">
        <v>522.77</v>
      </c>
      <c r="I6" s="30" t="n">
        <v>522.8</v>
      </c>
      <c r="J6" s="30" t="n">
        <v>661.62</v>
      </c>
      <c r="K6" s="31">
        <f>SUM(B6:J6)</f>
        <v/>
      </c>
    </row>
    <row r="7">
      <c r="A7" t="inlineStr">
        <is>
          <t>ISS retido de terceiros</t>
        </is>
      </c>
      <c r="B7" s="30" t="n">
        <v>0</v>
      </c>
      <c r="C7" s="30" t="n">
        <v>0</v>
      </c>
      <c r="D7" s="30" t="n">
        <v>0</v>
      </c>
      <c r="E7" s="30" t="n">
        <v>0</v>
      </c>
      <c r="F7" s="30" t="n">
        <v>38.92</v>
      </c>
      <c r="G7" s="30" t="n">
        <v>0</v>
      </c>
      <c r="H7" s="30" t="n">
        <v>0</v>
      </c>
      <c r="I7" s="30" t="n">
        <v>0</v>
      </c>
      <c r="J7" s="30" t="n">
        <v>0</v>
      </c>
      <c r="K7" s="31">
        <f>SUM(B7:J7)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2026-10-14T18:39:09Z</dcterms:created>
  <dcterms:modified xmlns:dcterms="http://purl.org/dc/terms/" xmlns:xsi="http://www.w3.org/2001/XMLSchema-instance" xsi:type="dcterms:W3CDTF">2026-10-14T18:39:09Z</dcterms:modified>
</cp:coreProperties>
</file>