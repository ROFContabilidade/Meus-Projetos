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CISOES" sheetId="2" state="visible" r:id="rId2"/>
    <sheet xmlns:r="http://schemas.openxmlformats.org/officeDocument/2006/relationships" name="LANCAMENTOS jan-ago" sheetId="3" state="visible" r:id="rId3"/>
    <sheet xmlns:r="http://schemas.openxmlformats.org/officeDocument/2006/relationships" name="CONCILIACAO" sheetId="4" state="visible" r:id="rId4"/>
    <sheet xmlns:r="http://schemas.openxmlformats.org/officeDocument/2006/relationships" name="EMPRESAS DO GRUPO" sheetId="5" state="visible" r:id="rId5"/>
    <sheet xmlns:r="http://schemas.openxmlformats.org/officeDocument/2006/relationships" name="PLANO" sheetId="6" state="visible" r:id="rId6"/>
  </sheets>
  <definedNames>
    <definedName name="_xlnm._FilterDatabase" localSheetId="2" hidden="1">'LANCAMENTOS jan-ago'!$A$1:$M$1790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2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Como usar</t>
        </is>
      </c>
    </row>
    <row r="2">
      <c r="A2" t="inlineStr">
        <is>
          <t>TXT único jan-ago/2026 pronto para importar. A coluna G (CONTA FINAL) da aba LANCAMENTOS é o que está no TXT - não precisa preencher nada.</t>
        </is>
      </c>
    </row>
    <row r="3">
      <c r="A3" t="inlineStr">
        <is>
          <t>Cores: vermelho = corrigido pelo Cosmos; salmão = ajustado por decisão (regras na aba DECISOES); verde = jul/ago; amarelo = mantida a conta atual; sem cor = OK.</t>
        </is>
      </c>
    </row>
    <row r="4">
      <c r="A4" t="inlineStr">
        <is>
          <t>No Domínio: excluir TODOS os lançamentos do Itaú (conta 8) de 01/01 a 30/06/2026 e importar o TXT único (jan a ago).</t>
        </is>
      </c>
    </row>
    <row r="5">
      <c r="A5" t="inlineStr">
        <is>
          <t>Aplicação automática Itaú não segregada: conta 8 = saldo total (C/C + aplicação); aplicações/resgates fora; rendimentos na 432.</t>
        </is>
      </c>
    </row>
    <row r="6">
      <c r="A6" t="inlineStr">
        <is>
          <t>Saldo calculado = extrato Itaú em todos os meses (aba CONCILIACAO).</t>
        </is>
      </c>
    </row>
    <row r="8">
      <c r="A8" s="2" t="inlineStr">
        <is>
          <t>Status</t>
        </is>
      </c>
      <c r="B8" s="2" t="inlineStr">
        <is>
          <t>Qtde</t>
        </is>
      </c>
      <c r="C8" s="2" t="inlineStr">
        <is>
          <t>Valor absoluto</t>
        </is>
      </c>
    </row>
    <row r="9">
      <c r="A9" t="inlineStr">
        <is>
          <t>AJUSTADO</t>
        </is>
      </c>
      <c r="B9" t="n">
        <v>205</v>
      </c>
      <c r="C9" t="n">
        <v>1015303.31</v>
      </c>
    </row>
    <row r="10">
      <c r="A10" t="inlineStr">
        <is>
          <t>SEM COSMOS</t>
        </is>
      </c>
      <c r="B10" t="n">
        <v>735</v>
      </c>
      <c r="C10" t="n">
        <v>2359210.58</v>
      </c>
    </row>
    <row r="11">
      <c r="A11" t="inlineStr">
        <is>
          <t>OK</t>
        </is>
      </c>
      <c r="B11" t="n">
        <v>647</v>
      </c>
      <c r="C11" t="n">
        <v>1533653.02</v>
      </c>
    </row>
    <row r="12">
      <c r="A12" t="inlineStr">
        <is>
          <t>CORRIGIR</t>
        </is>
      </c>
      <c r="B12" t="n">
        <v>55</v>
      </c>
      <c r="C12" t="n">
        <v>90586.82000000001</v>
      </c>
    </row>
    <row r="13">
      <c r="A13" t="inlineStr">
        <is>
          <t>MANTIDO</t>
        </is>
      </c>
      <c r="B13" t="n">
        <v>129</v>
      </c>
      <c r="C13" t="n">
        <v>348582.63</v>
      </c>
    </row>
    <row r="14">
      <c r="A14" t="inlineStr">
        <is>
          <t>CORRIGIDO</t>
        </is>
      </c>
      <c r="B14" t="n">
        <v>18</v>
      </c>
      <c r="C14" t="n">
        <v>51798.35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90" customWidth="1" min="3" max="3"/>
  </cols>
  <sheetData>
    <row r="1">
      <c r="A1" s="3" t="inlineStr">
        <is>
          <t>Assunto</t>
        </is>
      </c>
      <c r="B1" s="3" t="inlineStr">
        <is>
          <t>Regra aplicada</t>
        </is>
      </c>
      <c r="C1" s="3" t="inlineStr">
        <is>
          <t>Base</t>
        </is>
      </c>
    </row>
    <row r="2">
      <c r="A2" t="inlineStr">
        <is>
          <t>Empresas do grupo</t>
        </is>
      </c>
      <c r="B2" t="inlineStr">
        <is>
          <t>Uma conta-corrente de mútuo por empresa, entradas e saídas na mesma conta: COSMETICON 663, F.V.S 662, CABELO MEU 670, GULA/FIQUE BEM 366</t>
        </is>
      </c>
      <c r="C2" t="inlineStr">
        <is>
          <t>Cosmos lança como OUTRAS ENTRADAS/SAÍDAS (não é venda/compra com nota). Protection faz a contabilidade de Cosmetici, Cosmeticon, FVS e Gula = grupo. Fique Bem tem o mesmo CNPJ da Gula (30.415.972/0001-08).</t>
        </is>
      </c>
    </row>
    <row r="3">
      <c r="A3" t="inlineStr">
        <is>
          <t>Pagamentos à GULA/FIQUE BEM</t>
        </is>
      </c>
      <c r="B3" t="inlineStr">
        <is>
          <t>Saem de Fornecedores (506) e vão para 366</t>
        </is>
      </c>
      <c r="C3" t="inlineStr">
        <is>
          <t>Não há compra com nota; explica parte do saldo devedor de 180 mil da 506.</t>
        </is>
      </c>
    </row>
    <row r="4">
      <c r="A4" t="inlineStr">
        <is>
          <t>Amortização de empréstimos (Selito Kosdra, MRBS)</t>
        </is>
      </c>
      <c r="B4" t="inlineStr">
        <is>
          <t>672 EMPRESTIMO DE TERCEIRO (antes despesa 362/364/493)</t>
        </is>
      </c>
      <c r="C4" t="inlineStr">
        <is>
          <t>Cosmos: parcelas de empréstimos de 116.000 / 300.000 / 60.000. Juros desses empréstimos ficam em 375.</t>
        </is>
      </c>
    </row>
    <row r="5">
      <c r="A5" t="inlineStr">
        <is>
          <t>Claudia A. Rubin - devolução de 53.200,00 (estande Beauty Fair)</t>
        </is>
      </c>
      <c r="B5" t="inlineStr">
        <is>
          <t>688 FEIRAS E EVENTOS (antes 362)</t>
        </is>
      </c>
      <c r="C5" t="inlineStr">
        <is>
          <t>Cosmos: devolução referente a 30% do estande da Beauty Fair comprado pelos chineses = custo da feira.</t>
        </is>
      </c>
    </row>
    <row r="6">
      <c r="A6" t="inlineStr">
        <is>
          <t>Beauty Fair - acordo</t>
        </is>
      </c>
      <c r="B6" t="inlineStr">
        <is>
          <t>688 FEIRAS E EVENTOS (antes 506)</t>
        </is>
      </c>
      <c r="C6" t="inlineStr">
        <is>
          <t>Contrato de feira/estande.</t>
        </is>
      </c>
    </row>
    <row r="7">
      <c r="A7" t="inlineStr">
        <is>
          <t>Comissões sobre vendas (Cosmos cat. 53)</t>
        </is>
      </c>
      <c r="B7" t="inlineStr">
        <is>
          <t>308 COMISSÕES</t>
        </is>
      </c>
      <c r="C7" t="inlineStr">
        <is>
          <t>Conta existente no plano (balancete 2025).</t>
        </is>
      </c>
    </row>
    <row r="8">
      <c r="A8" t="inlineStr">
        <is>
          <t>RNX FIDC - troca de boletos/antecipação</t>
        </is>
      </c>
      <c r="B8" t="inlineStr">
        <is>
          <t>504 CLIENTES DIVERSOS</t>
        </is>
      </c>
      <c r="C8" t="inlineStr">
        <is>
          <t>Recompra de títulos antecipados.</t>
        </is>
      </c>
    </row>
    <row r="9">
      <c r="A9" t="inlineStr">
        <is>
          <t>LINK BANK 3 x 2.142,00 (jan/fev)</t>
        </is>
      </c>
      <c r="B9" t="inlineStr">
        <is>
          <t>506 (antes 432 rendimentos)</t>
        </is>
      </c>
      <c r="C9" t="inlineStr">
        <is>
          <t>Parcelas AMONEX (matéria-prima) - Cosmos 18/02.</t>
        </is>
      </c>
    </row>
    <row r="10">
      <c r="A10" t="inlineStr">
        <is>
          <t>Pessoas físicas pagas como serviço/comissão</t>
        </is>
      </c>
      <c r="B10" t="inlineStr">
        <is>
          <t>362 (antes 506/25/187/493)</t>
        </is>
      </c>
      <c r="C10" t="inlineStr">
        <is>
          <t>Sem nota no fiscal; empresa sem folha desde 03/26.</t>
        </is>
      </c>
    </row>
    <row r="11">
      <c r="A11" t="inlineStr">
        <is>
          <t>Sistemas (CRMTECH, Tecnoponto, VR ponto, desenvolvedores)</t>
        </is>
      </c>
      <c r="B11" t="inlineStr">
        <is>
          <t>640</t>
        </is>
      </c>
      <c r="C11" t="inlineStr">
        <is>
          <t>Cosmos cat. 47.</t>
        </is>
      </c>
    </row>
    <row r="12">
      <c r="A12" t="inlineStr">
        <is>
          <t>Protection</t>
        </is>
      </c>
      <c r="B12" t="inlineStr">
        <is>
          <t>361</t>
        </is>
      </c>
      <c r="C12" t="inlineStr">
        <is>
          <t>Honorários contábeis.</t>
        </is>
      </c>
    </row>
    <row r="13">
      <c r="A13" t="inlineStr">
        <is>
          <t>Material de limpeza / EPI / filtros-resina-lenha</t>
        </is>
      </c>
      <c r="B13" t="inlineStr">
        <is>
          <t>360 / 656 / 58</t>
        </is>
      </c>
      <c r="C13" t="inlineStr">
        <is>
          <t>Cosmos cat. 16.</t>
        </is>
      </c>
    </row>
    <row r="14">
      <c r="A14" t="inlineStr">
        <is>
          <t>Matéria-prima, embalagem, fretes, água, internet, FGTS, VA etc.</t>
        </is>
      </c>
      <c r="B14" t="inlineStr">
        <is>
          <t>Conforme categoria do Cosmos (aba RESUMO: CORRIGIR)</t>
        </is>
      </c>
      <c r="C14" t="inlineStr">
        <is>
          <t>Cosmos.</t>
        </is>
      </c>
    </row>
    <row r="15">
      <c r="A15" t="inlineStr">
        <is>
          <t>Família Mazzoni (Carlos Alexandre, Michel, Marcelo, Factoring Alexandre Mazzoni)</t>
        </is>
      </c>
      <c r="B15" t="inlineStr">
        <is>
          <t>Mantido EXATAMENTE como estava no razão</t>
        </is>
      </c>
      <c r="C15" t="inlineStr">
        <is>
          <t>Sócios de fato, fora do contrato social: não cabe pró-labore nem retirada de sócio.</t>
        </is>
      </c>
    </row>
    <row r="16">
      <c r="A16" t="inlineStr">
        <is>
          <t>Aplicação automática Itaú</t>
        </is>
      </c>
      <c r="B16" t="inlineStr">
        <is>
          <t>Não segregada</t>
        </is>
      </c>
      <c r="C16" t="inlineStr">
        <is>
          <t>Orientação do escritório: conta 8 = saldo total.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4" customWidth="1" min="3" max="3"/>
    <col width="14" customWidth="1" min="4" max="4"/>
    <col width="9" customWidth="1" min="5" max="5"/>
    <col width="28" customWidth="1" min="6" max="6"/>
    <col width="10" customWidth="1" min="7" max="7"/>
    <col width="28" customWidth="1" min="8" max="8"/>
    <col width="9" customWidth="1" min="9" max="9"/>
    <col width="15" customWidth="1" min="10" max="10"/>
    <col width="60" customWidth="1" min="11" max="11"/>
    <col width="70" customWidth="1" min="12" max="12"/>
    <col width="50" customWidth="1" min="13" max="13"/>
  </cols>
  <sheetData>
    <row r="1">
      <c r="A1" s="3" t="inlineStr">
        <is>
          <t>Nº</t>
        </is>
      </c>
      <c r="B1" s="3" t="inlineStr">
        <is>
          <t>Data</t>
        </is>
      </c>
      <c r="C1" s="3" t="inlineStr">
        <is>
          <t>Histórico extrato/razão (original)</t>
        </is>
      </c>
      <c r="D1" s="3" t="inlineStr">
        <is>
          <t>Valor (+ entrada / - saída)</t>
        </is>
      </c>
      <c r="E1" s="3" t="inlineStr">
        <is>
          <t>Conta atual no Domínio</t>
        </is>
      </c>
      <c r="F1" s="3" t="inlineStr">
        <is>
          <t>Descrição conta atual</t>
        </is>
      </c>
      <c r="G1" s="3" t="inlineStr">
        <is>
          <t>CONTA FINAL (vai no TXT)</t>
        </is>
      </c>
      <c r="H1" s="3" t="inlineStr">
        <is>
          <t>Descrição conta final</t>
        </is>
      </c>
      <c r="I1" s="3" t="inlineStr">
        <is>
          <t>Sugestão</t>
        </is>
      </c>
      <c r="J1" s="3" t="inlineStr">
        <is>
          <t>Status</t>
        </is>
      </c>
      <c r="K1" s="3" t="inlineStr">
        <is>
          <t>Motivo</t>
        </is>
      </c>
      <c r="L1" s="3" t="inlineStr">
        <is>
          <t>Relatório Cosmos (fornecedor | OP/PF | descrição)</t>
        </is>
      </c>
      <c r="M1" s="3" t="inlineStr">
        <is>
          <t>Histórico que vai no TXT</t>
        </is>
      </c>
    </row>
    <row r="2">
      <c r="A2" s="4" t="n">
        <v>1</v>
      </c>
      <c r="B2" s="4" t="inlineStr">
        <is>
          <t>02/01/2026</t>
        </is>
      </c>
      <c r="C2" s="4" t="inlineStr">
        <is>
          <t>REF. A SISPAG COSMETICON COMER</t>
        </is>
      </c>
      <c r="D2" s="5" t="n">
        <v>12000</v>
      </c>
      <c r="E2" s="4" t="inlineStr">
        <is>
          <t>663</t>
        </is>
      </c>
      <c r="F2" s="4" t="inlineStr">
        <is>
          <t>EMPRESTIMO COSMETICON COMERCIO (31.494.732/0001-09)</t>
        </is>
      </c>
      <c r="G2" s="6" t="inlineStr">
        <is>
          <t>663</t>
        </is>
      </c>
      <c r="H2" s="4">
        <f>IFERROR(VLOOKUP(G2&amp;"",PLANO!A:B,2,FALSE),"CONTA NAO EXISTE NO PLANO")</f>
        <v/>
      </c>
      <c r="I2" s="4" t="inlineStr">
        <is>
          <t>663</t>
        </is>
      </c>
      <c r="J2" s="4" t="inlineStr">
        <is>
          <t>AJUSTADO</t>
        </is>
      </c>
      <c r="K2" s="4" t="inlineStr">
        <is>
          <t>COSMETICON - conta-corrente unica de mutuo (663)</t>
        </is>
      </c>
      <c r="L2" s="4" t="inlineStr">
        <is>
          <t xml:space="preserve">OUTRAS ENTRADAS | 122/71 | </t>
        </is>
      </c>
      <c r="M2" s="4" t="inlineStr">
        <is>
          <t>SISPAG COSMETICON COMER</t>
        </is>
      </c>
    </row>
    <row r="3">
      <c r="A3" t="n">
        <v>2</v>
      </c>
      <c r="B3" t="inlineStr">
        <is>
          <t>02/01/2026</t>
        </is>
      </c>
      <c r="C3" t="inlineStr">
        <is>
          <t>PIX ENVIADO MARIANE POSS</t>
        </is>
      </c>
      <c r="D3" s="7" t="n">
        <v>-683.1</v>
      </c>
      <c r="E3" t="inlineStr">
        <is>
          <t>187</t>
        </is>
      </c>
      <c r="F3" t="inlineStr">
        <is>
          <t>SALÁRIOS E ORDENADOS A PAGAR</t>
        </is>
      </c>
      <c r="G3" s="2" t="inlineStr">
        <is>
          <t>187</t>
        </is>
      </c>
      <c r="H3">
        <f>IFERROR(VLOOKUP(G3&amp;"",PLANO!A:B,2,FALSE),"CONTA NAO EXISTE NO PLANO")</f>
        <v/>
      </c>
      <c r="I3" t="inlineStr">
        <is>
          <t>187</t>
        </is>
      </c>
      <c r="J3" t="inlineStr">
        <is>
          <t>SEM COSMOS</t>
        </is>
      </c>
      <c r="K3" t="inlineStr"/>
      <c r="L3" t="inlineStr"/>
      <c r="M3" t="inlineStr">
        <is>
          <t>PIX ENVIADO MARIANE POSS</t>
        </is>
      </c>
    </row>
    <row r="4">
      <c r="A4" t="n">
        <v>3</v>
      </c>
      <c r="B4" t="inlineStr">
        <is>
          <t>02/01/2026</t>
        </is>
      </c>
      <c r="C4" t="inlineStr">
        <is>
          <t>REF. A PIX ENVIADO ROSANE DA SI</t>
        </is>
      </c>
      <c r="D4" s="7" t="n">
        <v>-683.1</v>
      </c>
      <c r="E4" t="inlineStr">
        <is>
          <t>187</t>
        </is>
      </c>
      <c r="F4" t="inlineStr">
        <is>
          <t>SALÁRIOS E ORDENADOS A PAGAR</t>
        </is>
      </c>
      <c r="G4" s="2" t="inlineStr">
        <is>
          <t>187</t>
        </is>
      </c>
      <c r="H4">
        <f>IFERROR(VLOOKUP(G4&amp;"",PLANO!A:B,2,FALSE),"CONTA NAO EXISTE NO PLANO")</f>
        <v/>
      </c>
      <c r="I4" t="inlineStr">
        <is>
          <t>187</t>
        </is>
      </c>
      <c r="J4" t="inlineStr">
        <is>
          <t>SEM COSMOS</t>
        </is>
      </c>
      <c r="K4" t="inlineStr"/>
      <c r="L4" t="inlineStr"/>
      <c r="M4" t="inlineStr">
        <is>
          <t>PIX ENVIADO ROSANE DA SI</t>
        </is>
      </c>
    </row>
    <row r="5">
      <c r="A5" t="n">
        <v>4</v>
      </c>
      <c r="B5" t="inlineStr">
        <is>
          <t>02/01/2026</t>
        </is>
      </c>
      <c r="C5" t="inlineStr">
        <is>
          <t>REF. A PIX ENVIADO ADRIA FAGUND</t>
        </is>
      </c>
      <c r="D5" s="7" t="n">
        <v>-143.71</v>
      </c>
      <c r="E5" t="inlineStr">
        <is>
          <t>187</t>
        </is>
      </c>
      <c r="F5" t="inlineStr">
        <is>
          <t>SALÁRIOS E ORDENADOS A PAGAR</t>
        </is>
      </c>
      <c r="G5" s="2" t="inlineStr">
        <is>
          <t>187</t>
        </is>
      </c>
      <c r="H5">
        <f>IFERROR(VLOOKUP(G5&amp;"",PLANO!A:B,2,FALSE),"CONTA NAO EXISTE NO PLANO")</f>
        <v/>
      </c>
      <c r="I5" t="inlineStr">
        <is>
          <t>187</t>
        </is>
      </c>
      <c r="J5" t="inlineStr">
        <is>
          <t>SEM COSMOS</t>
        </is>
      </c>
      <c r="K5" t="inlineStr"/>
      <c r="L5" t="inlineStr"/>
      <c r="M5" t="inlineStr">
        <is>
          <t>PIX ENVIADO ADRIA FAGUND</t>
        </is>
      </c>
    </row>
    <row r="6">
      <c r="A6" t="n">
        <v>5</v>
      </c>
      <c r="B6" t="inlineStr">
        <is>
          <t>02/01/2026</t>
        </is>
      </c>
      <c r="C6" t="inlineStr">
        <is>
          <t>REF. A PIX ENVIADO GRACIELE APA</t>
        </is>
      </c>
      <c r="D6" s="7" t="n">
        <v>-574.86</v>
      </c>
      <c r="E6" t="inlineStr">
        <is>
          <t>187</t>
        </is>
      </c>
      <c r="F6" t="inlineStr">
        <is>
          <t>SALÁRIOS E ORDENADOS A PAGAR</t>
        </is>
      </c>
      <c r="G6" s="2" t="inlineStr">
        <is>
          <t>187</t>
        </is>
      </c>
      <c r="H6">
        <f>IFERROR(VLOOKUP(G6&amp;"",PLANO!A:B,2,FALSE),"CONTA NAO EXISTE NO PLANO")</f>
        <v/>
      </c>
      <c r="I6" t="inlineStr">
        <is>
          <t>187</t>
        </is>
      </c>
      <c r="J6" t="inlineStr">
        <is>
          <t>SEM COSMOS</t>
        </is>
      </c>
      <c r="K6" t="inlineStr"/>
      <c r="L6" t="inlineStr"/>
      <c r="M6" t="inlineStr">
        <is>
          <t>PIX ENVIADO GRACIELE APA</t>
        </is>
      </c>
    </row>
    <row r="7">
      <c r="A7" t="n">
        <v>6</v>
      </c>
      <c r="B7" t="inlineStr">
        <is>
          <t>02/01/2026</t>
        </is>
      </c>
      <c r="C7" t="inlineStr">
        <is>
          <t>SKIN LAB INDUSTRIA E COMERCIO DE COSMETICOS LTDA PAGAMENTO REFERENTE A COMPRA DE RESORCINOL 25KG.MAP 5KG, VASELINA 198KG E ERITORBATO 25KG</t>
        </is>
      </c>
      <c r="D7" s="7" t="n">
        <v>-2745</v>
      </c>
      <c r="E7" t="inlineStr">
        <is>
          <t>506</t>
        </is>
      </c>
      <c r="F7" t="inlineStr">
        <is>
          <t>FORNECEDORES DIVERSOS</t>
        </is>
      </c>
      <c r="G7" s="2" t="inlineStr">
        <is>
          <t>506</t>
        </is>
      </c>
      <c r="H7">
        <f>IFERROR(VLOOKUP(G7&amp;"",PLANO!A:B,2,FALSE),"CONTA NAO EXISTE NO PLANO")</f>
        <v/>
      </c>
      <c r="I7" t="inlineStr">
        <is>
          <t>506</t>
        </is>
      </c>
      <c r="J7" t="inlineStr">
        <is>
          <t>OK</t>
        </is>
      </c>
      <c r="K7" t="inlineStr">
        <is>
          <t>fornecedor com NF</t>
        </is>
      </c>
      <c r="L7" t="inlineStr">
        <is>
          <t>SKIN LAB INDUSTRIA E COMERCIO DE COSMETICOS LTDA | 115/6 | PAGAMENTO REFERENTE A COMPRA DE RESORCINOL 25KG. MAP 5KG, VASELINA 198KG E ERITORBATO 25KG</t>
        </is>
      </c>
      <c r="M7" t="inlineStr">
        <is>
          <t>SKIN LAB INDUSTRIA E COMERCIO DE COSMETICOS LTDA - PAGAMENTO REFERENTE A COMPRA DE RESORCINOL 25KG. MAP 5KG, VASELINA 198KG E ERITO</t>
        </is>
      </c>
    </row>
    <row r="8">
      <c r="A8" t="n">
        <v>7</v>
      </c>
      <c r="B8" t="inlineStr">
        <is>
          <t>02/01/2026</t>
        </is>
      </c>
      <c r="C8" t="inlineStr">
        <is>
          <t>REF. A PIX ENVIADO BRUNA CARLA</t>
        </is>
      </c>
      <c r="D8" s="7" t="n">
        <v>-574.86</v>
      </c>
      <c r="E8" t="inlineStr">
        <is>
          <t>187</t>
        </is>
      </c>
      <c r="F8" t="inlineStr">
        <is>
          <t>SALÁRIOS E ORDENADOS A PAGAR</t>
        </is>
      </c>
      <c r="G8" s="2" t="inlineStr">
        <is>
          <t>187</t>
        </is>
      </c>
      <c r="H8">
        <f>IFERROR(VLOOKUP(G8&amp;"",PLANO!A:B,2,FALSE),"CONTA NAO EXISTE NO PLANO")</f>
        <v/>
      </c>
      <c r="I8" t="inlineStr">
        <is>
          <t>187</t>
        </is>
      </c>
      <c r="J8" t="inlineStr">
        <is>
          <t>SEM COSMOS</t>
        </is>
      </c>
      <c r="K8" t="inlineStr"/>
      <c r="L8" t="inlineStr"/>
      <c r="M8" t="inlineStr">
        <is>
          <t>PIX ENVIADO BRUNA CARLA</t>
        </is>
      </c>
    </row>
    <row r="9">
      <c r="A9" t="n">
        <v>8</v>
      </c>
      <c r="B9" t="inlineStr">
        <is>
          <t>02/01/2026</t>
        </is>
      </c>
      <c r="C9" t="inlineStr">
        <is>
          <t>REF. A PIX ENVIADO THIAGO HENRI</t>
        </is>
      </c>
      <c r="D9" s="7" t="n">
        <v>-900</v>
      </c>
      <c r="E9" t="inlineStr">
        <is>
          <t>362</t>
        </is>
      </c>
      <c r="F9" t="inlineStr">
        <is>
          <t>SERVIÇOS PRESTADOS POR TERCEIROS</t>
        </is>
      </c>
      <c r="G9" s="2" t="inlineStr">
        <is>
          <t>362</t>
        </is>
      </c>
      <c r="H9">
        <f>IFERROR(VLOOKUP(G9&amp;"",PLANO!A:B,2,FALSE),"CONTA NAO EXISTE NO PLANO")</f>
        <v/>
      </c>
      <c r="I9" t="inlineStr">
        <is>
          <t>362</t>
        </is>
      </c>
      <c r="J9" t="inlineStr">
        <is>
          <t>SEM COSMOS</t>
        </is>
      </c>
      <c r="K9" t="inlineStr"/>
      <c r="L9" t="inlineStr"/>
      <c r="M9" t="inlineStr">
        <is>
          <t>PIX ENVIADO THIAGO HENRI</t>
        </is>
      </c>
    </row>
    <row r="10">
      <c r="A10" t="n">
        <v>9</v>
      </c>
      <c r="B10" t="inlineStr">
        <is>
          <t>02/01/2026</t>
        </is>
      </c>
      <c r="C10" t="inlineStr">
        <is>
          <t>REF. A PIX ENVIADO LUZIA ALVES</t>
        </is>
      </c>
      <c r="D10" s="7" t="n">
        <v>-574.86</v>
      </c>
      <c r="E10" t="inlineStr">
        <is>
          <t>187</t>
        </is>
      </c>
      <c r="F10" t="inlineStr">
        <is>
          <t>SALÁRIOS E ORDENADOS A PAGAR</t>
        </is>
      </c>
      <c r="G10" s="2" t="inlineStr">
        <is>
          <t>187</t>
        </is>
      </c>
      <c r="H10">
        <f>IFERROR(VLOOKUP(G10&amp;"",PLANO!A:B,2,FALSE),"CONTA NAO EXISTE NO PLANO")</f>
        <v/>
      </c>
      <c r="I10" t="inlineStr">
        <is>
          <t>187</t>
        </is>
      </c>
      <c r="J10" t="inlineStr">
        <is>
          <t>SEM COSMOS</t>
        </is>
      </c>
      <c r="K10" t="inlineStr"/>
      <c r="L10" t="inlineStr"/>
      <c r="M10" t="inlineStr">
        <is>
          <t>PIX ENVIADO LUZIA ALVES</t>
        </is>
      </c>
    </row>
    <row r="11">
      <c r="A11" t="n">
        <v>10</v>
      </c>
      <c r="B11" t="inlineStr">
        <is>
          <t>02/01/2026</t>
        </is>
      </c>
      <c r="C11" t="inlineStr">
        <is>
          <t>REF. A PIX ENVIADO BRUNA SOARES</t>
        </is>
      </c>
      <c r="D11" s="7" t="n">
        <v>-526.95</v>
      </c>
      <c r="E11" t="inlineStr">
        <is>
          <t>187</t>
        </is>
      </c>
      <c r="F11" t="inlineStr">
        <is>
          <t>SALÁRIOS E ORDENADOS A PAGAR</t>
        </is>
      </c>
      <c r="G11" s="2" t="inlineStr">
        <is>
          <t>187</t>
        </is>
      </c>
      <c r="H11">
        <f>IFERROR(VLOOKUP(G11&amp;"",PLANO!A:B,2,FALSE),"CONTA NAO EXISTE NO PLANO")</f>
        <v/>
      </c>
      <c r="I11" t="inlineStr">
        <is>
          <t>187</t>
        </is>
      </c>
      <c r="J11" t="inlineStr">
        <is>
          <t>SEM COSMOS</t>
        </is>
      </c>
      <c r="K11" t="inlineStr"/>
      <c r="L11" t="inlineStr"/>
      <c r="M11" t="inlineStr">
        <is>
          <t>PIX ENVIADO BRUNA SOARES</t>
        </is>
      </c>
    </row>
    <row r="12">
      <c r="A12" t="n">
        <v>11</v>
      </c>
      <c r="B12" t="inlineStr">
        <is>
          <t>02/01/2026</t>
        </is>
      </c>
      <c r="C12" t="inlineStr">
        <is>
          <t>PIX ENVIADO CARLOS ALBER</t>
        </is>
      </c>
      <c r="D12" s="7" t="n">
        <v>-970.5</v>
      </c>
      <c r="E12" t="inlineStr">
        <is>
          <t>187</t>
        </is>
      </c>
      <c r="F12" t="inlineStr">
        <is>
          <t>SALÁRIOS E ORDENADOS A PAGAR</t>
        </is>
      </c>
      <c r="G12" s="2" t="inlineStr">
        <is>
          <t>187</t>
        </is>
      </c>
      <c r="H12">
        <f>IFERROR(VLOOKUP(G12&amp;"",PLANO!A:B,2,FALSE),"CONTA NAO EXISTE NO PLANO")</f>
        <v/>
      </c>
      <c r="I12" t="inlineStr">
        <is>
          <t>187</t>
        </is>
      </c>
      <c r="J12" t="inlineStr">
        <is>
          <t>SEM COSMOS</t>
        </is>
      </c>
      <c r="K12" t="inlineStr"/>
      <c r="L12" t="inlineStr"/>
      <c r="M12" t="inlineStr">
        <is>
          <t>PIX ENVIADO CARLOS ALBER</t>
        </is>
      </c>
    </row>
    <row r="13">
      <c r="A13" t="n">
        <v>12</v>
      </c>
      <c r="B13" t="inlineStr">
        <is>
          <t>02/01/2026</t>
        </is>
      </c>
      <c r="C13" t="inlineStr">
        <is>
          <t>REF. A PIX ENVIADO ELIANE VAZ P</t>
        </is>
      </c>
      <c r="D13" s="7" t="n">
        <v>-683.1</v>
      </c>
      <c r="E13" t="inlineStr">
        <is>
          <t>187</t>
        </is>
      </c>
      <c r="F13" t="inlineStr">
        <is>
          <t>SALÁRIOS E ORDENADOS A PAGAR</t>
        </is>
      </c>
      <c r="G13" s="2" t="inlineStr">
        <is>
          <t>187</t>
        </is>
      </c>
      <c r="H13">
        <f>IFERROR(VLOOKUP(G13&amp;"",PLANO!A:B,2,FALSE),"CONTA NAO EXISTE NO PLANO")</f>
        <v/>
      </c>
      <c r="I13" t="inlineStr">
        <is>
          <t>187</t>
        </is>
      </c>
      <c r="J13" t="inlineStr">
        <is>
          <t>SEM COSMOS</t>
        </is>
      </c>
      <c r="K13" t="inlineStr"/>
      <c r="L13" t="inlineStr"/>
      <c r="M13" t="inlineStr">
        <is>
          <t>PIX ENVIADO ELIANE VAZ P</t>
        </is>
      </c>
    </row>
    <row r="14">
      <c r="A14" t="n">
        <v>13</v>
      </c>
      <c r="B14" t="inlineStr">
        <is>
          <t>02/01/2026</t>
        </is>
      </c>
      <c r="C14" t="inlineStr">
        <is>
          <t>REF. A PIX ENVIADO EVA APARECID</t>
        </is>
      </c>
      <c r="D14" s="7" t="n">
        <v>-816.6</v>
      </c>
      <c r="E14" t="inlineStr">
        <is>
          <t>187</t>
        </is>
      </c>
      <c r="F14" t="inlineStr">
        <is>
          <t>SALÁRIOS E ORDENADOS A PAGAR</t>
        </is>
      </c>
      <c r="G14" s="2" t="inlineStr">
        <is>
          <t>187</t>
        </is>
      </c>
      <c r="H14">
        <f>IFERROR(VLOOKUP(G14&amp;"",PLANO!A:B,2,FALSE),"CONTA NAO EXISTE NO PLANO")</f>
        <v/>
      </c>
      <c r="I14" t="inlineStr">
        <is>
          <t>187</t>
        </is>
      </c>
      <c r="J14" t="inlineStr">
        <is>
          <t>SEM COSMOS</t>
        </is>
      </c>
      <c r="K14" t="inlineStr"/>
      <c r="L14" t="inlineStr"/>
      <c r="M14" t="inlineStr">
        <is>
          <t>PIX ENVIADO EVA APARECID</t>
        </is>
      </c>
    </row>
    <row r="15">
      <c r="A15" t="n">
        <v>14</v>
      </c>
      <c r="B15" t="inlineStr">
        <is>
          <t>02/01/2026</t>
        </is>
      </c>
      <c r="C15" t="inlineStr">
        <is>
          <t>REF. A PIX ENVIADO LUIZ FELIPE</t>
        </is>
      </c>
      <c r="D15" s="7" t="n">
        <v>-683.1</v>
      </c>
      <c r="E15" t="inlineStr">
        <is>
          <t>187</t>
        </is>
      </c>
      <c r="F15" t="inlineStr">
        <is>
          <t>SALÁRIOS E ORDENADOS A PAGAR</t>
        </is>
      </c>
      <c r="G15" s="2" t="inlineStr">
        <is>
          <t>187</t>
        </is>
      </c>
      <c r="H15">
        <f>IFERROR(VLOOKUP(G15&amp;"",PLANO!A:B,2,FALSE),"CONTA NAO EXISTE NO PLANO")</f>
        <v/>
      </c>
      <c r="I15" t="inlineStr">
        <is>
          <t>187</t>
        </is>
      </c>
      <c r="J15" t="inlineStr">
        <is>
          <t>SEM COSMOS</t>
        </is>
      </c>
      <c r="K15" t="inlineStr"/>
      <c r="L15" t="inlineStr"/>
      <c r="M15" t="inlineStr">
        <is>
          <t>PIX ENVIADO LUIZ FELIPE</t>
        </is>
      </c>
    </row>
    <row r="16">
      <c r="A16" t="n">
        <v>15</v>
      </c>
      <c r="B16" t="inlineStr">
        <is>
          <t>02/01/2026</t>
        </is>
      </c>
      <c r="C16" t="inlineStr">
        <is>
          <t>PIX ENVIADO LUCIANO PERE</t>
        </is>
      </c>
      <c r="D16" s="7" t="n">
        <v>-970.5</v>
      </c>
      <c r="E16" t="inlineStr">
        <is>
          <t>187</t>
        </is>
      </c>
      <c r="F16" t="inlineStr">
        <is>
          <t>SALÁRIOS E ORDENADOS A PAGAR</t>
        </is>
      </c>
      <c r="G16" s="2" t="inlineStr">
        <is>
          <t>187</t>
        </is>
      </c>
      <c r="H16">
        <f>IFERROR(VLOOKUP(G16&amp;"",PLANO!A:B,2,FALSE),"CONTA NAO EXISTE NO PLANO")</f>
        <v/>
      </c>
      <c r="I16" t="inlineStr">
        <is>
          <t>187</t>
        </is>
      </c>
      <c r="J16" t="inlineStr">
        <is>
          <t>SEM COSMOS</t>
        </is>
      </c>
      <c r="K16" t="inlineStr"/>
      <c r="L16" t="inlineStr"/>
      <c r="M16" t="inlineStr">
        <is>
          <t>PIX ENVIADO LUCIANO PERE</t>
        </is>
      </c>
    </row>
    <row r="17">
      <c r="A17" t="n">
        <v>16</v>
      </c>
      <c r="B17" t="inlineStr">
        <is>
          <t>02/01/2026</t>
        </is>
      </c>
      <c r="C17" t="inlineStr">
        <is>
          <t>REF. A PIX ENVIADO MARCOS PAULO</t>
        </is>
      </c>
      <c r="D17" s="7" t="n">
        <v>-683.1</v>
      </c>
      <c r="E17" t="inlineStr">
        <is>
          <t>187</t>
        </is>
      </c>
      <c r="F17" t="inlineStr">
        <is>
          <t>SALÁRIOS E ORDENADOS A PAGAR</t>
        </is>
      </c>
      <c r="G17" s="2" t="inlineStr">
        <is>
          <t>187</t>
        </is>
      </c>
      <c r="H17">
        <f>IFERROR(VLOOKUP(G17&amp;"",PLANO!A:B,2,FALSE),"CONTA NAO EXISTE NO PLANO")</f>
        <v/>
      </c>
      <c r="I17" t="inlineStr">
        <is>
          <t>187</t>
        </is>
      </c>
      <c r="J17" t="inlineStr">
        <is>
          <t>SEM COSMOS</t>
        </is>
      </c>
      <c r="K17" t="inlineStr"/>
      <c r="L17" t="inlineStr"/>
      <c r="M17" t="inlineStr">
        <is>
          <t>PIX ENVIADO MARCOS PAULO</t>
        </is>
      </c>
    </row>
    <row r="18">
      <c r="A18" t="n">
        <v>17</v>
      </c>
      <c r="B18" t="inlineStr">
        <is>
          <t>02/01/2026</t>
        </is>
      </c>
      <c r="C18" t="inlineStr">
        <is>
          <t>AQIA QUIMICA INOVATIVA LTDAPGTO REF. A COMPRA DE MATERIA PRIMA</t>
        </is>
      </c>
      <c r="D18" s="7" t="n">
        <v>-1943.47</v>
      </c>
      <c r="E18" t="inlineStr">
        <is>
          <t>506</t>
        </is>
      </c>
      <c r="F18" t="inlineStr">
        <is>
          <t>FORNECEDORES DIVERSOS</t>
        </is>
      </c>
      <c r="G18" s="2" t="inlineStr">
        <is>
          <t>506</t>
        </is>
      </c>
      <c r="H18">
        <f>IFERROR(VLOOKUP(G18&amp;"",PLANO!A:B,2,FALSE),"CONTA NAO EXISTE NO PLANO")</f>
        <v/>
      </c>
      <c r="I18" t="inlineStr">
        <is>
          <t>506</t>
        </is>
      </c>
      <c r="J18" t="inlineStr">
        <is>
          <t>OK</t>
        </is>
      </c>
      <c r="K18" t="inlineStr">
        <is>
          <t>fornecedor com NF</t>
        </is>
      </c>
      <c r="L18" t="inlineStr">
        <is>
          <t>AQIA QUIMICA INOVATIVA LTDA | 115/6 | PGTO REF. A COMPRA DE MATERIA PRIMA</t>
        </is>
      </c>
      <c r="M18" t="inlineStr">
        <is>
          <t>AQIA QUIMICA INOVATIVA LTDA - PGTO REF. A COMPRA DE MATERIA PRIMA</t>
        </is>
      </c>
    </row>
    <row r="19">
      <c r="A19" t="n">
        <v>18</v>
      </c>
      <c r="B19" t="inlineStr">
        <is>
          <t>02/01/2026</t>
        </is>
      </c>
      <c r="C19" t="inlineStr">
        <is>
          <t>BARENTZ BRASIL DISTRIBUIDORA LTDAPGTO REF. A COMPRA DE MATERIA PRIMA</t>
        </is>
      </c>
      <c r="D19" s="7" t="n">
        <v>-1511.29</v>
      </c>
      <c r="E19" t="inlineStr">
        <is>
          <t>506</t>
        </is>
      </c>
      <c r="F19" t="inlineStr">
        <is>
          <t>FORNECEDORES DIVERSOS</t>
        </is>
      </c>
      <c r="G19" s="2" t="inlineStr">
        <is>
          <t>506</t>
        </is>
      </c>
      <c r="H19">
        <f>IFERROR(VLOOKUP(G19&amp;"",PLANO!A:B,2,FALSE),"CONTA NAO EXISTE NO PLANO")</f>
        <v/>
      </c>
      <c r="I19" t="inlineStr">
        <is>
          <t>506</t>
        </is>
      </c>
      <c r="J19" t="inlineStr">
        <is>
          <t>OK</t>
        </is>
      </c>
      <c r="K19" t="inlineStr">
        <is>
          <t>fornecedor com NF</t>
        </is>
      </c>
      <c r="L19" t="inlineStr">
        <is>
          <t>BARENTZ BRASIL DISTRIBUIDORA LTDA | 115/6 | PGTO REF. A COMPRA DE MATERIA PRIMA</t>
        </is>
      </c>
      <c r="M19" t="inlineStr">
        <is>
          <t>BARENTZ BRASIL DISTRIBUIDORA LTDA - PGTO REF. A COMPRA DE MATERIA PRIMA</t>
        </is>
      </c>
    </row>
    <row r="20">
      <c r="A20" t="n">
        <v>19</v>
      </c>
      <c r="B20" t="inlineStr">
        <is>
          <t>02/01/2026</t>
        </is>
      </c>
      <c r="C20" t="inlineStr">
        <is>
          <t>MASTER PUMPS EMBALAGENS COMERCIO IMPORTACAO E EXPORTACAO LTDA</t>
        </is>
      </c>
      <c r="D20" s="7" t="n">
        <v>-714.84</v>
      </c>
      <c r="E20" t="inlineStr">
        <is>
          <t>506</t>
        </is>
      </c>
      <c r="F20" t="inlineStr">
        <is>
          <t>FORNECEDORES DIVERSOS</t>
        </is>
      </c>
      <c r="G20" s="2" t="inlineStr">
        <is>
          <t>506</t>
        </is>
      </c>
      <c r="H20">
        <f>IFERROR(VLOOKUP(G20&amp;"",PLANO!A:B,2,FALSE),"CONTA NAO EXISTE NO PLANO")</f>
        <v/>
      </c>
      <c r="I20" t="inlineStr">
        <is>
          <t>506</t>
        </is>
      </c>
      <c r="J20" t="inlineStr">
        <is>
          <t>OK</t>
        </is>
      </c>
      <c r="K20" t="inlineStr">
        <is>
          <t>fornecedor com NF</t>
        </is>
      </c>
      <c r="L20" t="inlineStr">
        <is>
          <t>MASTER PUMPS EMBALAGENS COMERCIO IMPORTACAO E EXPORTACAO LTDA | 115/9 | PGTO REF. A COMPRA DE EMBALAGEM</t>
        </is>
      </c>
      <c r="M20" t="inlineStr">
        <is>
          <t>MASTER PUMPS EMBALAGENS COMERCIO IMPORTACAO E EXPORTACAO LTDA - PGTO REF. A COMPRA DE EMBALAGEM</t>
        </is>
      </c>
    </row>
    <row r="21">
      <c r="A21" t="n">
        <v>20</v>
      </c>
      <c r="B21" t="inlineStr">
        <is>
          <t>02/01/2026</t>
        </is>
      </c>
      <c r="C21" t="inlineStr">
        <is>
          <t>MASTER PUMPS EMBALAGENS COMERCIO IMPORTACAO E EXPORTACAO LTDA PGTO REF. A COMPRA DE FRASCO</t>
        </is>
      </c>
      <c r="D21" s="7" t="n">
        <v>-1068.36</v>
      </c>
      <c r="E21" t="inlineStr">
        <is>
          <t>506</t>
        </is>
      </c>
      <c r="F21" t="inlineStr">
        <is>
          <t>FORNECEDORES DIVERSOS</t>
        </is>
      </c>
      <c r="G21" s="2" t="inlineStr">
        <is>
          <t>506</t>
        </is>
      </c>
      <c r="H21">
        <f>IFERROR(VLOOKUP(G21&amp;"",PLANO!A:B,2,FALSE),"CONTA NAO EXISTE NO PLANO")</f>
        <v/>
      </c>
      <c r="I21" t="inlineStr">
        <is>
          <t>506</t>
        </is>
      </c>
      <c r="J21" t="inlineStr">
        <is>
          <t>OK</t>
        </is>
      </c>
      <c r="K21" t="inlineStr">
        <is>
          <t>fornecedor com NF</t>
        </is>
      </c>
      <c r="L21" t="inlineStr">
        <is>
          <t>MASTER PUMPS EMBALAGENS COMERCIO IMPORTACAO E EXPORTACAO LTDA | 115/9 | PGTO REF. A COMPRA DE FRASCO</t>
        </is>
      </c>
      <c r="M21" t="inlineStr">
        <is>
          <t>MASTER PUMPS EMBALAGENS COMERCIO IMPORTACAO E EXPORTACAO LTDA - PGTO REF. A COMPRA DE FRASCO</t>
        </is>
      </c>
    </row>
    <row r="22">
      <c r="A22" t="n">
        <v>21</v>
      </c>
      <c r="B22" t="inlineStr">
        <is>
          <t>02/01/2026</t>
        </is>
      </c>
      <c r="C22" t="inlineStr">
        <is>
          <t>MULTIQUIM INDUSTRIA COMERCIO IMPORTACAO E EXP LTDA PGTO REF. A COMPRA DE ACIDO TIOGLICOLICO 160 KG</t>
        </is>
      </c>
      <c r="D22" s="7" t="n">
        <v>-5063.97</v>
      </c>
      <c r="E22" t="inlineStr">
        <is>
          <t>506</t>
        </is>
      </c>
      <c r="F22" t="inlineStr">
        <is>
          <t>FORNECEDORES DIVERSOS</t>
        </is>
      </c>
      <c r="G22" s="2" t="inlineStr">
        <is>
          <t>506</t>
        </is>
      </c>
      <c r="H22">
        <f>IFERROR(VLOOKUP(G22&amp;"",PLANO!A:B,2,FALSE),"CONTA NAO EXISTE NO PLANO")</f>
        <v/>
      </c>
      <c r="I22" t="inlineStr">
        <is>
          <t>506</t>
        </is>
      </c>
      <c r="J22" t="inlineStr">
        <is>
          <t>OK</t>
        </is>
      </c>
      <c r="K22" t="inlineStr">
        <is>
          <t>fornecedor com NF</t>
        </is>
      </c>
      <c r="L22" t="inlineStr">
        <is>
          <t>MULTIQUIM INDUSTRIA COMERCIO IMPORTACAO E EXP LTDA | 115/97 | PGTO REF. A COMPRA DE ACIDO TIOGLICOLICO 160 KG</t>
        </is>
      </c>
      <c r="M22" t="inlineStr">
        <is>
          <t>MULTIQUIM INDUSTRIA COMERCIO IMPORTACAO E EXP LTDA - PGTO REF. A COMPRA DE ACIDO TIOGLICOLICO 160 KG</t>
        </is>
      </c>
    </row>
    <row r="23">
      <c r="A23" t="n">
        <v>22</v>
      </c>
      <c r="B23" t="inlineStr">
        <is>
          <t>02/01/2026</t>
        </is>
      </c>
      <c r="C23" t="inlineStr">
        <is>
          <t>QUIMIFORMULA COMERCIO DE PRODUTOS QUIMICOS LTDAPGTO REF. A COMPRA DE MATERIA PRIMA, GENAMIN KDMP20 KG</t>
        </is>
      </c>
      <c r="D23" s="7" t="n">
        <v>-1211.83</v>
      </c>
      <c r="E23" t="inlineStr">
        <is>
          <t>506</t>
        </is>
      </c>
      <c r="F23" t="inlineStr">
        <is>
          <t>FORNECEDORES DIVERSOS</t>
        </is>
      </c>
      <c r="G23" s="2" t="inlineStr">
        <is>
          <t>506</t>
        </is>
      </c>
      <c r="H23">
        <f>IFERROR(VLOOKUP(G23&amp;"",PLANO!A:B,2,FALSE),"CONTA NAO EXISTE NO PLANO")</f>
        <v/>
      </c>
      <c r="I23" t="inlineStr">
        <is>
          <t>506</t>
        </is>
      </c>
      <c r="J23" t="inlineStr">
        <is>
          <t>OK</t>
        </is>
      </c>
      <c r="K23" t="inlineStr">
        <is>
          <t>fornecedor com NF</t>
        </is>
      </c>
      <c r="L23" t="inlineStr">
        <is>
          <t>QUIMIFORMULA COMERCIO DE PRODUTOS QUIMICOS LTDA | 115/6 | PGTO REF. A COMPRA DE MATERIA PRIMA, GENAMIN KDMP 20 KG</t>
        </is>
      </c>
      <c r="M23" t="inlineStr">
        <is>
          <t>QUIMIFORMULA COMERCIO DE PRODUTOS QUIMICOS LTDA - PGTO REF. A COMPRA DE MATERIA PRIMA, GENAMIN KDMP 20 KG</t>
        </is>
      </c>
    </row>
    <row r="24">
      <c r="A24" t="n">
        <v>23</v>
      </c>
      <c r="B24" t="inlineStr">
        <is>
          <t>02/01/2026</t>
        </is>
      </c>
      <c r="C24" t="inlineStr">
        <is>
          <t>COSMOTEC INTERNATIONAL ESPECIALIDADES COSMETICAS LTDA.PAGAMENTO REFERENTE A COMPRA DE MATERIA PRIMA,SF1550 - 5KG, SF1214 - 190KG, SF 876 - 5KG</t>
        </is>
      </c>
      <c r="D24" s="7" t="n">
        <v>-2080.75</v>
      </c>
      <c r="E24" t="inlineStr">
        <is>
          <t>506</t>
        </is>
      </c>
      <c r="F24" t="inlineStr">
        <is>
          <t>FORNECEDORES DIVERSOS</t>
        </is>
      </c>
      <c r="G24" s="2" t="inlineStr">
        <is>
          <t>506</t>
        </is>
      </c>
      <c r="H24">
        <f>IFERROR(VLOOKUP(G24&amp;"",PLANO!A:B,2,FALSE),"CONTA NAO EXISTE NO PLANO")</f>
        <v/>
      </c>
      <c r="I24" t="inlineStr">
        <is>
          <t>506</t>
        </is>
      </c>
      <c r="J24" t="inlineStr">
        <is>
          <t>OK</t>
        </is>
      </c>
      <c r="K24" t="inlineStr">
        <is>
          <t>fornecedor com NF</t>
        </is>
      </c>
      <c r="L24" t="inlineStr">
        <is>
          <t>COSMOTEC INTERNATIONAL ESPECIALIDADES COSMETICAS LTDA. | 115/6 | PAGAMENTO REFERENTE A COMPRA DE MATERIA PRIMA, SF1550 - 5KG, SF1214 - 190KG, SF 876 - 5KG</t>
        </is>
      </c>
      <c r="M24" t="inlineStr">
        <is>
          <t>COSMOTEC INTERNATIONAL ESPECIALIDADES COSMETICAS LTDA. - PAGAMENTO REFERENTE A COMPRA DE MATERIA PRIMA, SF1550 - 5KG, SF1214 - 190KG, SF</t>
        </is>
      </c>
    </row>
    <row r="25">
      <c r="A25" t="n">
        <v>24</v>
      </c>
      <c r="B25" t="inlineStr">
        <is>
          <t>02/01/2026</t>
        </is>
      </c>
      <c r="C25" t="inlineStr">
        <is>
          <t>YAHWEH PRINT BRASIL LTDAPGTO REF. A COMPRA DE ROTULO CELULA TRONCO</t>
        </is>
      </c>
      <c r="D25" s="7" t="n">
        <v>-2968.15</v>
      </c>
      <c r="E25" t="inlineStr">
        <is>
          <t>506</t>
        </is>
      </c>
      <c r="F25" t="inlineStr">
        <is>
          <t>FORNECEDORES DIVERSOS</t>
        </is>
      </c>
      <c r="G25" s="2" t="inlineStr">
        <is>
          <t>506</t>
        </is>
      </c>
      <c r="H25">
        <f>IFERROR(VLOOKUP(G25&amp;"",PLANO!A:B,2,FALSE),"CONTA NAO EXISTE NO PLANO")</f>
        <v/>
      </c>
      <c r="I25" t="inlineStr">
        <is>
          <t>506</t>
        </is>
      </c>
      <c r="J25" t="inlineStr">
        <is>
          <t>OK</t>
        </is>
      </c>
      <c r="K25" t="inlineStr">
        <is>
          <t>fornecedor com NF</t>
        </is>
      </c>
      <c r="L25" t="inlineStr">
        <is>
          <t>YAHWEH PRINT BRASIL LTDA | 115/9 | PGTO REF. A COMPRA DE ROTULO CELULA TRONCO</t>
        </is>
      </c>
      <c r="M25" t="inlineStr">
        <is>
          <t>YAHWEH PRINT BRASIL LTDA - PGTO REF. A COMPRA DE ROTULO CELULA TRONCO</t>
        </is>
      </c>
    </row>
    <row r="26">
      <c r="A26" t="n">
        <v>25</v>
      </c>
      <c r="B26" t="inlineStr">
        <is>
          <t>02/01/2026</t>
        </is>
      </c>
      <c r="C26" t="inlineStr">
        <is>
          <t>BANCO ITAU UNIBANCO PAGTO REF. JUROS EXCESSO LIMITE CONTA</t>
        </is>
      </c>
      <c r="D26" s="7" t="n">
        <v>-51.73</v>
      </c>
      <c r="E26" t="inlineStr">
        <is>
          <t>372</t>
        </is>
      </c>
      <c r="F26" t="inlineStr">
        <is>
          <t>JUROS DE MORA</t>
        </is>
      </c>
      <c r="G26" s="2" t="inlineStr">
        <is>
          <t>372</t>
        </is>
      </c>
      <c r="H26">
        <f>IFERROR(VLOOKUP(G26&amp;"",PLANO!A:B,2,FALSE),"CONTA NAO EXISTE NO PLANO")</f>
        <v/>
      </c>
      <c r="I26" t="inlineStr">
        <is>
          <t>372</t>
        </is>
      </c>
      <c r="J26" t="inlineStr">
        <is>
          <t>OK</t>
        </is>
      </c>
      <c r="K26" t="inlineStr">
        <is>
          <t>juros limite (375/625)</t>
        </is>
      </c>
      <c r="L26" t="inlineStr">
        <is>
          <t>BANCO ITAU UNIBANCO | 115/122 | PAGTO REF. JUROS EXCESSO LIMITE CONTA</t>
        </is>
      </c>
      <c r="M26" t="inlineStr">
        <is>
          <t>BANCO ITAU UNIBANCO - PAGTO REF. JUROS EXCESSO LIMITE CONTA</t>
        </is>
      </c>
    </row>
    <row r="27">
      <c r="A27" t="n">
        <v>26</v>
      </c>
      <c r="B27" t="inlineStr">
        <is>
          <t>05/01/2026</t>
        </is>
      </c>
      <c r="C27" t="inlineStr">
        <is>
          <t>REF. A MOV TIT COB DISP 05/01S</t>
        </is>
      </c>
      <c r="D27" s="7" t="n">
        <v>7514.46</v>
      </c>
      <c r="E27" t="inlineStr">
        <is>
          <t>504</t>
        </is>
      </c>
      <c r="F27" t="inlineStr">
        <is>
          <t>CLIENTES DIVERSOS</t>
        </is>
      </c>
      <c r="G27" s="2" t="inlineStr">
        <is>
          <t>504</t>
        </is>
      </c>
      <c r="H27">
        <f>IFERROR(VLOOKUP(G27&amp;"",PLANO!A:B,2,FALSE),"CONTA NAO EXISTE NO PLANO")</f>
        <v/>
      </c>
      <c r="I27" t="inlineStr">
        <is>
          <t>504</t>
        </is>
      </c>
      <c r="J27" t="inlineStr">
        <is>
          <t>SEM COSMOS</t>
        </is>
      </c>
      <c r="K27" t="inlineStr"/>
      <c r="L27" t="inlineStr"/>
      <c r="M27" t="inlineStr">
        <is>
          <t>MOV TIT COB DISP 05/01S</t>
        </is>
      </c>
    </row>
    <row r="28">
      <c r="A28" t="n">
        <v>27</v>
      </c>
      <c r="B28" t="inlineStr">
        <is>
          <t>05/01/2026</t>
        </is>
      </c>
      <c r="C28" t="inlineStr">
        <is>
          <t>REF. A REDE MAST AT0081996543</t>
        </is>
      </c>
      <c r="D28" s="7" t="n">
        <v>8888.620000000001</v>
      </c>
      <c r="E28" t="inlineStr">
        <is>
          <t>504</t>
        </is>
      </c>
      <c r="F28" t="inlineStr">
        <is>
          <t>CLIENTES DIVERSOS</t>
        </is>
      </c>
      <c r="G28" s="2" t="inlineStr">
        <is>
          <t>504</t>
        </is>
      </c>
      <c r="H28">
        <f>IFERROR(VLOOKUP(G28&amp;"",PLANO!A:B,2,FALSE),"CONTA NAO EXISTE NO PLANO")</f>
        <v/>
      </c>
      <c r="I28" t="inlineStr">
        <is>
          <t>504</t>
        </is>
      </c>
      <c r="J28" t="inlineStr">
        <is>
          <t>SEM COSMOS</t>
        </is>
      </c>
      <c r="K28" t="inlineStr"/>
      <c r="L28" t="inlineStr"/>
      <c r="M28" t="inlineStr">
        <is>
          <t>REDE MAST AT0081996543</t>
        </is>
      </c>
    </row>
    <row r="29">
      <c r="A29" t="n">
        <v>28</v>
      </c>
      <c r="B29" t="inlineStr">
        <is>
          <t>05/01/2026</t>
        </is>
      </c>
      <c r="C29" t="inlineStr">
        <is>
          <t>REF. A REDE VISA AT0081996543</t>
        </is>
      </c>
      <c r="D29" s="7" t="n">
        <v>2400.47</v>
      </c>
      <c r="E29" t="inlineStr">
        <is>
          <t>504</t>
        </is>
      </c>
      <c r="F29" t="inlineStr">
        <is>
          <t>CLIENTES DIVERSOS</t>
        </is>
      </c>
      <c r="G29" s="2" t="inlineStr">
        <is>
          <t>504</t>
        </is>
      </c>
      <c r="H29">
        <f>IFERROR(VLOOKUP(G29&amp;"",PLANO!A:B,2,FALSE),"CONTA NAO EXISTE NO PLANO")</f>
        <v/>
      </c>
      <c r="I29" t="inlineStr">
        <is>
          <t>504</t>
        </is>
      </c>
      <c r="J29" t="inlineStr">
        <is>
          <t>SEM COSMOS</t>
        </is>
      </c>
      <c r="K29" t="inlineStr"/>
      <c r="L29" t="inlineStr"/>
      <c r="M29" t="inlineStr">
        <is>
          <t>REDE VISA AT0081996543</t>
        </is>
      </c>
    </row>
    <row r="30">
      <c r="A30" t="n">
        <v>29</v>
      </c>
      <c r="B30" t="inlineStr">
        <is>
          <t>05/01/2026</t>
        </is>
      </c>
      <c r="C30" t="inlineStr">
        <is>
          <t>PGTO REF. JUROS LIMITE CONTA + IOF</t>
        </is>
      </c>
      <c r="D30" s="7" t="n">
        <v>-139.81</v>
      </c>
      <c r="E30" t="inlineStr">
        <is>
          <t>625</t>
        </is>
      </c>
      <c r="F30" t="inlineStr">
        <is>
          <t>IOF</t>
        </is>
      </c>
      <c r="G30" s="2" t="inlineStr">
        <is>
          <t>625</t>
        </is>
      </c>
      <c r="H30">
        <f>IFERROR(VLOOKUP(G30&amp;"",PLANO!A:B,2,FALSE),"CONTA NAO EXISTE NO PLANO")</f>
        <v/>
      </c>
      <c r="I30" t="inlineStr">
        <is>
          <t>625</t>
        </is>
      </c>
      <c r="J30" t="inlineStr">
        <is>
          <t>OK</t>
        </is>
      </c>
      <c r="K30" t="inlineStr">
        <is>
          <t>juros limite (375/625)</t>
        </is>
      </c>
      <c r="L30" t="inlineStr">
        <is>
          <t>BANCO ITAU UNIBANCO | 115/122 | PGTO REF. JUROS LIMITE CONTA + IOF</t>
        </is>
      </c>
      <c r="M30" t="inlineStr">
        <is>
          <t>BANCO ITAU UNIBANCO - PGTO REF. JUROS LIMITE CONTA + IOF</t>
        </is>
      </c>
    </row>
    <row r="31">
      <c r="A31" t="n">
        <v>30</v>
      </c>
      <c r="B31" t="inlineStr">
        <is>
          <t>05/01/2026</t>
        </is>
      </c>
      <c r="C31" t="inlineStr">
        <is>
          <t>FLASH TECNOLOGIA E INSTITUICAO DE PAGAMENTO LTDA PGTO REF.VALE ALIMENTAÇÃO</t>
        </is>
      </c>
      <c r="D31" s="7" t="n">
        <v>-10305</v>
      </c>
      <c r="E31" t="inlineStr">
        <is>
          <t>659</t>
        </is>
      </c>
      <c r="F31" t="inlineStr">
        <is>
          <t>VA / VR</t>
        </is>
      </c>
      <c r="G31" s="2" t="inlineStr">
        <is>
          <t>659</t>
        </is>
      </c>
      <c r="H31">
        <f>IFERROR(VLOOKUP(G31&amp;"",PLANO!A:B,2,FALSE),"CONTA NAO EXISTE NO PLANO")</f>
        <v/>
      </c>
      <c r="I31" t="inlineStr">
        <is>
          <t>659</t>
        </is>
      </c>
      <c r="J31" t="inlineStr">
        <is>
          <t>OK</t>
        </is>
      </c>
      <c r="K31" t="inlineStr">
        <is>
          <t>categoria Cosmos 34</t>
        </is>
      </c>
      <c r="L31" t="inlineStr">
        <is>
          <t>FLASH TECNOLOGIA E INSTITUICAO DE PAGAMENTO LTDA | 115/34 | PGTO REF.VALE ALIMENTAÇÃO</t>
        </is>
      </c>
      <c r="M31" t="inlineStr">
        <is>
          <t>FLASH TECNOLOGIA E INSTITUICAO DE PAGAMENTO LTDA - PGTO REF.VALE ALIMENTAÇÃO</t>
        </is>
      </c>
    </row>
    <row r="32">
      <c r="A32" t="n">
        <v>31</v>
      </c>
      <c r="B32" t="inlineStr">
        <is>
          <t>05/01/2026</t>
        </is>
      </c>
      <c r="C32" t="inlineStr">
        <is>
          <t>BANCO ITAU UNIBANCOPGTO REF. JUROS LIMITE CONTA + IOF</t>
        </is>
      </c>
      <c r="D32" s="7" t="n">
        <v>-392.12</v>
      </c>
      <c r="E32" t="inlineStr">
        <is>
          <t>625</t>
        </is>
      </c>
      <c r="F32" t="inlineStr">
        <is>
          <t>IOF</t>
        </is>
      </c>
      <c r="G32" s="2" t="inlineStr">
        <is>
          <t>625</t>
        </is>
      </c>
      <c r="H32">
        <f>IFERROR(VLOOKUP(G32&amp;"",PLANO!A:B,2,FALSE),"CONTA NAO EXISTE NO PLANO")</f>
        <v/>
      </c>
      <c r="I32" t="inlineStr">
        <is>
          <t>625</t>
        </is>
      </c>
      <c r="J32" t="inlineStr">
        <is>
          <t>OK</t>
        </is>
      </c>
      <c r="K32" t="inlineStr">
        <is>
          <t>juros limite (375/625)</t>
        </is>
      </c>
      <c r="L32" t="inlineStr">
        <is>
          <t>BANCO ITAU UNIBANCO | 115/122 | PGTO REF. JUROS LIMITE CONTA + IOF</t>
        </is>
      </c>
      <c r="M32" t="inlineStr">
        <is>
          <t>BANCO ITAU UNIBANCO - PGTO REF. JUROS LIMITE CONTA + IOF</t>
        </is>
      </c>
    </row>
    <row r="33">
      <c r="A33" s="8" t="n">
        <v>32</v>
      </c>
      <c r="B33" s="8" t="inlineStr">
        <is>
          <t>05/01/2026</t>
        </is>
      </c>
      <c r="C33" s="8" t="inlineStr">
        <is>
          <t>BEATRIZ CAMILA MARCELINO DOS SANTOSPGTO REF. A VALE TRANSPORTE+VALE REFEIÇÃO</t>
        </is>
      </c>
      <c r="D33" s="9" t="n">
        <v>-456</v>
      </c>
      <c r="E33" s="8" t="inlineStr">
        <is>
          <t>187</t>
        </is>
      </c>
      <c r="F33" s="8" t="inlineStr">
        <is>
          <t>SALÁRIOS E ORDENADOS A PAGAR</t>
        </is>
      </c>
      <c r="G33" s="10" t="inlineStr">
        <is>
          <t>659</t>
        </is>
      </c>
      <c r="H33" s="8">
        <f>IFERROR(VLOOKUP(G33&amp;"",PLANO!A:B,2,FALSE),"CONTA NAO EXISTE NO PLANO")</f>
        <v/>
      </c>
      <c r="I33" s="8" t="inlineStr">
        <is>
          <t>659</t>
        </is>
      </c>
      <c r="J33" s="8" t="inlineStr">
        <is>
          <t>CORRIGIR</t>
        </is>
      </c>
      <c r="K33" s="8" t="inlineStr">
        <is>
          <t>categoria Cosmos 34</t>
        </is>
      </c>
      <c r="L33" s="8" t="inlineStr">
        <is>
          <t>BEATRIZ CAMILA MARCELINO DOS SANTOS | 115/34 | PGTO REF. A VALE TRANSPORTE+VALE REFEIÇÃO</t>
        </is>
      </c>
      <c r="M33" s="8" t="inlineStr">
        <is>
          <t>BEATRIZ CAMILA MARCELINO DOS SANTOS - PGTO REF. A VALE TRANSPORTE+VALE REFEIÇÃO</t>
        </is>
      </c>
    </row>
    <row r="34">
      <c r="A34" t="n">
        <v>33</v>
      </c>
      <c r="B34" t="inlineStr">
        <is>
          <t>05/01/2026</t>
        </is>
      </c>
      <c r="C34" t="inlineStr">
        <is>
          <t>TRANS TOMAZ - TRANSPORTES RODOVIARIOS DE CARGAS EIRELIPGTO REF. A FRETE SOBRE COMPRAS</t>
        </is>
      </c>
      <c r="D34" s="7" t="n">
        <v>-264.01</v>
      </c>
      <c r="E34" t="inlineStr">
        <is>
          <t>312</t>
        </is>
      </c>
      <c r="F34" t="inlineStr">
        <is>
          <t>FRETES E CARRETOS</t>
        </is>
      </c>
      <c r="G34" s="2" t="inlineStr">
        <is>
          <t>312</t>
        </is>
      </c>
      <c r="H34">
        <f>IFERROR(VLOOKUP(G34&amp;"",PLANO!A:B,2,FALSE),"CONTA NAO EXISTE NO PLANO")</f>
        <v/>
      </c>
      <c r="I34" t="inlineStr">
        <is>
          <t>312</t>
        </is>
      </c>
      <c r="J34" t="inlineStr">
        <is>
          <t>OK</t>
        </is>
      </c>
      <c r="K34" t="inlineStr">
        <is>
          <t>categoria Cosmos 4</t>
        </is>
      </c>
      <c r="L34" t="inlineStr">
        <is>
          <t>TRANS TOMAZ TRANSPORTES RODOVIARIOS DE CARGAS EIRELI | 115/4 | PGTO REF. A FRETE SOBRE COMPRAS</t>
        </is>
      </c>
      <c r="M34" t="inlineStr">
        <is>
          <t>TRANS TOMAZ TRANSPORTES RODOVIARIOS DE CARGAS EIRELI - PGTO REF. A FRETE SOBRE COMPRAS</t>
        </is>
      </c>
    </row>
    <row r="35">
      <c r="A35" t="n">
        <v>34</v>
      </c>
      <c r="B35" t="inlineStr">
        <is>
          <t>05/01/2026</t>
        </is>
      </c>
      <c r="C35" t="inlineStr">
        <is>
          <t>BANCO ITAU UNIBANCOPGTO REF. JUROS LIMITE CONTA + IOF</t>
        </is>
      </c>
      <c r="D35" s="7" t="n">
        <v>-7217.03</v>
      </c>
      <c r="E35" t="inlineStr">
        <is>
          <t>375</t>
        </is>
      </c>
      <c r="F35" t="inlineStr">
        <is>
          <t>JUROS SOBRE EMPRÉSTIMOS E FINANCIAMENTOS</t>
        </is>
      </c>
      <c r="G35" s="2" t="inlineStr">
        <is>
          <t>375</t>
        </is>
      </c>
      <c r="H35">
        <f>IFERROR(VLOOKUP(G35&amp;"",PLANO!A:B,2,FALSE),"CONTA NAO EXISTE NO PLANO")</f>
        <v/>
      </c>
      <c r="I35" t="inlineStr">
        <is>
          <t>375</t>
        </is>
      </c>
      <c r="J35" t="inlineStr">
        <is>
          <t>OK</t>
        </is>
      </c>
      <c r="K35" t="inlineStr">
        <is>
          <t>juros limite (375/625)</t>
        </is>
      </c>
      <c r="L35" t="inlineStr">
        <is>
          <t>BANCO ITAU UNIBANCO | 115/122 | PGTO REF. JUROS LIMITE CONTA + IOF</t>
        </is>
      </c>
      <c r="M35" t="inlineStr">
        <is>
          <t>BANCO ITAU UNIBANCO - PGTO REF. JUROS LIMITE CONTA + IOF</t>
        </is>
      </c>
    </row>
    <row r="36">
      <c r="A36" t="n">
        <v>35</v>
      </c>
      <c r="B36" t="inlineStr">
        <is>
          <t>05/01/2026</t>
        </is>
      </c>
      <c r="C36" t="inlineStr">
        <is>
          <t>BANCO ITAU UNIBANCOPAGTO REF. TAR COB EXP+PIX TRANSF.</t>
        </is>
      </c>
      <c r="D36" s="7" t="n">
        <v>-66.59999999999999</v>
      </c>
      <c r="E36" t="inlineStr">
        <is>
          <t>626</t>
        </is>
      </c>
      <c r="F36" t="inlineStr">
        <is>
          <t>TARIFAS BANCARIAS</t>
        </is>
      </c>
      <c r="G36" s="2" t="inlineStr">
        <is>
          <t>626</t>
        </is>
      </c>
      <c r="H36">
        <f>IFERROR(VLOOKUP(G36&amp;"",PLANO!A:B,2,FALSE),"CONTA NAO EXISTE NO PLANO")</f>
        <v/>
      </c>
      <c r="I36" t="inlineStr">
        <is>
          <t>626</t>
        </is>
      </c>
      <c r="J36" t="inlineStr">
        <is>
          <t>OK</t>
        </is>
      </c>
      <c r="K36" t="inlineStr">
        <is>
          <t>tarifa/IOF bancario</t>
        </is>
      </c>
      <c r="L36" t="inlineStr">
        <is>
          <t>BANCO ITAU UNIBANCO | 115/56 | PAGTO REF. TAR COB EXP+PIX TRANSF.</t>
        </is>
      </c>
      <c r="M36" t="inlineStr">
        <is>
          <t>BANCO ITAU UNIBANCO - PAGTO REF. TAR COB EXP+PIX TRANSF.</t>
        </is>
      </c>
    </row>
    <row r="37">
      <c r="A37" t="n">
        <v>36</v>
      </c>
      <c r="B37" t="inlineStr">
        <is>
          <t>05/01/2026</t>
        </is>
      </c>
      <c r="C37" t="inlineStr">
        <is>
          <t>BANCO ITAU UNIBANCOPAGTO REF. TAR COB EXP+PIX TRANSF.</t>
        </is>
      </c>
      <c r="D37" s="7" t="n">
        <v>-400.88</v>
      </c>
      <c r="E37" t="inlineStr">
        <is>
          <t>626</t>
        </is>
      </c>
      <c r="F37" t="inlineStr">
        <is>
          <t>TARIFAS BANCARIAS</t>
        </is>
      </c>
      <c r="G37" s="2" t="inlineStr">
        <is>
          <t>626</t>
        </is>
      </c>
      <c r="H37">
        <f>IFERROR(VLOOKUP(G37&amp;"",PLANO!A:B,2,FALSE),"CONTA NAO EXISTE NO PLANO")</f>
        <v/>
      </c>
      <c r="I37" t="inlineStr">
        <is>
          <t>626</t>
        </is>
      </c>
      <c r="J37" t="inlineStr">
        <is>
          <t>OK</t>
        </is>
      </c>
      <c r="K37" t="inlineStr">
        <is>
          <t>tarifa/IOF bancario</t>
        </is>
      </c>
      <c r="L37" t="inlineStr">
        <is>
          <t>BANCO ITAU UNIBANCO | 115/56 | PAGTO REF. TAR COB EXP+PIX TRANSF.</t>
        </is>
      </c>
      <c r="M37" t="inlineStr">
        <is>
          <t>BANCO ITAU UNIBANCO - PAGTO REF. TAR COB EXP+PIX TRANSF.</t>
        </is>
      </c>
    </row>
    <row r="38">
      <c r="A38" s="4" t="n">
        <v>37</v>
      </c>
      <c r="B38" s="4" t="inlineStr">
        <is>
          <t>06/01/2026</t>
        </is>
      </c>
      <c r="C38" s="4" t="inlineStr">
        <is>
          <t>REF. A SISPAG COSMETICON COMER (OUTRAS ENTRADAS)</t>
        </is>
      </c>
      <c r="D38" s="5" t="n">
        <v>8000</v>
      </c>
      <c r="E38" s="4" t="inlineStr">
        <is>
          <t>663</t>
        </is>
      </c>
      <c r="F38" s="4" t="inlineStr">
        <is>
          <t>EMPRESTIMO COSMETICON COMERCIO (31.494.732/0001-09)</t>
        </is>
      </c>
      <c r="G38" s="6" t="inlineStr">
        <is>
          <t>663</t>
        </is>
      </c>
      <c r="H38" s="4">
        <f>IFERROR(VLOOKUP(G38&amp;"",PLANO!A:B,2,FALSE),"CONTA NAO EXISTE NO PLANO")</f>
        <v/>
      </c>
      <c r="I38" s="4" t="inlineStr">
        <is>
          <t>663</t>
        </is>
      </c>
      <c r="J38" s="4" t="inlineStr">
        <is>
          <t>AJUSTADO</t>
        </is>
      </c>
      <c r="K38" s="4" t="inlineStr">
        <is>
          <t>COSMETICON - conta-corrente unica de mutuo (663)</t>
        </is>
      </c>
      <c r="L38" s="4" t="inlineStr">
        <is>
          <t xml:space="preserve">OUTRAS ENTRADAS | 122/71 | </t>
        </is>
      </c>
      <c r="M38" s="4" t="inlineStr">
        <is>
          <t>SISPAG COSMETICON COMER (OUTRAS ENTRADAS)</t>
        </is>
      </c>
    </row>
    <row r="39">
      <c r="A39" t="n">
        <v>38</v>
      </c>
      <c r="B39" t="inlineStr">
        <is>
          <t>06/01/2026</t>
        </is>
      </c>
      <c r="C39" t="inlineStr">
        <is>
          <t>REF. A MOV TIT COB DISP 06/01S</t>
        </is>
      </c>
      <c r="D39" s="7" t="n">
        <v>1401.83</v>
      </c>
      <c r="E39" t="inlineStr">
        <is>
          <t>504</t>
        </is>
      </c>
      <c r="F39" t="inlineStr">
        <is>
          <t>CLIENTES DIVERSOS</t>
        </is>
      </c>
      <c r="G39" s="2" t="inlineStr">
        <is>
          <t>504</t>
        </is>
      </c>
      <c r="H39">
        <f>IFERROR(VLOOKUP(G39&amp;"",PLANO!A:B,2,FALSE),"CONTA NAO EXISTE NO PLANO")</f>
        <v/>
      </c>
      <c r="I39" t="inlineStr">
        <is>
          <t>504</t>
        </is>
      </c>
      <c r="J39" t="inlineStr">
        <is>
          <t>SEM COSMOS</t>
        </is>
      </c>
      <c r="K39" t="inlineStr"/>
      <c r="L39" t="inlineStr"/>
      <c r="M39" t="inlineStr">
        <is>
          <t>MOV TIT COB DISP 06/01S</t>
        </is>
      </c>
    </row>
    <row r="40">
      <c r="A40" t="n">
        <v>39</v>
      </c>
      <c r="B40" t="inlineStr">
        <is>
          <t>06/01/2026</t>
        </is>
      </c>
      <c r="C40" t="inlineStr">
        <is>
          <t>REF. A PIX TRANSF SINDICO06/01</t>
        </is>
      </c>
      <c r="D40" s="7" t="n">
        <v>4611.6</v>
      </c>
      <c r="E40" t="inlineStr">
        <is>
          <t>504</t>
        </is>
      </c>
      <c r="F40" t="inlineStr">
        <is>
          <t>CLIENTES DIVERSOS</t>
        </is>
      </c>
      <c r="G40" s="2" t="inlineStr">
        <is>
          <t>504</t>
        </is>
      </c>
      <c r="H40">
        <f>IFERROR(VLOOKUP(G40&amp;"",PLANO!A:B,2,FALSE),"CONTA NAO EXISTE NO PLANO")</f>
        <v/>
      </c>
      <c r="I40" t="inlineStr">
        <is>
          <t>504</t>
        </is>
      </c>
      <c r="J40" t="inlineStr">
        <is>
          <t>SEM COSMOS</t>
        </is>
      </c>
      <c r="K40" t="inlineStr"/>
      <c r="L40" t="inlineStr"/>
      <c r="M40" t="inlineStr">
        <is>
          <t>PIX TRANSF SINDICO06/01</t>
        </is>
      </c>
    </row>
    <row r="41">
      <c r="A41" t="n">
        <v>40</v>
      </c>
      <c r="B41" t="inlineStr">
        <is>
          <t>06/01/2026</t>
        </is>
      </c>
      <c r="C41" t="inlineStr">
        <is>
          <t>REF. A PIX ENVIADO BRUNA CARLA</t>
        </is>
      </c>
      <c r="D41" s="7" t="n">
        <v>-1098</v>
      </c>
      <c r="E41" t="inlineStr">
        <is>
          <t>187</t>
        </is>
      </c>
      <c r="F41" t="inlineStr">
        <is>
          <t>SALÁRIOS E ORDENADOS A PAGAR</t>
        </is>
      </c>
      <c r="G41" s="2" t="inlineStr">
        <is>
          <t>187</t>
        </is>
      </c>
      <c r="H41">
        <f>IFERROR(VLOOKUP(G41&amp;"",PLANO!A:B,2,FALSE),"CONTA NAO EXISTE NO PLANO")</f>
        <v/>
      </c>
      <c r="I41" t="inlineStr">
        <is>
          <t>187</t>
        </is>
      </c>
      <c r="J41" t="inlineStr">
        <is>
          <t>SEM COSMOS</t>
        </is>
      </c>
      <c r="K41" t="inlineStr"/>
      <c r="L41" t="inlineStr"/>
      <c r="M41" t="inlineStr">
        <is>
          <t>PIX ENVIADO BRUNA CARLA</t>
        </is>
      </c>
    </row>
    <row r="42">
      <c r="A42" t="n">
        <v>41</v>
      </c>
      <c r="B42" t="inlineStr">
        <is>
          <t>06/01/2026</t>
        </is>
      </c>
      <c r="C42" t="inlineStr">
        <is>
          <t>REF. A PIX ENVIADO ELIANE VAZ P</t>
        </is>
      </c>
      <c r="D42" s="7" t="n">
        <v>-1669</v>
      </c>
      <c r="E42" t="inlineStr">
        <is>
          <t>187</t>
        </is>
      </c>
      <c r="F42" t="inlineStr">
        <is>
          <t>SALÁRIOS E ORDENADOS A PAGAR</t>
        </is>
      </c>
      <c r="G42" s="2" t="inlineStr">
        <is>
          <t>187</t>
        </is>
      </c>
      <c r="H42">
        <f>IFERROR(VLOOKUP(G42&amp;"",PLANO!A:B,2,FALSE),"CONTA NAO EXISTE NO PLANO")</f>
        <v/>
      </c>
      <c r="I42" t="inlineStr">
        <is>
          <t>187</t>
        </is>
      </c>
      <c r="J42" t="inlineStr">
        <is>
          <t>SEM COSMOS</t>
        </is>
      </c>
      <c r="K42" t="inlineStr"/>
      <c r="L42" t="inlineStr"/>
      <c r="M42" t="inlineStr">
        <is>
          <t>PIX ENVIADO ELIANE VAZ P</t>
        </is>
      </c>
    </row>
    <row r="43">
      <c r="A43" t="n">
        <v>42</v>
      </c>
      <c r="B43" t="inlineStr">
        <is>
          <t>06/01/2026</t>
        </is>
      </c>
      <c r="C43" t="inlineStr">
        <is>
          <t>REF. A PIX ENVIADO EVA APARECID</t>
        </is>
      </c>
      <c r="D43" s="7" t="n">
        <v>-1983</v>
      </c>
      <c r="E43" t="inlineStr">
        <is>
          <t>187</t>
        </is>
      </c>
      <c r="F43" t="inlineStr">
        <is>
          <t>SALÁRIOS E ORDENADOS A PAGAR</t>
        </is>
      </c>
      <c r="G43" s="2" t="inlineStr">
        <is>
          <t>187</t>
        </is>
      </c>
      <c r="H43">
        <f>IFERROR(VLOOKUP(G43&amp;"",PLANO!A:B,2,FALSE),"CONTA NAO EXISTE NO PLANO")</f>
        <v/>
      </c>
      <c r="I43" t="inlineStr">
        <is>
          <t>187</t>
        </is>
      </c>
      <c r="J43" t="inlineStr">
        <is>
          <t>SEM COSMOS</t>
        </is>
      </c>
      <c r="K43" t="inlineStr"/>
      <c r="L43" t="inlineStr"/>
      <c r="M43" t="inlineStr">
        <is>
          <t>PIX ENVIADO EVA APARECID</t>
        </is>
      </c>
    </row>
    <row r="44">
      <c r="A44" t="n">
        <v>43</v>
      </c>
      <c r="B44" t="inlineStr">
        <is>
          <t>06/01/2026</t>
        </is>
      </c>
      <c r="C44" t="inlineStr">
        <is>
          <t>PIX ENVIADO LUCIANO PERE</t>
        </is>
      </c>
      <c r="D44" s="7" t="n">
        <v>-2044</v>
      </c>
      <c r="E44" t="inlineStr">
        <is>
          <t>187</t>
        </is>
      </c>
      <c r="F44" t="inlineStr">
        <is>
          <t>SALÁRIOS E ORDENADOS A PAGAR</t>
        </is>
      </c>
      <c r="G44" s="2" t="inlineStr">
        <is>
          <t>187</t>
        </is>
      </c>
      <c r="H44">
        <f>IFERROR(VLOOKUP(G44&amp;"",PLANO!A:B,2,FALSE),"CONTA NAO EXISTE NO PLANO")</f>
        <v/>
      </c>
      <c r="I44" t="inlineStr">
        <is>
          <t>187</t>
        </is>
      </c>
      <c r="J44" t="inlineStr">
        <is>
          <t>SEM COSMOS</t>
        </is>
      </c>
      <c r="K44" t="inlineStr"/>
      <c r="L44" t="inlineStr"/>
      <c r="M44" t="inlineStr">
        <is>
          <t>PIX ENVIADO LUCIANO PERE</t>
        </is>
      </c>
    </row>
    <row r="45">
      <c r="A45" t="n">
        <v>44</v>
      </c>
      <c r="B45" t="inlineStr">
        <is>
          <t>06/01/2026</t>
        </is>
      </c>
      <c r="C45" t="inlineStr">
        <is>
          <t>REF. A PIX ENVIADO ROSANE DA SI</t>
        </is>
      </c>
      <c r="D45" s="7" t="n">
        <v>-1350</v>
      </c>
      <c r="E45" t="inlineStr">
        <is>
          <t>187</t>
        </is>
      </c>
      <c r="F45" t="inlineStr">
        <is>
          <t>SALÁRIOS E ORDENADOS A PAGAR</t>
        </is>
      </c>
      <c r="G45" s="2" t="inlineStr">
        <is>
          <t>187</t>
        </is>
      </c>
      <c r="H45">
        <f>IFERROR(VLOOKUP(G45&amp;"",PLANO!A:B,2,FALSE),"CONTA NAO EXISTE NO PLANO")</f>
        <v/>
      </c>
      <c r="I45" t="inlineStr">
        <is>
          <t>187</t>
        </is>
      </c>
      <c r="J45" t="inlineStr">
        <is>
          <t>SEM COSMOS</t>
        </is>
      </c>
      <c r="K45" t="inlineStr"/>
      <c r="L45" t="inlineStr"/>
      <c r="M45" t="inlineStr">
        <is>
          <t>PIX ENVIADO ROSANE DA SI</t>
        </is>
      </c>
    </row>
    <row r="46">
      <c r="A46" t="n">
        <v>45</v>
      </c>
      <c r="B46" t="inlineStr">
        <is>
          <t>06/01/2026</t>
        </is>
      </c>
      <c r="C46" t="inlineStr">
        <is>
          <t>PIX ENVIADO CARLOS ALBER</t>
        </is>
      </c>
      <c r="D46" s="7" t="n">
        <v>-1644</v>
      </c>
      <c r="E46" t="inlineStr">
        <is>
          <t>187</t>
        </is>
      </c>
      <c r="F46" t="inlineStr">
        <is>
          <t>SALÁRIOS E ORDENADOS A PAGAR</t>
        </is>
      </c>
      <c r="G46" s="2" t="inlineStr">
        <is>
          <t>187</t>
        </is>
      </c>
      <c r="H46">
        <f>IFERROR(VLOOKUP(G46&amp;"",PLANO!A:B,2,FALSE),"CONTA NAO EXISTE NO PLANO")</f>
        <v/>
      </c>
      <c r="I46" t="inlineStr">
        <is>
          <t>187</t>
        </is>
      </c>
      <c r="J46" t="inlineStr">
        <is>
          <t>SEM COSMOS</t>
        </is>
      </c>
      <c r="K46" t="inlineStr"/>
      <c r="L46" t="inlineStr"/>
      <c r="M46" t="inlineStr">
        <is>
          <t>PIX ENVIADO CARLOS ALBER</t>
        </is>
      </c>
    </row>
    <row r="47">
      <c r="A47" t="n">
        <v>46</v>
      </c>
      <c r="B47" t="inlineStr">
        <is>
          <t>06/01/2026</t>
        </is>
      </c>
      <c r="C47" t="inlineStr">
        <is>
          <t>REF. A PIX ENVIADO LUZIA ALVES</t>
        </is>
      </c>
      <c r="D47" s="7" t="n">
        <v>-1120</v>
      </c>
      <c r="E47" t="inlineStr">
        <is>
          <t>511</t>
        </is>
      </c>
      <c r="F47" t="inlineStr">
        <is>
          <t>FÉRIAS A PAGAR</t>
        </is>
      </c>
      <c r="G47" s="2" t="inlineStr">
        <is>
          <t>511</t>
        </is>
      </c>
      <c r="H47">
        <f>IFERROR(VLOOKUP(G47&amp;"",PLANO!A:B,2,FALSE),"CONTA NAO EXISTE NO PLANO")</f>
        <v/>
      </c>
      <c r="I47" t="inlineStr">
        <is>
          <t>511</t>
        </is>
      </c>
      <c r="J47" t="inlineStr">
        <is>
          <t>SEM COSMOS</t>
        </is>
      </c>
      <c r="K47" t="inlineStr"/>
      <c r="L47" t="inlineStr"/>
      <c r="M47" t="inlineStr">
        <is>
          <t>PIX ENVIADO LUZIA ALVES</t>
        </is>
      </c>
    </row>
    <row r="48">
      <c r="A48" t="n">
        <v>47</v>
      </c>
      <c r="B48" t="inlineStr">
        <is>
          <t>06/01/2026</t>
        </is>
      </c>
      <c r="C48" t="inlineStr">
        <is>
          <t>REF. A PIX ENVIADO BRUNA SOARES</t>
        </is>
      </c>
      <c r="D48" s="7" t="n">
        <v>-1123</v>
      </c>
      <c r="E48" t="inlineStr">
        <is>
          <t>511</t>
        </is>
      </c>
      <c r="F48" t="inlineStr">
        <is>
          <t>FÉRIAS A PAGAR</t>
        </is>
      </c>
      <c r="G48" s="2" t="inlineStr">
        <is>
          <t>511</t>
        </is>
      </c>
      <c r="H48">
        <f>IFERROR(VLOOKUP(G48&amp;"",PLANO!A:B,2,FALSE),"CONTA NAO EXISTE NO PLANO")</f>
        <v/>
      </c>
      <c r="I48" t="inlineStr">
        <is>
          <t>511</t>
        </is>
      </c>
      <c r="J48" t="inlineStr">
        <is>
          <t>SEM COSMOS</t>
        </is>
      </c>
      <c r="K48" t="inlineStr"/>
      <c r="L48" t="inlineStr"/>
      <c r="M48" t="inlineStr">
        <is>
          <t>PIX ENVIADO BRUNA SOARES</t>
        </is>
      </c>
    </row>
    <row r="49">
      <c r="A49" t="n">
        <v>48</v>
      </c>
      <c r="B49" t="inlineStr">
        <is>
          <t>06/01/2026</t>
        </is>
      </c>
      <c r="C49" t="inlineStr">
        <is>
          <t>BOLETO PAGO EXPRESSO SAO</t>
        </is>
      </c>
      <c r="D49" s="7" t="n">
        <v>-351.64</v>
      </c>
      <c r="E49" t="inlineStr">
        <is>
          <t>312</t>
        </is>
      </c>
      <c r="F49" t="inlineStr">
        <is>
          <t>FRETES E CARRETOS</t>
        </is>
      </c>
      <c r="G49" s="2" t="inlineStr">
        <is>
          <t>312</t>
        </is>
      </c>
      <c r="H49">
        <f>IFERROR(VLOOKUP(G49&amp;"",PLANO!A:B,2,FALSE),"CONTA NAO EXISTE NO PLANO")</f>
        <v/>
      </c>
      <c r="I49" t="inlineStr">
        <is>
          <t>312</t>
        </is>
      </c>
      <c r="J49" t="inlineStr">
        <is>
          <t>SEM COSMOS</t>
        </is>
      </c>
      <c r="K49" t="inlineStr"/>
      <c r="L49" t="inlineStr"/>
      <c r="M49" t="inlineStr">
        <is>
          <t>BOLETO PAGO EXPRESSO SAO</t>
        </is>
      </c>
    </row>
    <row r="50">
      <c r="A50" t="n">
        <v>49</v>
      </c>
      <c r="B50" t="inlineStr">
        <is>
          <t>06/01/2026</t>
        </is>
      </c>
      <c r="C50" t="inlineStr">
        <is>
          <t>TEX COURIER S.APAG REF A FRETE SOBRE VENDAS</t>
        </is>
      </c>
      <c r="D50" s="7" t="n">
        <v>-671.6799999999999</v>
      </c>
      <c r="E50" t="inlineStr">
        <is>
          <t>312</t>
        </is>
      </c>
      <c r="F50" t="inlineStr">
        <is>
          <t>FRETES E CARRETOS</t>
        </is>
      </c>
      <c r="G50" s="2" t="inlineStr">
        <is>
          <t>312</t>
        </is>
      </c>
      <c r="H50">
        <f>IFERROR(VLOOKUP(G50&amp;"",PLANO!A:B,2,FALSE),"CONTA NAO EXISTE NO PLANO")</f>
        <v/>
      </c>
      <c r="I50" t="inlineStr">
        <is>
          <t>312</t>
        </is>
      </c>
      <c r="J50" t="inlineStr">
        <is>
          <t>OK</t>
        </is>
      </c>
      <c r="K50" t="inlineStr">
        <is>
          <t>categoria Cosmos 97</t>
        </is>
      </c>
      <c r="L50" t="inlineStr">
        <is>
          <t>TEX COURIER S.A | 115/97 | PAG REF A FRETE SOBRE VENDAS</t>
        </is>
      </c>
      <c r="M50" t="inlineStr">
        <is>
          <t>TEX COURIER S.A - PAG REF A FRETE SOBRE VENDAS</t>
        </is>
      </c>
    </row>
    <row r="51">
      <c r="A51" s="4" t="n">
        <v>50</v>
      </c>
      <c r="B51" s="4" t="inlineStr">
        <is>
          <t>07/01/2026</t>
        </is>
      </c>
      <c r="C51" s="4" t="inlineStr">
        <is>
          <t>REF. A SISPAG COSMETICON COMER (OUTRAS ENTRADAS)</t>
        </is>
      </c>
      <c r="D51" s="5" t="n">
        <v>30000</v>
      </c>
      <c r="E51" s="4" t="inlineStr">
        <is>
          <t>663</t>
        </is>
      </c>
      <c r="F51" s="4" t="inlineStr">
        <is>
          <t>EMPRESTIMO COSMETICON COMERCIO (31.494.732/0001-09)</t>
        </is>
      </c>
      <c r="G51" s="6" t="inlineStr">
        <is>
          <t>663</t>
        </is>
      </c>
      <c r="H51" s="4">
        <f>IFERROR(VLOOKUP(G51&amp;"",PLANO!A:B,2,FALSE),"CONTA NAO EXISTE NO PLANO")</f>
        <v/>
      </c>
      <c r="I51" s="4" t="inlineStr">
        <is>
          <t>663</t>
        </is>
      </c>
      <c r="J51" s="4" t="inlineStr">
        <is>
          <t>AJUSTADO</t>
        </is>
      </c>
      <c r="K51" s="4" t="inlineStr">
        <is>
          <t>COSMETICON - conta-corrente unica de mutuo (663)</t>
        </is>
      </c>
      <c r="L51" s="4" t="inlineStr">
        <is>
          <t xml:space="preserve">OUTRAS ENTRADAS | 122/71 | </t>
        </is>
      </c>
      <c r="M51" s="4" t="inlineStr">
        <is>
          <t>SISPAG COSMETICON COMER (OUTRAS ENTRADAS)</t>
        </is>
      </c>
    </row>
    <row r="52">
      <c r="A52" t="n">
        <v>51</v>
      </c>
      <c r="B52" t="inlineStr">
        <is>
          <t>07/01/2026</t>
        </is>
      </c>
      <c r="C52" t="inlineStr">
        <is>
          <t>REF. A MOV TIT COB DISP 07/01S</t>
        </is>
      </c>
      <c r="D52" s="7" t="n">
        <v>413.4</v>
      </c>
      <c r="E52" t="inlineStr">
        <is>
          <t>504</t>
        </is>
      </c>
      <c r="F52" t="inlineStr">
        <is>
          <t>CLIENTES DIVERSOS</t>
        </is>
      </c>
      <c r="G52" s="2" t="inlineStr">
        <is>
          <t>504</t>
        </is>
      </c>
      <c r="H52">
        <f>IFERROR(VLOOKUP(G52&amp;"",PLANO!A:B,2,FALSE),"CONTA NAO EXISTE NO PLANO")</f>
        <v/>
      </c>
      <c r="I52" t="inlineStr">
        <is>
          <t>504</t>
        </is>
      </c>
      <c r="J52" t="inlineStr">
        <is>
          <t>SEM COSMOS</t>
        </is>
      </c>
      <c r="K52" t="inlineStr"/>
      <c r="L52" t="inlineStr"/>
      <c r="M52" t="inlineStr">
        <is>
          <t>MOV TIT COB DISP 07/01S</t>
        </is>
      </c>
    </row>
    <row r="53">
      <c r="A53" t="n">
        <v>52</v>
      </c>
      <c r="B53" t="inlineStr">
        <is>
          <t>07/01/2026</t>
        </is>
      </c>
      <c r="C53" t="inlineStr">
        <is>
          <t>REF. A PIX ENVIADO GRACIELE APA</t>
        </is>
      </c>
      <c r="D53" s="7" t="n">
        <v>-1144</v>
      </c>
      <c r="E53" t="inlineStr">
        <is>
          <t>187</t>
        </is>
      </c>
      <c r="F53" t="inlineStr">
        <is>
          <t>SALÁRIOS E ORDENADOS A PAGAR</t>
        </is>
      </c>
      <c r="G53" s="2" t="inlineStr">
        <is>
          <t>187</t>
        </is>
      </c>
      <c r="H53">
        <f>IFERROR(VLOOKUP(G53&amp;"",PLANO!A:B,2,FALSE),"CONTA NAO EXISTE NO PLANO")</f>
        <v/>
      </c>
      <c r="I53" t="inlineStr">
        <is>
          <t>187</t>
        </is>
      </c>
      <c r="J53" t="inlineStr">
        <is>
          <t>SEM COSMOS</t>
        </is>
      </c>
      <c r="K53" t="inlineStr"/>
      <c r="L53" t="inlineStr"/>
      <c r="M53" t="inlineStr">
        <is>
          <t>PIX ENVIADO GRACIELE APA</t>
        </is>
      </c>
    </row>
    <row r="54">
      <c r="A54" t="n">
        <v>53</v>
      </c>
      <c r="B54" t="inlineStr">
        <is>
          <t>07/01/2026</t>
        </is>
      </c>
      <c r="C54" t="inlineStr">
        <is>
          <t>PIX ENVIADO ALINE DA SIL</t>
        </is>
      </c>
      <c r="D54" s="7" t="n">
        <v>-2750</v>
      </c>
      <c r="E54" t="inlineStr">
        <is>
          <t>506</t>
        </is>
      </c>
      <c r="F54" t="inlineStr">
        <is>
          <t>FORNECEDORES DIVERSOS</t>
        </is>
      </c>
      <c r="G54" s="2" t="inlineStr">
        <is>
          <t>506</t>
        </is>
      </c>
      <c r="H54">
        <f>IFERROR(VLOOKUP(G54&amp;"",PLANO!A:B,2,FALSE),"CONTA NAO EXISTE NO PLANO")</f>
        <v/>
      </c>
      <c r="I54" t="inlineStr">
        <is>
          <t>506</t>
        </is>
      </c>
      <c r="J54" t="inlineStr">
        <is>
          <t>SEM COSMOS</t>
        </is>
      </c>
      <c r="K54" t="inlineStr"/>
      <c r="L54" t="inlineStr"/>
      <c r="M54" t="inlineStr">
        <is>
          <t>PIX ENVIADO ALINE DA SIL</t>
        </is>
      </c>
    </row>
    <row r="55">
      <c r="A55" t="n">
        <v>54</v>
      </c>
      <c r="B55" t="inlineStr">
        <is>
          <t>07/01/2026</t>
        </is>
      </c>
      <c r="C55" t="inlineStr">
        <is>
          <t>REF. A PIX ENVIADO LUIZ FELIPE</t>
        </is>
      </c>
      <c r="D55" s="7" t="n">
        <v>-1609</v>
      </c>
      <c r="E55" t="inlineStr">
        <is>
          <t>25</t>
        </is>
      </c>
      <c r="F55" t="inlineStr">
        <is>
          <t>ADIANTAMENTO DE SALÁRIO</t>
        </is>
      </c>
      <c r="G55" s="2" t="inlineStr">
        <is>
          <t>25</t>
        </is>
      </c>
      <c r="H55">
        <f>IFERROR(VLOOKUP(G55&amp;"",PLANO!A:B,2,FALSE),"CONTA NAO EXISTE NO PLANO")</f>
        <v/>
      </c>
      <c r="I55" t="inlineStr">
        <is>
          <t>25</t>
        </is>
      </c>
      <c r="J55" t="inlineStr">
        <is>
          <t>SEM COSMOS</t>
        </is>
      </c>
      <c r="K55" t="inlineStr"/>
      <c r="L55" t="inlineStr"/>
      <c r="M55" t="inlineStr">
        <is>
          <t>PIX ENVIADO LUIZ FELIPE</t>
        </is>
      </c>
    </row>
    <row r="56">
      <c r="A56" t="n">
        <v>55</v>
      </c>
      <c r="B56" t="inlineStr">
        <is>
          <t>07/01/2026</t>
        </is>
      </c>
      <c r="C56" t="inlineStr">
        <is>
          <t>FOCUS TECNOLOGIA COMERCIAL QUIMICA LTDAPGTO REF. A COMPRA DE MATERIA PRIMA, COLOREX 5KG,CM50 100KG</t>
        </is>
      </c>
      <c r="D56" s="7" t="n">
        <v>-2774.58</v>
      </c>
      <c r="E56" t="inlineStr">
        <is>
          <t>506</t>
        </is>
      </c>
      <c r="F56" t="inlineStr">
        <is>
          <t>FORNECEDORES DIVERSOS</t>
        </is>
      </c>
      <c r="G56" s="2" t="inlineStr">
        <is>
          <t>506</t>
        </is>
      </c>
      <c r="H56">
        <f>IFERROR(VLOOKUP(G56&amp;"",PLANO!A:B,2,FALSE),"CONTA NAO EXISTE NO PLANO")</f>
        <v/>
      </c>
      <c r="I56" t="inlineStr">
        <is>
          <t>506</t>
        </is>
      </c>
      <c r="J56" t="inlineStr">
        <is>
          <t>OK</t>
        </is>
      </c>
      <c r="K56" t="inlineStr">
        <is>
          <t>fornecedor com NF</t>
        </is>
      </c>
      <c r="L56" t="inlineStr">
        <is>
          <t>FOCUS TECNOLOGIA COMERCIAL QUIMICA LTDA | 115/6 | PGTO REF. A COMPRA DE MATERIA PRIMA, COLOREX 5KG, CM50 100KG</t>
        </is>
      </c>
      <c r="M56" t="inlineStr">
        <is>
          <t>FOCUS TECNOLOGIA COMERCIAL QUIMICA LTDA - PGTO REF. A COMPRA DE MATERIA PRIMA, COLOREX 5KG, CM50 100KG</t>
        </is>
      </c>
    </row>
    <row r="57">
      <c r="A57" t="n">
        <v>56</v>
      </c>
      <c r="B57" t="inlineStr">
        <is>
          <t>07/01/2026</t>
        </is>
      </c>
      <c r="C57" t="inlineStr">
        <is>
          <t>PIX ENVIADO MARIANE POSS</t>
        </is>
      </c>
      <c r="D57" s="7" t="n">
        <v>-1463</v>
      </c>
      <c r="E57" t="inlineStr">
        <is>
          <t>25</t>
        </is>
      </c>
      <c r="F57" t="inlineStr">
        <is>
          <t>ADIANTAMENTO DE SALÁRIO</t>
        </is>
      </c>
      <c r="G57" s="2" t="inlineStr">
        <is>
          <t>25</t>
        </is>
      </c>
      <c r="H57">
        <f>IFERROR(VLOOKUP(G57&amp;"",PLANO!A:B,2,FALSE),"CONTA NAO EXISTE NO PLANO")</f>
        <v/>
      </c>
      <c r="I57" t="inlineStr">
        <is>
          <t>25</t>
        </is>
      </c>
      <c r="J57" t="inlineStr">
        <is>
          <t>SEM COSMOS</t>
        </is>
      </c>
      <c r="K57" t="inlineStr"/>
      <c r="L57" t="inlineStr"/>
      <c r="M57" t="inlineStr">
        <is>
          <t>PIX ENVIADO MARIANE POSS</t>
        </is>
      </c>
    </row>
    <row r="58">
      <c r="A58" t="n">
        <v>57</v>
      </c>
      <c r="B58" t="inlineStr">
        <is>
          <t>07/01/2026</t>
        </is>
      </c>
      <c r="C58" t="inlineStr">
        <is>
          <t>REF. A PIX ENVIADO MARIA FERNAN</t>
        </is>
      </c>
      <c r="D58" s="7" t="n">
        <v>-1028</v>
      </c>
      <c r="E58" t="inlineStr">
        <is>
          <t>25</t>
        </is>
      </c>
      <c r="F58" t="inlineStr">
        <is>
          <t>ADIANTAMENTO DE SALÁRIO</t>
        </is>
      </c>
      <c r="G58" s="2" t="inlineStr">
        <is>
          <t>25</t>
        </is>
      </c>
      <c r="H58">
        <f>IFERROR(VLOOKUP(G58&amp;"",PLANO!A:B,2,FALSE),"CONTA NAO EXISTE NO PLANO")</f>
        <v/>
      </c>
      <c r="I58" t="inlineStr">
        <is>
          <t>25</t>
        </is>
      </c>
      <c r="J58" t="inlineStr">
        <is>
          <t>SEM COSMOS</t>
        </is>
      </c>
      <c r="K58" t="inlineStr"/>
      <c r="L58" t="inlineStr"/>
      <c r="M58" t="inlineStr">
        <is>
          <t>PIX ENVIADO MARIA FERNAN</t>
        </is>
      </c>
    </row>
    <row r="59">
      <c r="A59" t="n">
        <v>58</v>
      </c>
      <c r="B59" t="inlineStr">
        <is>
          <t>07/01/2026</t>
        </is>
      </c>
      <c r="C59" t="inlineStr">
        <is>
          <t>REF. A PIX ENVIADO ADRIA FAGUND</t>
        </is>
      </c>
      <c r="D59" s="7" t="n">
        <v>-1405</v>
      </c>
      <c r="E59" t="inlineStr">
        <is>
          <t>25</t>
        </is>
      </c>
      <c r="F59" t="inlineStr">
        <is>
          <t>ADIANTAMENTO DE SALÁRIO</t>
        </is>
      </c>
      <c r="G59" s="2" t="inlineStr">
        <is>
          <t>25</t>
        </is>
      </c>
      <c r="H59">
        <f>IFERROR(VLOOKUP(G59&amp;"",PLANO!A:B,2,FALSE),"CONTA NAO EXISTE NO PLANO")</f>
        <v/>
      </c>
      <c r="I59" t="inlineStr">
        <is>
          <t>25</t>
        </is>
      </c>
      <c r="J59" t="inlineStr">
        <is>
          <t>SEM COSMOS</t>
        </is>
      </c>
      <c r="K59" t="inlineStr"/>
      <c r="L59" t="inlineStr"/>
      <c r="M59" t="inlineStr">
        <is>
          <t>PIX ENVIADO ADRIA FAGUND</t>
        </is>
      </c>
    </row>
    <row r="60">
      <c r="A60" t="n">
        <v>59</v>
      </c>
      <c r="B60" t="inlineStr">
        <is>
          <t>07/01/2026</t>
        </is>
      </c>
      <c r="C60" t="inlineStr">
        <is>
          <t>REF. A PIX ENVIADO MARCOS PAULO</t>
        </is>
      </c>
      <c r="D60" s="7" t="n">
        <v>-1487</v>
      </c>
      <c r="E60" t="inlineStr">
        <is>
          <t>511</t>
        </is>
      </c>
      <c r="F60" t="inlineStr">
        <is>
          <t>FÉRIAS A PAGAR</t>
        </is>
      </c>
      <c r="G60" s="2" t="inlineStr">
        <is>
          <t>511</t>
        </is>
      </c>
      <c r="H60">
        <f>IFERROR(VLOOKUP(G60&amp;"",PLANO!A:B,2,FALSE),"CONTA NAO EXISTE NO PLANO")</f>
        <v/>
      </c>
      <c r="I60" t="inlineStr">
        <is>
          <t>511</t>
        </is>
      </c>
      <c r="J60" t="inlineStr">
        <is>
          <t>SEM COSMOS</t>
        </is>
      </c>
      <c r="K60" t="inlineStr"/>
      <c r="L60" t="inlineStr"/>
      <c r="M60" t="inlineStr">
        <is>
          <t>PIX ENVIADO MARCOS PAULO</t>
        </is>
      </c>
    </row>
    <row r="61">
      <c r="A61" t="n">
        <v>60</v>
      </c>
      <c r="B61" t="inlineStr">
        <is>
          <t>07/01/2026</t>
        </is>
      </c>
      <c r="C61" t="inlineStr">
        <is>
          <t>REF. A PIX ENVIADO THIAGO TAIT</t>
        </is>
      </c>
      <c r="D61" s="7" t="n">
        <v>-1656</v>
      </c>
      <c r="E61" t="inlineStr">
        <is>
          <t>25</t>
        </is>
      </c>
      <c r="F61" t="inlineStr">
        <is>
          <t>ADIANTAMENTO DE SALÁRIO</t>
        </is>
      </c>
      <c r="G61" s="2" t="inlineStr">
        <is>
          <t>25</t>
        </is>
      </c>
      <c r="H61">
        <f>IFERROR(VLOOKUP(G61&amp;"",PLANO!A:B,2,FALSE),"CONTA NAO EXISTE NO PLANO")</f>
        <v/>
      </c>
      <c r="I61" t="inlineStr">
        <is>
          <t>25</t>
        </is>
      </c>
      <c r="J61" t="inlineStr">
        <is>
          <t>SEM COSMOS</t>
        </is>
      </c>
      <c r="K61" t="inlineStr"/>
      <c r="L61" t="inlineStr"/>
      <c r="M61" t="inlineStr">
        <is>
          <t>PIX ENVIADO THIAGO TAIT</t>
        </is>
      </c>
    </row>
    <row r="62">
      <c r="A62" t="n">
        <v>61</v>
      </c>
      <c r="B62" t="inlineStr">
        <is>
          <t>07/01/2026</t>
        </is>
      </c>
      <c r="C62" t="inlineStr">
        <is>
          <t>REF. A PIX ENVIADO BEATRIZ CAMI</t>
        </is>
      </c>
      <c r="D62" s="7" t="n">
        <v>-1428</v>
      </c>
      <c r="E62" t="inlineStr">
        <is>
          <t>25</t>
        </is>
      </c>
      <c r="F62" t="inlineStr">
        <is>
          <t>ADIANTAMENTO DE SALÁRIO</t>
        </is>
      </c>
      <c r="G62" s="2" t="inlineStr">
        <is>
          <t>25</t>
        </is>
      </c>
      <c r="H62">
        <f>IFERROR(VLOOKUP(G62&amp;"",PLANO!A:B,2,FALSE),"CONTA NAO EXISTE NO PLANO")</f>
        <v/>
      </c>
      <c r="I62" t="inlineStr">
        <is>
          <t>25</t>
        </is>
      </c>
      <c r="J62" t="inlineStr">
        <is>
          <t>SEM COSMOS</t>
        </is>
      </c>
      <c r="K62" t="inlineStr"/>
      <c r="L62" t="inlineStr"/>
      <c r="M62" t="inlineStr">
        <is>
          <t>PIX ENVIADO BEATRIZ CAMI</t>
        </is>
      </c>
    </row>
    <row r="63">
      <c r="A63" s="8" t="n">
        <v>62</v>
      </c>
      <c r="B63" s="8" t="inlineStr">
        <is>
          <t>07/01/2026</t>
        </is>
      </c>
      <c r="C63" s="8" t="inlineStr">
        <is>
          <t>ALLOXY ESPECIALIDADES QUIMICAS LTDAPGTO REF. A COMPRA DE MATERIA PRIMA, PEROXIDO DEHIDROGENIO</t>
        </is>
      </c>
      <c r="D63" s="9" t="n">
        <v>-945</v>
      </c>
      <c r="E63" s="8" t="inlineStr">
        <is>
          <t>56</t>
        </is>
      </c>
      <c r="F63" s="8" t="inlineStr">
        <is>
          <t>MATÉRIA-PRIMA</t>
        </is>
      </c>
      <c r="G63" s="10" t="inlineStr">
        <is>
          <t>506</t>
        </is>
      </c>
      <c r="H63" s="8">
        <f>IFERROR(VLOOKUP(G63&amp;"",PLANO!A:B,2,FALSE),"CONTA NAO EXISTE NO PLANO")</f>
        <v/>
      </c>
      <c r="I63" s="8" t="inlineStr">
        <is>
          <t>506</t>
        </is>
      </c>
      <c r="J63" s="8" t="inlineStr">
        <is>
          <t>CORRIGIR</t>
        </is>
      </c>
      <c r="K63" s="8" t="inlineStr">
        <is>
          <t>fornecedor com NF (Cosmos: compra MP/embalagem) - pagamento deve baixar fornecedores 506</t>
        </is>
      </c>
      <c r="L63" s="8" t="inlineStr">
        <is>
          <t>ALLOXY ESPECIALIDADES QUIMICAS LTDA | 115/6 | PGTO REF. A COMPRA DE MATERIA PRIMA, PEROXIDO DE HIDROGENIO</t>
        </is>
      </c>
      <c r="M63" s="8" t="inlineStr">
        <is>
          <t>ALLOXY ESPECIALIDADES QUIMICAS LTDA - PGTO REF. A COMPRA DE MATERIA PRIMA, PEROXIDO DE HIDROGENIO</t>
        </is>
      </c>
    </row>
    <row r="64">
      <c r="A64" t="n">
        <v>63</v>
      </c>
      <c r="B64" t="inlineStr">
        <is>
          <t>07/01/2026</t>
        </is>
      </c>
      <c r="C64" t="inlineStr">
        <is>
          <t>RALTER PLASTICOS INDUSTRIA E COMERCIO LTDAPGTO REF. A COMPRA DE TAMPA VERDE</t>
        </is>
      </c>
      <c r="D64" s="7" t="n">
        <v>-928.5</v>
      </c>
      <c r="E64" t="inlineStr">
        <is>
          <t>506</t>
        </is>
      </c>
      <c r="F64" t="inlineStr">
        <is>
          <t>FORNECEDORES DIVERSOS</t>
        </is>
      </c>
      <c r="G64" s="2" t="inlineStr">
        <is>
          <t>506</t>
        </is>
      </c>
      <c r="H64">
        <f>IFERROR(VLOOKUP(G64&amp;"",PLANO!A:B,2,FALSE),"CONTA NAO EXISTE NO PLANO")</f>
        <v/>
      </c>
      <c r="I64" t="inlineStr">
        <is>
          <t>506</t>
        </is>
      </c>
      <c r="J64" t="inlineStr">
        <is>
          <t>OK</t>
        </is>
      </c>
      <c r="K64" t="inlineStr">
        <is>
          <t>fornecedor com NF</t>
        </is>
      </c>
      <c r="L64" t="inlineStr">
        <is>
          <t>RALTER PLASTICOS INDUSTRIA E COMERCIO LTDA | 115/9 | PGTO REF. A COMPRA DE TAMPA VERDE</t>
        </is>
      </c>
      <c r="M64" t="inlineStr">
        <is>
          <t>RALTER PLASTICOS INDUSTRIA E COMERCIO LTDA - PGTO REF. A COMPRA DE TAMPA VERDE</t>
        </is>
      </c>
    </row>
    <row r="65">
      <c r="A65" t="n">
        <v>64</v>
      </c>
      <c r="B65" t="inlineStr">
        <is>
          <t>07/01/2026</t>
        </is>
      </c>
      <c r="C65" t="inlineStr">
        <is>
          <t>RAPIDO ABC TRANSPORTES LTDAPGTO REF. A FRETE SOBRE COMPRAS</t>
        </is>
      </c>
      <c r="D65" s="7" t="n">
        <v>-150</v>
      </c>
      <c r="E65" t="inlineStr">
        <is>
          <t>312</t>
        </is>
      </c>
      <c r="F65" t="inlineStr">
        <is>
          <t>FRETES E CARRETOS</t>
        </is>
      </c>
      <c r="G65" s="2" t="inlineStr">
        <is>
          <t>312</t>
        </is>
      </c>
      <c r="H65">
        <f>IFERROR(VLOOKUP(G65&amp;"",PLANO!A:B,2,FALSE),"CONTA NAO EXISTE NO PLANO")</f>
        <v/>
      </c>
      <c r="I65" t="inlineStr">
        <is>
          <t>312</t>
        </is>
      </c>
      <c r="J65" t="inlineStr">
        <is>
          <t>OK</t>
        </is>
      </c>
      <c r="K65" t="inlineStr">
        <is>
          <t>categoria Cosmos 4</t>
        </is>
      </c>
      <c r="L65" t="inlineStr">
        <is>
          <t>RAPIDO ABC TRANSPORTES LTDA | 115/4 | PGTO REF. A FRETE SOBRE COMPRAS</t>
        </is>
      </c>
      <c r="M65" t="inlineStr">
        <is>
          <t>RAPIDO ABC TRANSPORTES LTDA - PGTO REF. A FRETE SOBRE COMPRAS</t>
        </is>
      </c>
    </row>
    <row r="66">
      <c r="A66" t="n">
        <v>65</v>
      </c>
      <c r="B66" t="inlineStr">
        <is>
          <t>07/01/2026</t>
        </is>
      </c>
      <c r="C66" t="inlineStr">
        <is>
          <t>TNT MERCURIO CARGAS E ENCOMENDAS EXPRESSASPAG REF A FRETE SOBRE VENDAS NF 7471, 7455, 7461,7163 E 7481</t>
        </is>
      </c>
      <c r="D66" s="7" t="n">
        <v>-1080.22</v>
      </c>
      <c r="E66" t="inlineStr">
        <is>
          <t>312</t>
        </is>
      </c>
      <c r="F66" t="inlineStr">
        <is>
          <t>FRETES E CARRETOS</t>
        </is>
      </c>
      <c r="G66" s="2" t="inlineStr">
        <is>
          <t>312</t>
        </is>
      </c>
      <c r="H66">
        <f>IFERROR(VLOOKUP(G66&amp;"",PLANO!A:B,2,FALSE),"CONTA NAO EXISTE NO PLANO")</f>
        <v/>
      </c>
      <c r="I66" t="inlineStr">
        <is>
          <t>312</t>
        </is>
      </c>
      <c r="J66" t="inlineStr">
        <is>
          <t>OK</t>
        </is>
      </c>
      <c r="K66" t="inlineStr">
        <is>
          <t>categoria Cosmos 97</t>
        </is>
      </c>
      <c r="L66" t="inlineStr">
        <is>
          <t>TNT MERCURIO CARGAS E ENCOMENDAS EXPRESSAS S/A | 115/97 | PAG REF A FRETE SOBRE VENDAS NF 7471, 7455, 7461, 7163 E 7481</t>
        </is>
      </c>
      <c r="M66" t="inlineStr">
        <is>
          <t>TNT MERCURIO CARGAS E ENCOMENDAS EXPRESSAS S/A - PAG REF A FRETE SOBRE VENDAS NF 7471, 7455, 7461, 7163 E 7481</t>
        </is>
      </c>
    </row>
    <row r="67">
      <c r="A67" t="n">
        <v>66</v>
      </c>
      <c r="B67" t="inlineStr">
        <is>
          <t>08/01/2026</t>
        </is>
      </c>
      <c r="C67" t="inlineStr">
        <is>
          <t>REF. A MOV TIT COB DISP 08/01S</t>
        </is>
      </c>
      <c r="D67" s="7" t="n">
        <v>560</v>
      </c>
      <c r="E67" t="inlineStr">
        <is>
          <t>504</t>
        </is>
      </c>
      <c r="F67" t="inlineStr">
        <is>
          <t>CLIENTES DIVERSOS</t>
        </is>
      </c>
      <c r="G67" s="2" t="inlineStr">
        <is>
          <t>504</t>
        </is>
      </c>
      <c r="H67">
        <f>IFERROR(VLOOKUP(G67&amp;"",PLANO!A:B,2,FALSE),"CONTA NAO EXISTE NO PLANO")</f>
        <v/>
      </c>
      <c r="I67" t="inlineStr">
        <is>
          <t>504</t>
        </is>
      </c>
      <c r="J67" t="inlineStr">
        <is>
          <t>SEM COSMOS</t>
        </is>
      </c>
      <c r="K67" t="inlineStr"/>
      <c r="L67" t="inlineStr"/>
      <c r="M67" t="inlineStr">
        <is>
          <t>MOV TIT COB DISP 08/01S</t>
        </is>
      </c>
    </row>
    <row r="68">
      <c r="A68" t="n">
        <v>67</v>
      </c>
      <c r="B68" t="inlineStr">
        <is>
          <t>08/01/2026</t>
        </is>
      </c>
      <c r="C68" t="inlineStr">
        <is>
          <t>REF. A TED 363.0001.RNX F M D R</t>
        </is>
      </c>
      <c r="D68" s="7" t="n">
        <v>13998.58</v>
      </c>
      <c r="E68" t="inlineStr">
        <is>
          <t>504</t>
        </is>
      </c>
      <c r="F68" t="inlineStr">
        <is>
          <t>CLIENTES DIVERSOS</t>
        </is>
      </c>
      <c r="G68" s="2" t="inlineStr">
        <is>
          <t>504</t>
        </is>
      </c>
      <c r="H68">
        <f>IFERROR(VLOOKUP(G68&amp;"",PLANO!A:B,2,FALSE),"CONTA NAO EXISTE NO PLANO")</f>
        <v/>
      </c>
      <c r="I68" t="inlineStr">
        <is>
          <t>504</t>
        </is>
      </c>
      <c r="J68" t="inlineStr">
        <is>
          <t>SEM COSMOS</t>
        </is>
      </c>
      <c r="K68" t="inlineStr"/>
      <c r="L68" t="inlineStr"/>
      <c r="M68" t="inlineStr">
        <is>
          <t>TED 363.0001.RNX F M D R</t>
        </is>
      </c>
    </row>
    <row r="69">
      <c r="A69" t="n">
        <v>68</v>
      </c>
      <c r="B69" t="inlineStr">
        <is>
          <t>08/01/2026</t>
        </is>
      </c>
      <c r="C69" t="inlineStr">
        <is>
          <t>REF. A SISPAG PIX QR-CODE</t>
        </is>
      </c>
      <c r="D69" s="7" t="n">
        <v>-182.73</v>
      </c>
      <c r="E69" t="inlineStr">
        <is>
          <t>555</t>
        </is>
      </c>
      <c r="F69" t="inlineStr">
        <is>
          <t>INTERNET</t>
        </is>
      </c>
      <c r="G69" s="2" t="inlineStr">
        <is>
          <t>555</t>
        </is>
      </c>
      <c r="H69">
        <f>IFERROR(VLOOKUP(G69&amp;"",PLANO!A:B,2,FALSE),"CONTA NAO EXISTE NO PLANO")</f>
        <v/>
      </c>
      <c r="I69" t="inlineStr">
        <is>
          <t>555</t>
        </is>
      </c>
      <c r="J69" t="inlineStr">
        <is>
          <t>SEM COSMOS</t>
        </is>
      </c>
      <c r="K69" t="inlineStr"/>
      <c r="L69" t="inlineStr"/>
      <c r="M69" t="inlineStr">
        <is>
          <t>SISPAG PIX QR-CODE</t>
        </is>
      </c>
    </row>
    <row r="70">
      <c r="A70" t="n">
        <v>69</v>
      </c>
      <c r="B70" t="inlineStr">
        <is>
          <t>08/01/2026</t>
        </is>
      </c>
      <c r="C70" t="inlineStr">
        <is>
          <t>M CASSAB COMERCIO E INDUSTRIA LTDAPGTO REF. A COMPRA DE MATERIA PRIMA, TRANSCUTOL 25KG</t>
        </is>
      </c>
      <c r="D70" s="7" t="n">
        <v>-2689.85</v>
      </c>
      <c r="E70" t="inlineStr">
        <is>
          <t>506</t>
        </is>
      </c>
      <c r="F70" t="inlineStr">
        <is>
          <t>FORNECEDORES DIVERSOS</t>
        </is>
      </c>
      <c r="G70" s="2" t="inlineStr">
        <is>
          <t>506</t>
        </is>
      </c>
      <c r="H70">
        <f>IFERROR(VLOOKUP(G70&amp;"",PLANO!A:B,2,FALSE),"CONTA NAO EXISTE NO PLANO")</f>
        <v/>
      </c>
      <c r="I70" t="inlineStr">
        <is>
          <t>506</t>
        </is>
      </c>
      <c r="J70" t="inlineStr">
        <is>
          <t>OK</t>
        </is>
      </c>
      <c r="K70" t="inlineStr">
        <is>
          <t>fornecedor com NF</t>
        </is>
      </c>
      <c r="L70" t="inlineStr">
        <is>
          <t>M CASSAB COMERCIO E INDUSTRIA LTDA | 115/6 | PGTO REF. A COMPRA DE MATERIA PRIMA, TRANSCUTOL 25 KG</t>
        </is>
      </c>
      <c r="M70" t="inlineStr">
        <is>
          <t>M CASSAB COMERCIO E INDUSTRIA LTDA - PGTO REF. A COMPRA DE MATERIA PRIMA, TRANSCUTOL 25 KG</t>
        </is>
      </c>
    </row>
    <row r="71">
      <c r="A71" t="n">
        <v>70</v>
      </c>
      <c r="B71" t="inlineStr">
        <is>
          <t>08/01/2026</t>
        </is>
      </c>
      <c r="C71" t="inlineStr">
        <is>
          <t>PIX ENVIADO ALINE DA SIL</t>
        </is>
      </c>
      <c r="D71" s="7" t="n">
        <v>-6000</v>
      </c>
      <c r="E71" t="inlineStr">
        <is>
          <t>506</t>
        </is>
      </c>
      <c r="F71" t="inlineStr">
        <is>
          <t>FORNECEDORES DIVERSOS</t>
        </is>
      </c>
      <c r="G71" s="2" t="inlineStr">
        <is>
          <t>506</t>
        </is>
      </c>
      <c r="H71">
        <f>IFERROR(VLOOKUP(G71&amp;"",PLANO!A:B,2,FALSE),"CONTA NAO EXISTE NO PLANO")</f>
        <v/>
      </c>
      <c r="I71" t="inlineStr">
        <is>
          <t>506</t>
        </is>
      </c>
      <c r="J71" t="inlineStr">
        <is>
          <t>SEM COSMOS</t>
        </is>
      </c>
      <c r="K71" t="inlineStr"/>
      <c r="L71" t="inlineStr"/>
      <c r="M71" t="inlineStr">
        <is>
          <t>PIX ENVIADO ALINE DA SIL</t>
        </is>
      </c>
    </row>
    <row r="72">
      <c r="A72" s="4" t="n">
        <v>71</v>
      </c>
      <c r="B72" s="4" t="inlineStr">
        <is>
          <t>09/01/2026</t>
        </is>
      </c>
      <c r="C72" s="4" t="inlineStr">
        <is>
          <t>REF. A SISPAG COSMETICON COMER</t>
        </is>
      </c>
      <c r="D72" s="5" t="n">
        <v>10000</v>
      </c>
      <c r="E72" s="4" t="inlineStr">
        <is>
          <t>663</t>
        </is>
      </c>
      <c r="F72" s="4" t="inlineStr">
        <is>
          <t>EMPRESTIMO COSMETICON COMERCIO (31.494.732/0001-09)</t>
        </is>
      </c>
      <c r="G72" s="6" t="inlineStr">
        <is>
          <t>663</t>
        </is>
      </c>
      <c r="H72" s="4">
        <f>IFERROR(VLOOKUP(G72&amp;"",PLANO!A:B,2,FALSE),"CONTA NAO EXISTE NO PLANO")</f>
        <v/>
      </c>
      <c r="I72" s="4" t="inlineStr">
        <is>
          <t>663</t>
        </is>
      </c>
      <c r="J72" s="4" t="inlineStr">
        <is>
          <t>AJUSTADO</t>
        </is>
      </c>
      <c r="K72" s="4" t="inlineStr">
        <is>
          <t>COSMETICON - conta-corrente unica de mutuo (663)</t>
        </is>
      </c>
      <c r="L72" s="4" t="inlineStr"/>
      <c r="M72" s="4" t="inlineStr">
        <is>
          <t>SISPAG COSMETICON COMER</t>
        </is>
      </c>
    </row>
    <row r="73">
      <c r="A73" t="n">
        <v>72</v>
      </c>
      <c r="B73" t="inlineStr">
        <is>
          <t>09/01/2026</t>
        </is>
      </c>
      <c r="C73" t="inlineStr">
        <is>
          <t>JULIO CESAR FERREIRA PAGTO REF SERVIÇOS PRESTADOS CONF.CONTRATO</t>
        </is>
      </c>
      <c r="D73" s="7" t="n">
        <v>-275</v>
      </c>
      <c r="E73" t="inlineStr">
        <is>
          <t>362</t>
        </is>
      </c>
      <c r="F73" t="inlineStr">
        <is>
          <t>SERVIÇOS PRESTADOS POR TERCEIROS</t>
        </is>
      </c>
      <c r="G73" s="2" t="inlineStr">
        <is>
          <t>362</t>
        </is>
      </c>
      <c r="H73">
        <f>IFERROR(VLOOKUP(G73&amp;"",PLANO!A:B,2,FALSE),"CONTA NAO EXISTE NO PLANO")</f>
        <v/>
      </c>
      <c r="I73" t="inlineStr">
        <is>
          <t>362</t>
        </is>
      </c>
      <c r="J73" t="inlineStr">
        <is>
          <t>OK</t>
        </is>
      </c>
      <c r="K73" t="inlineStr">
        <is>
          <t>servico prestado</t>
        </is>
      </c>
      <c r="L73" t="inlineStr">
        <is>
          <t>JULIO CESAR FERREIRA | 115/172 | PAGTO REF SERVIÇOS PRESTADOS CONF.CONTRATO</t>
        </is>
      </c>
      <c r="M73" t="inlineStr">
        <is>
          <t>JULIO CESAR FERREIRA - PAGTO REF SERVIÇOS PRESTADOS CONF.CONTRATO</t>
        </is>
      </c>
    </row>
    <row r="74">
      <c r="A74" t="n">
        <v>73</v>
      </c>
      <c r="B74" t="inlineStr">
        <is>
          <t>09/01/2026</t>
        </is>
      </c>
      <c r="C74" t="inlineStr">
        <is>
          <t>AQIA QUIMICA INOVATIVA LTDA PGTO REF. A COMPRA DE MATERIA PRIMA</t>
        </is>
      </c>
      <c r="D74" s="7" t="n">
        <v>-3821.27</v>
      </c>
      <c r="E74" t="inlineStr">
        <is>
          <t>506</t>
        </is>
      </c>
      <c r="F74" t="inlineStr">
        <is>
          <t>FORNECEDORES DIVERSOS</t>
        </is>
      </c>
      <c r="G74" s="2" t="inlineStr">
        <is>
          <t>506</t>
        </is>
      </c>
      <c r="H74">
        <f>IFERROR(VLOOKUP(G74&amp;"",PLANO!A:B,2,FALSE),"CONTA NAO EXISTE NO PLANO")</f>
        <v/>
      </c>
      <c r="I74" t="inlineStr">
        <is>
          <t>506</t>
        </is>
      </c>
      <c r="J74" t="inlineStr">
        <is>
          <t>OK</t>
        </is>
      </c>
      <c r="K74" t="inlineStr">
        <is>
          <t>fornecedor com NF</t>
        </is>
      </c>
      <c r="L74" t="inlineStr">
        <is>
          <t>AQIA QUIMICA INOVATIVA LTDA | 115/6 | PGTO REF. A COMPRA DE MATERIA PRIMA</t>
        </is>
      </c>
      <c r="M74" t="inlineStr">
        <is>
          <t>AQIA QUIMICA INOVATIVA LTDA - PGTO REF. A COMPRA DE MATERIA PRIMA</t>
        </is>
      </c>
    </row>
    <row r="75">
      <c r="A75" t="n">
        <v>74</v>
      </c>
      <c r="B75" t="inlineStr">
        <is>
          <t>09/01/2026</t>
        </is>
      </c>
      <c r="C75" t="inlineStr">
        <is>
          <t>BARENTZ BRASIL DISTRIBUIDORA LTDAPGTO REF. A COMPRA DE MATERIA PRIMA BENZOFENONA 4,4KG</t>
        </is>
      </c>
      <c r="D75" s="7" t="n">
        <v>-309.79</v>
      </c>
      <c r="E75" t="inlineStr">
        <is>
          <t>506</t>
        </is>
      </c>
      <c r="F75" t="inlineStr">
        <is>
          <t>FORNECEDORES DIVERSOS</t>
        </is>
      </c>
      <c r="G75" s="2" t="inlineStr">
        <is>
          <t>506</t>
        </is>
      </c>
      <c r="H75">
        <f>IFERROR(VLOOKUP(G75&amp;"",PLANO!A:B,2,FALSE),"CONTA NAO EXISTE NO PLANO")</f>
        <v/>
      </c>
      <c r="I75" t="inlineStr">
        <is>
          <t>506</t>
        </is>
      </c>
      <c r="J75" t="inlineStr">
        <is>
          <t>OK</t>
        </is>
      </c>
      <c r="K75" t="inlineStr">
        <is>
          <t>fornecedor com NF</t>
        </is>
      </c>
      <c r="L75" t="inlineStr">
        <is>
          <t>BARENTZ BRASIL DISTRIBUIDORA LTDA | 115/6 | PGTO REF. A COMPRA DE MATERIA PRIMA BENZOFENONA 4, 4KG</t>
        </is>
      </c>
      <c r="M75" t="inlineStr">
        <is>
          <t>BARENTZ BRASIL DISTRIBUIDORA LTDA - PGTO REF. A COMPRA DE MATERIA PRIMA BENZOFENONA 4, 4KG</t>
        </is>
      </c>
    </row>
    <row r="76">
      <c r="A76" s="11" t="n">
        <v>75</v>
      </c>
      <c r="B76" s="11" t="inlineStr">
        <is>
          <t>09/01/2026</t>
        </is>
      </c>
      <c r="C76" s="11" t="inlineStr">
        <is>
          <t>INSETCONTROL SERVICOS DE HIGIENE LTDAPGTO REF.PRESTAÇÃO DE SERVIÇOS DE FOCOS PARAINSETOS CONF.EXIGENCIA VIGILÂNCIA</t>
        </is>
      </c>
      <c r="D76" s="12" t="n">
        <v>-673.2</v>
      </c>
      <c r="E76" s="11" t="inlineStr">
        <is>
          <t>506</t>
        </is>
      </c>
      <c r="F76" s="11" t="inlineStr">
        <is>
          <t>FORNECEDORES DIVERSOS</t>
        </is>
      </c>
      <c r="G76" s="13" t="inlineStr">
        <is>
          <t>506</t>
        </is>
      </c>
      <c r="H76" s="11">
        <f>IFERROR(VLOOKUP(G76&amp;"",PLANO!A:B,2,FALSE),"CONTA NAO EXISTE NO PLANO")</f>
        <v/>
      </c>
      <c r="I76" s="11" t="inlineStr">
        <is>
          <t>506</t>
        </is>
      </c>
      <c r="J76" s="11" t="inlineStr">
        <is>
          <t>MANTIDO</t>
        </is>
      </c>
      <c r="K76" s="11" t="inlineStr">
        <is>
          <t>servicos diversos (lavanderia, dedetizacao, contabilidade, Plus Sante) | mantida a conta atual (sem informacao que justifique troca)</t>
        </is>
      </c>
      <c r="L76" s="11" t="inlineStr">
        <is>
          <t>INSETCONTROL SERVICOS DE HIGIENE LTDA | 115/45 | PGTO REF.PRESTAÇÃO DE SERVIÇOS DE FOCOS PARA INSETOS CONF.EXIGENCIA VIGILÂNCIA</t>
        </is>
      </c>
      <c r="M76" s="11" t="inlineStr">
        <is>
          <t>INSETCONTROL SERVICOS DE HIGIENE LTDA - PGTO REF.PRESTAÇÃO DE SERVIÇOS DE FOCOS PARA INSETOS CONF.EXIGENCIA VIGILÂNCIA</t>
        </is>
      </c>
    </row>
    <row r="77">
      <c r="A77" t="n">
        <v>76</v>
      </c>
      <c r="B77" t="inlineStr">
        <is>
          <t>09/01/2026</t>
        </is>
      </c>
      <c r="C77" t="inlineStr">
        <is>
          <t>MASTER PUMPS EMBALAGENS COMERCIO IMPORTACAO E EXPORTACAO LTDA PGTO REF. A COMPRA DE EMBALAGEM</t>
        </is>
      </c>
      <c r="D77" s="7" t="n">
        <v>-716.99</v>
      </c>
      <c r="E77" t="inlineStr">
        <is>
          <t>506</t>
        </is>
      </c>
      <c r="F77" t="inlineStr">
        <is>
          <t>FORNECEDORES DIVERSOS</t>
        </is>
      </c>
      <c r="G77" s="2" t="inlineStr">
        <is>
          <t>506</t>
        </is>
      </c>
      <c r="H77">
        <f>IFERROR(VLOOKUP(G77&amp;"",PLANO!A:B,2,FALSE),"CONTA NAO EXISTE NO PLANO")</f>
        <v/>
      </c>
      <c r="I77" t="inlineStr">
        <is>
          <t>506</t>
        </is>
      </c>
      <c r="J77" t="inlineStr">
        <is>
          <t>OK</t>
        </is>
      </c>
      <c r="K77" t="inlineStr">
        <is>
          <t>fornecedor com NF</t>
        </is>
      </c>
      <c r="L77" t="inlineStr">
        <is>
          <t>MASTER PUMPS EMBALAGENS COMERCIO IMPORTACAO E EXPORTACAO LTDA | 115/9 | PGTO REF. A COMPRA DE EMBALAGEM</t>
        </is>
      </c>
      <c r="M77" t="inlineStr">
        <is>
          <t>MASTER PUMPS EMBALAGENS COMERCIO IMPORTACAO E EXPORTACAO LTDA - PGTO REF. A COMPRA DE EMBALAGEM</t>
        </is>
      </c>
    </row>
    <row r="78">
      <c r="A78" t="n">
        <v>77</v>
      </c>
      <c r="B78" t="inlineStr">
        <is>
          <t>09/01/2026</t>
        </is>
      </c>
      <c r="C78" t="inlineStr">
        <is>
          <t>AZUL LINHAS AEREAS BRASILEIRAS S.A.PGTO REF.FRETE AÉREO PARA VERONICA (CLIENTE CAUCA)</t>
        </is>
      </c>
      <c r="D78" s="7" t="n">
        <v>-125.7</v>
      </c>
      <c r="E78" t="inlineStr">
        <is>
          <t>312</t>
        </is>
      </c>
      <c r="F78" t="inlineStr">
        <is>
          <t>FRETES E CARRETOS</t>
        </is>
      </c>
      <c r="G78" s="2" t="inlineStr">
        <is>
          <t>312</t>
        </is>
      </c>
      <c r="H78">
        <f>IFERROR(VLOOKUP(G78&amp;"",PLANO!A:B,2,FALSE),"CONTA NAO EXISTE NO PLANO")</f>
        <v/>
      </c>
      <c r="I78" t="inlineStr">
        <is>
          <t>312</t>
        </is>
      </c>
      <c r="J78" t="inlineStr">
        <is>
          <t>OK</t>
        </is>
      </c>
      <c r="K78" t="inlineStr">
        <is>
          <t>categoria Cosmos 4</t>
        </is>
      </c>
      <c r="L78" t="inlineStr">
        <is>
          <t>BRASPRESS TRANSPORTES URGENTES LTDA | 115/4 | PAGTO REF FRETE COMPRA CLIENTE VERONICA VENDEDORA CAUCA</t>
        </is>
      </c>
      <c r="M78" t="inlineStr">
        <is>
          <t>BRASPRESS TRANSPORTES URGENTES LTDA - PAGTO REF FRETE COMPRA CLIENTE VERONICA VENDEDORA CAUCA</t>
        </is>
      </c>
    </row>
    <row r="79">
      <c r="A79" t="n">
        <v>78</v>
      </c>
      <c r="B79" t="inlineStr">
        <is>
          <t>09/01/2026</t>
        </is>
      </c>
      <c r="C79" t="inlineStr">
        <is>
          <t>QUIMIFORMULA COMERCIO DE PRODUTOS QUIMICOS LTDAPGTO REF. A COMPRA DE MATERIA PRIMA</t>
        </is>
      </c>
      <c r="D79" s="7" t="n">
        <v>-1017.95</v>
      </c>
      <c r="E79" t="inlineStr">
        <is>
          <t>506</t>
        </is>
      </c>
      <c r="F79" t="inlineStr">
        <is>
          <t>FORNECEDORES DIVERSOS</t>
        </is>
      </c>
      <c r="G79" s="2" t="inlineStr">
        <is>
          <t>506</t>
        </is>
      </c>
      <c r="H79">
        <f>IFERROR(VLOOKUP(G79&amp;"",PLANO!A:B,2,FALSE),"CONTA NAO EXISTE NO PLANO")</f>
        <v/>
      </c>
      <c r="I79" t="inlineStr">
        <is>
          <t>506</t>
        </is>
      </c>
      <c r="J79" t="inlineStr">
        <is>
          <t>OK</t>
        </is>
      </c>
      <c r="K79" t="inlineStr">
        <is>
          <t>fornecedor com NF</t>
        </is>
      </c>
      <c r="L79" t="inlineStr">
        <is>
          <t>QUIMIFORMULA COMERCIO DE PRODUTOS QUIMICOS LTDA | 115/6 | PGTO REF. A COMPRA DE MATERIA PRIMA</t>
        </is>
      </c>
      <c r="M79" t="inlineStr">
        <is>
          <t>QUIMIFORMULA COMERCIO DE PRODUTOS QUIMICOS LTDA - PGTO REF. A COMPRA DE MATERIA PRIMA</t>
        </is>
      </c>
    </row>
    <row r="80">
      <c r="A80" s="11" t="n">
        <v>79</v>
      </c>
      <c r="B80" s="11" t="inlineStr">
        <is>
          <t>09/01/2026</t>
        </is>
      </c>
      <c r="C80" s="11" t="inlineStr">
        <is>
          <t>SAVATEC COMERCIO E SERVICOS LTDAPGTO REF. A COMPRA DE MATERIAL PARA LABORATORIO</t>
        </is>
      </c>
      <c r="D80" s="12" t="n">
        <v>-990.61</v>
      </c>
      <c r="E80" s="11" t="inlineStr">
        <is>
          <t>359</t>
        </is>
      </c>
      <c r="F80" s="11" t="inlineStr">
        <is>
          <t>MATERIAL DE ESCRITÓRIO</t>
        </is>
      </c>
      <c r="G80" s="13" t="inlineStr">
        <is>
          <t>359</t>
        </is>
      </c>
      <c r="H80" s="11">
        <f>IFERROR(VLOOKUP(G80&amp;"",PLANO!A:B,2,FALSE),"CONTA NAO EXISTE NO PLANO")</f>
        <v/>
      </c>
      <c r="I80" s="11" t="inlineStr">
        <is>
          <t>359</t>
        </is>
      </c>
      <c r="J80" s="11" t="inlineStr">
        <is>
          <t>MANTIDO</t>
        </is>
      </c>
      <c r="K80" s="11" t="inlineStr">
        <is>
          <t>material laboratorio/embalagem consumo | mantida a conta atual (sem informacao que justifique troca)</t>
        </is>
      </c>
      <c r="L80" s="11" t="inlineStr">
        <is>
          <t>SAVATEC COMERCIO E SERVICOS LTDA | 115/8 | PGTO REF. A COMPRA DE MATERIAL PARA LABORATORIO</t>
        </is>
      </c>
      <c r="M80" s="11" t="inlineStr">
        <is>
          <t>SAVATEC COMERCIO E SERVICOS LTDA - PGTO REF. A COMPRA DE MATERIAL PARA LABORATORIO</t>
        </is>
      </c>
    </row>
    <row r="81">
      <c r="A81" s="11" t="n">
        <v>80</v>
      </c>
      <c r="B81" s="11" t="inlineStr">
        <is>
          <t>09/01/2026</t>
        </is>
      </c>
      <c r="C81" s="11" t="inlineStr">
        <is>
          <t>SAVATEC COMERCIO E SERVICOS LTDAPGTO REF. A COMPRA DE MATERIAL PARA LABORATORIO</t>
        </is>
      </c>
      <c r="D81" s="12" t="n">
        <v>-588.45</v>
      </c>
      <c r="E81" s="11" t="inlineStr">
        <is>
          <t>359</t>
        </is>
      </c>
      <c r="F81" s="11" t="inlineStr">
        <is>
          <t>MATERIAL DE ESCRITÓRIO</t>
        </is>
      </c>
      <c r="G81" s="13" t="inlineStr">
        <is>
          <t>359</t>
        </is>
      </c>
      <c r="H81" s="11">
        <f>IFERROR(VLOOKUP(G81&amp;"",PLANO!A:B,2,FALSE),"CONTA NAO EXISTE NO PLANO")</f>
        <v/>
      </c>
      <c r="I81" s="11" t="inlineStr">
        <is>
          <t>359</t>
        </is>
      </c>
      <c r="J81" s="11" t="inlineStr">
        <is>
          <t>MANTIDO</t>
        </is>
      </c>
      <c r="K81" s="11" t="inlineStr">
        <is>
          <t>material laboratorio/embalagem consumo | mantida a conta atual (sem informacao que justifique troca)</t>
        </is>
      </c>
      <c r="L81" s="11" t="inlineStr">
        <is>
          <t>SAVATEC COMERCIO E SERVICOS LTDA | 115/8 | PGTO REF. A COMPRA DE MATERIAL PARA LABORATORIO</t>
        </is>
      </c>
      <c r="M81" s="11" t="inlineStr">
        <is>
          <t>SAVATEC COMERCIO E SERVICOS LTDA - PGTO REF. A COMPRA DE MATERIAL PARA LABORATORIO</t>
        </is>
      </c>
    </row>
    <row r="82">
      <c r="A82" t="n">
        <v>81</v>
      </c>
      <c r="B82" t="inlineStr">
        <is>
          <t>09/01/2026</t>
        </is>
      </c>
      <c r="C82" t="inlineStr">
        <is>
          <t>BRASPRESS TRANSPORTES URGENTES LTDAPGTO REF.FRETE</t>
        </is>
      </c>
      <c r="D82" s="7" t="n">
        <v>-442.59</v>
      </c>
      <c r="E82" t="inlineStr">
        <is>
          <t>312</t>
        </is>
      </c>
      <c r="F82" t="inlineStr">
        <is>
          <t>FRETES E CARRETOS</t>
        </is>
      </c>
      <c r="G82" s="2" t="inlineStr">
        <is>
          <t>312</t>
        </is>
      </c>
      <c r="H82">
        <f>IFERROR(VLOOKUP(G82&amp;"",PLANO!A:B,2,FALSE),"CONTA NAO EXISTE NO PLANO")</f>
        <v/>
      </c>
      <c r="I82" t="inlineStr">
        <is>
          <t>312</t>
        </is>
      </c>
      <c r="J82" t="inlineStr">
        <is>
          <t>OK</t>
        </is>
      </c>
      <c r="K82" t="inlineStr">
        <is>
          <t>categoria Cosmos 97</t>
        </is>
      </c>
      <c r="L82" t="inlineStr">
        <is>
          <t>BRASPRESS TRANSPORTES URGENTES LTDA | 115/97 | PGTO REF.FRETE</t>
        </is>
      </c>
      <c r="M82" t="inlineStr">
        <is>
          <t>BRASPRESS TRANSPORTES URGENTES LTDA - PGTO REF.FRETE</t>
        </is>
      </c>
    </row>
    <row r="83">
      <c r="A83" s="11" t="n">
        <v>82</v>
      </c>
      <c r="B83" s="11" t="inlineStr">
        <is>
          <t>09/01/2026</t>
        </is>
      </c>
      <c r="C83" s="11" t="inlineStr">
        <is>
          <t>OXXYGENIO SITIOPGTO REF. A 2 CILINDROS DE NITROGENIO</t>
        </is>
      </c>
      <c r="D83" s="12" t="n">
        <v>-520</v>
      </c>
      <c r="E83" s="11" t="inlineStr">
        <is>
          <t>506</t>
        </is>
      </c>
      <c r="F83" s="11" t="inlineStr">
        <is>
          <t>FORNECEDORES DIVERSOS</t>
        </is>
      </c>
      <c r="G83" s="13" t="inlineStr">
        <is>
          <t>506</t>
        </is>
      </c>
      <c r="H83" s="11">
        <f>IFERROR(VLOOKUP(G83&amp;"",PLANO!A:B,2,FALSE),"CONTA NAO EXISTE NO PLANO")</f>
        <v/>
      </c>
      <c r="I83" s="11" t="inlineStr">
        <is>
          <t>506</t>
        </is>
      </c>
      <c r="J83" s="11" t="inlineStr">
        <is>
          <t>MANTIDO</t>
        </is>
      </c>
      <c r="K83" s="11" t="inlineStr">
        <is>
          <t>nitrogenio/materiais | mantida a conta atual (sem informacao que justifique troca)</t>
        </is>
      </c>
      <c r="L83" s="11" t="inlineStr">
        <is>
          <t>OXXYGENIO SITIO | 115/104 | PGTO REF. A 2 CILINDROS DE NITROGENIO</t>
        </is>
      </c>
      <c r="M83" s="11" t="inlineStr">
        <is>
          <t>OXXYGENIO SITIO - PGTO REF. A 2 CILINDROS DE NITROGENIO</t>
        </is>
      </c>
    </row>
    <row r="84">
      <c r="A84" t="n">
        <v>83</v>
      </c>
      <c r="B84" t="inlineStr">
        <is>
          <t>12/01/2026</t>
        </is>
      </c>
      <c r="C84" t="inlineStr">
        <is>
          <t>COPEL DISTRIBUICAO S.APGTO REF.DISTRIBUIÇÃO E CONSUMO DE ENERGIA</t>
        </is>
      </c>
      <c r="D84" s="7" t="n">
        <v>-3954.29</v>
      </c>
      <c r="E84" t="inlineStr">
        <is>
          <t>354</t>
        </is>
      </c>
      <c r="F84" t="inlineStr">
        <is>
          <t>ENERGIA ELÉTRICA</t>
        </is>
      </c>
      <c r="G84" s="2" t="inlineStr">
        <is>
          <t>354</t>
        </is>
      </c>
      <c r="H84">
        <f>IFERROR(VLOOKUP(G84&amp;"",PLANO!A:B,2,FALSE),"CONTA NAO EXISTE NO PLANO")</f>
        <v/>
      </c>
      <c r="I84" t="inlineStr">
        <is>
          <t>354</t>
        </is>
      </c>
      <c r="J84" t="inlineStr">
        <is>
          <t>OK</t>
        </is>
      </c>
      <c r="K84" t="inlineStr">
        <is>
          <t>categoria Cosmos 13</t>
        </is>
      </c>
      <c r="L84" t="inlineStr">
        <is>
          <t>COPEL DISTRIBUICAO S.A. | 115/13 | PGTO REF.DISTRIBUIÇÃO E CONSUMO DE ENERGIA</t>
        </is>
      </c>
      <c r="M84" t="inlineStr">
        <is>
          <t>COPEL DISTRIBUICAO S.A. - PGTO REF.DISTRIBUIÇÃO E CONSUMO DE ENERGIA</t>
        </is>
      </c>
    </row>
    <row r="85">
      <c r="A85" t="n">
        <v>84</v>
      </c>
      <c r="B85" t="inlineStr">
        <is>
          <t>12/01/2026</t>
        </is>
      </c>
      <c r="C85" t="inlineStr">
        <is>
          <t>LOVIZ ENTRETENIMENTO E TELECOMUNICACOES LTDAPGTO REF.PAGAMENTO INTERNET 1 GB</t>
        </is>
      </c>
      <c r="D85" s="7" t="n">
        <v>-199.99</v>
      </c>
      <c r="E85" t="inlineStr">
        <is>
          <t>555</t>
        </is>
      </c>
      <c r="F85" t="inlineStr">
        <is>
          <t>INTERNET</t>
        </is>
      </c>
      <c r="G85" s="2" t="inlineStr">
        <is>
          <t>555</t>
        </is>
      </c>
      <c r="H85">
        <f>IFERROR(VLOOKUP(G85&amp;"",PLANO!A:B,2,FALSE),"CONTA NAO EXISTE NO PLANO")</f>
        <v/>
      </c>
      <c r="I85" t="inlineStr">
        <is>
          <t>555</t>
        </is>
      </c>
      <c r="J85" t="inlineStr">
        <is>
          <t>OK</t>
        </is>
      </c>
      <c r="K85" t="inlineStr">
        <is>
          <t>categoria Cosmos 14</t>
        </is>
      </c>
      <c r="L85" t="inlineStr">
        <is>
          <t>LOVIZ ENTRETENIMENTO E TELECOMUNICACOES LTDA | 115/14 | PGTO REF.PAGAMENTO INTERNET 1 GB</t>
        </is>
      </c>
      <c r="M85" t="inlineStr">
        <is>
          <t>LOVIZ ENTRETENIMENTO E TELECOMUNICACOES LTDA - PGTO REF.PAGAMENTO INTERNET 1 GB</t>
        </is>
      </c>
    </row>
    <row r="86">
      <c r="A86" s="4" t="n">
        <v>85</v>
      </c>
      <c r="B86" s="4" t="inlineStr">
        <is>
          <t>12/01/2026</t>
        </is>
      </c>
      <c r="C86" s="4" t="inlineStr">
        <is>
          <t>MARCIO ANTONIO RUSSOPGTO REF. A REEMBOLSO DE COMPRA DE MATERIAS DEMANUTENÇÃO COMPRADO NO CARTÃO DO MARCIO</t>
        </is>
      </c>
      <c r="D86" s="5" t="n">
        <v>-157.91</v>
      </c>
      <c r="E86" s="4" t="inlineStr">
        <is>
          <t>493</t>
        </is>
      </c>
      <c r="F86" s="4" t="inlineStr">
        <is>
          <t>DESPESAS DIVERSAS</t>
        </is>
      </c>
      <c r="G86" s="6" t="inlineStr">
        <is>
          <t>493</t>
        </is>
      </c>
      <c r="H86" s="4">
        <f>IFERROR(VLOOKUP(G86&amp;"",PLANO!A:B,2,FALSE),"CONTA NAO EXISTE NO PLANO")</f>
        <v/>
      </c>
      <c r="I86" s="4" t="inlineStr">
        <is>
          <t>493</t>
        </is>
      </c>
      <c r="J86" s="4" t="inlineStr">
        <is>
          <t>AJUSTADO</t>
        </is>
      </c>
      <c r="K86" s="4" t="inlineStr">
        <is>
          <t>reembolso de despesas</t>
        </is>
      </c>
      <c r="L86" s="4" t="inlineStr">
        <is>
          <t>MARCIO ANTONIO RUSSO 64538427934 | 115/27 | PGTO REF. A REEMBOLSO DE COMPRA DE MATERIAS DE MANUTENÇÃO COMPRADO NO CARTÃO DO MARCIO</t>
        </is>
      </c>
      <c r="M86" s="4" t="inlineStr">
        <is>
          <t>MARCIO ANTONIO RUSSO 64538427934 - PGTO REF. A REEMBOLSO DE COMPRA DE MATERIAS DE MANUTENÇÃO COMPRADO NO CARTÃO DO</t>
        </is>
      </c>
    </row>
    <row r="87">
      <c r="A87" s="4" t="n">
        <v>86</v>
      </c>
      <c r="B87" s="4" t="inlineStr">
        <is>
          <t>12/01/2026</t>
        </is>
      </c>
      <c r="C87" s="4" t="inlineStr">
        <is>
          <t>BRUNO DE JESUS CAMARGOPGTO REF.SERVIÇOS PRETSAÇÕS NO DESENVOLVIMENTO EMANUTENÇÃO DE SISTEMA INTERNO DE OPERAÇÕES</t>
        </is>
      </c>
      <c r="D87" s="5" t="n">
        <v>-400</v>
      </c>
      <c r="E87" s="4" t="inlineStr">
        <is>
          <t>362</t>
        </is>
      </c>
      <c r="F87" s="4" t="inlineStr">
        <is>
          <t>SERVIÇOS PRESTADOS POR TERCEIROS</t>
        </is>
      </c>
      <c r="G87" s="6" t="inlineStr">
        <is>
          <t>640</t>
        </is>
      </c>
      <c r="H87" s="4">
        <f>IFERROR(VLOOKUP(G87&amp;"",PLANO!A:B,2,FALSE),"CONTA NAO EXISTE NO PLANO")</f>
        <v/>
      </c>
      <c r="I87" s="4" t="inlineStr">
        <is>
          <t>362</t>
        </is>
      </c>
      <c r="J87" s="4" t="inlineStr">
        <is>
          <t>AJUSTADO</t>
        </is>
      </c>
      <c r="K87" s="4" t="inlineStr">
        <is>
          <t>software/sistema (Cosmos cat. 47)</t>
        </is>
      </c>
      <c r="L87" s="4" t="inlineStr">
        <is>
          <t>BRUNO DE JESUS CAMARGO | 115/47 | PGTO REF.SERVIÇOS PRETSAÇÕS NO DESENVOLVIMENTO E MANUTENÇÃO DE SISTEMA INTERNO DE OPERAÇÕES</t>
        </is>
      </c>
      <c r="M87" s="4" t="inlineStr">
        <is>
          <t>BRUNO DE JESUS CAMARGO - PGTO REF.SERVIÇOS PRETSAÇÕS NO DESENVOLVIMENTO E MANUTENÇÃO DE SISTEMA INTERNO D</t>
        </is>
      </c>
    </row>
    <row r="88">
      <c r="A88" s="8" t="n">
        <v>87</v>
      </c>
      <c r="B88" s="8" t="inlineStr">
        <is>
          <t>12/01/2026</t>
        </is>
      </c>
      <c r="C88" s="8" t="inlineStr">
        <is>
          <t>LUIZ HENRIQUE COSTAPGTO REF.SERVIÇOS PRESTADOS</t>
        </is>
      </c>
      <c r="D88" s="9" t="n">
        <v>-1400</v>
      </c>
      <c r="E88" s="8" t="inlineStr">
        <is>
          <t>25</t>
        </is>
      </c>
      <c r="F88" s="8" t="inlineStr">
        <is>
          <t>ADIANTAMENTO DE SALÁRIO</t>
        </is>
      </c>
      <c r="G88" s="10" t="inlineStr">
        <is>
          <t>362</t>
        </is>
      </c>
      <c r="H88" s="8">
        <f>IFERROR(VLOOKUP(G88&amp;"",PLANO!A:B,2,FALSE),"CONTA NAO EXISTE NO PLANO")</f>
        <v/>
      </c>
      <c r="I88" s="8" t="inlineStr">
        <is>
          <t>362</t>
        </is>
      </c>
      <c r="J88" s="8" t="inlineStr">
        <is>
          <t>CORRIGIR</t>
        </is>
      </c>
      <c r="K88" s="8" t="inlineStr">
        <is>
          <t>Cosmos: servicos prestados/comissao (nao e folha/adiantamento)</t>
        </is>
      </c>
      <c r="L88" s="8" t="inlineStr">
        <is>
          <t>LUIZ HENRIQUE COSTA | 115/81 | PGTO REF.SERVIÇOS PRESTADOS</t>
        </is>
      </c>
      <c r="M88" s="8" t="inlineStr">
        <is>
          <t>LUIZ HENRIQUE COSTA - PGTO REF.SERVIÇOS PRESTADOS</t>
        </is>
      </c>
    </row>
    <row r="89">
      <c r="A89" t="n">
        <v>88</v>
      </c>
      <c r="B89" t="inlineStr">
        <is>
          <t>12/01/2026</t>
        </is>
      </c>
      <c r="C89" t="inlineStr">
        <is>
          <t>SKIN LAB INDUSTRIA E COMERCIO DE COSMETICOS LTDAPAGAMENTO REFERENTE A COMPRA DE MATERIA PRIMA,MPDS 25KG</t>
        </is>
      </c>
      <c r="D89" s="7" t="n">
        <v>-2350</v>
      </c>
      <c r="E89" t="inlineStr">
        <is>
          <t>506</t>
        </is>
      </c>
      <c r="F89" t="inlineStr">
        <is>
          <t>FORNECEDORES DIVERSOS</t>
        </is>
      </c>
      <c r="G89" s="2" t="inlineStr">
        <is>
          <t>506</t>
        </is>
      </c>
      <c r="H89">
        <f>IFERROR(VLOOKUP(G89&amp;"",PLANO!A:B,2,FALSE),"CONTA NAO EXISTE NO PLANO")</f>
        <v/>
      </c>
      <c r="I89" t="inlineStr">
        <is>
          <t>506</t>
        </is>
      </c>
      <c r="J89" t="inlineStr">
        <is>
          <t>OK</t>
        </is>
      </c>
      <c r="K89" t="inlineStr">
        <is>
          <t>fornecedor com NF</t>
        </is>
      </c>
      <c r="L89" t="inlineStr">
        <is>
          <t>SKIN LAB INDUSTRIA E COMERCIO DE COSMETICOS LTDA | 115/6 | PAGAMENTO REFERENTE A COMPRA DE MATERIA PRIMA, MPDS 25KG</t>
        </is>
      </c>
      <c r="M89" t="inlineStr">
        <is>
          <t>SKIN LAB INDUSTRIA E COMERCIO DE COSMETICOS LTDA - PAGAMENTO REFERENTE A COMPRA DE MATERIA PRIMA, MPDS 25KG</t>
        </is>
      </c>
    </row>
    <row r="90">
      <c r="A90" s="4" t="n">
        <v>89</v>
      </c>
      <c r="B90" s="4" t="inlineStr">
        <is>
          <t>12/01/2026</t>
        </is>
      </c>
      <c r="C90" s="4" t="inlineStr">
        <is>
          <t>RICARDO RICCI PGTO REF.PRESTAÇÃO DE SERVIÇOS CONF.CONTRATO</t>
        </is>
      </c>
      <c r="D90" s="5" t="n">
        <v>-5300.86</v>
      </c>
      <c r="E90" s="4" t="inlineStr">
        <is>
          <t>362</t>
        </is>
      </c>
      <c r="F90" s="4" t="inlineStr">
        <is>
          <t>SERVIÇOS PRESTADOS POR TERCEIROS</t>
        </is>
      </c>
      <c r="G90" s="6" t="inlineStr">
        <is>
          <t>308</t>
        </is>
      </c>
      <c r="H90" s="4">
        <f>IFERROR(VLOOKUP(G90&amp;"",PLANO!A:B,2,FALSE),"CONTA NAO EXISTE NO PLANO")</f>
        <v/>
      </c>
      <c r="I90" s="4" t="inlineStr">
        <is>
          <t>362</t>
        </is>
      </c>
      <c r="J90" s="4" t="inlineStr">
        <is>
          <t>AJUSTADO</t>
        </is>
      </c>
      <c r="K90" s="4" t="inlineStr">
        <is>
          <t>comissao sobre vendas -&gt; 308 COMISSOES (conta existente no plano)</t>
        </is>
      </c>
      <c r="L90" s="4" t="inlineStr">
        <is>
          <t>RICARDO RICCI | 115/53 | PGTO REF.PRESTAÇÃO DE SERVIÇOS CONF.CONTRATO</t>
        </is>
      </c>
      <c r="M90" s="4" t="inlineStr">
        <is>
          <t>RICARDO RICCI - PGTO REF.PRESTAÇÃO DE SERVIÇOS CONF.CONTRATO</t>
        </is>
      </c>
    </row>
    <row r="91">
      <c r="A91" s="11" t="n">
        <v>90</v>
      </c>
      <c r="B91" s="11" t="inlineStr">
        <is>
          <t>12/01/2026</t>
        </is>
      </c>
      <c r="C91" s="11" t="inlineStr">
        <is>
          <t>FACTORING ALEXANDRE MAZZONI PGTO REF.A VALOR INICIAL DE 116.000,00 EM 21/07/2015 E CONGELADO NA DATA DE 28/02/2024 ESERÁ PAGO EM 39 PARCELAS DE 15.000,00 POR MÊSACORDADO COM AS PARTES CARLOS ALEXNDRE(PF) E MICHELMAZZONI(EMPRESA) E TESTEMUNHAS ALEXANDRE COLIN ECLAUDIA RUBIN.</t>
        </is>
      </c>
      <c r="D91" s="12" t="n">
        <v>-1764.2</v>
      </c>
      <c r="E91" s="11" t="inlineStr">
        <is>
          <t>362</t>
        </is>
      </c>
      <c r="F91" s="11" t="inlineStr">
        <is>
          <t>SERVIÇOS PRESTADOS POR TERCEIROS</t>
        </is>
      </c>
      <c r="G91" s="13" t="inlineStr">
        <is>
          <t>362</t>
        </is>
      </c>
      <c r="H91" s="11">
        <f>IFERROR(VLOOKUP(G91&amp;"",PLANO!A:B,2,FALSE),"CONTA NAO EXISTE NO PLANO")</f>
        <v/>
      </c>
      <c r="I91" s="11" t="inlineStr">
        <is>
          <t>362</t>
        </is>
      </c>
      <c r="J91" s="11" t="inlineStr">
        <is>
          <t>MANTIDO</t>
        </is>
      </c>
      <c r="K91" s="11" t="inlineStr">
        <is>
          <t>socios Mazzoni (fora do contrato social) - mantido como estava</t>
        </is>
      </c>
      <c r="L91" s="11" t="inlineStr">
        <is>
          <t>FACTORING ALEXANDRE MAZZONI | 115/94 | PGTO REF.A VALOR INICIAL DE 116.000,00 EM 21/07/2015 E CONGELADO NA DATA DE 28/02/2024 E SERÁ PAGO EM 39 PARCELAS DE 15.</t>
        </is>
      </c>
      <c r="M91" s="11" t="inlineStr">
        <is>
          <t>FACTORING ALEXANDRE MAZZONI - PGTO REF.A VALOR INICIAL DE 116.000,00 EM 21/07/2015 E CONGELADO NA DATA DE 28/0</t>
        </is>
      </c>
    </row>
    <row r="92">
      <c r="A92" t="n">
        <v>91</v>
      </c>
      <c r="B92" t="inlineStr">
        <is>
          <t>12/01/2026</t>
        </is>
      </c>
      <c r="C92" t="inlineStr">
        <is>
          <t>PLUS SANTEPGTO REF.PRESTAÇÃO DE SERVIÇOS DE EMERGÊNCIAS MÉDICAS</t>
        </is>
      </c>
      <c r="D92" s="7" t="n">
        <v>-342.3</v>
      </c>
      <c r="E92" t="inlineStr">
        <is>
          <t>653</t>
        </is>
      </c>
      <c r="F92" t="inlineStr">
        <is>
          <t>PLANO DE SAÚDE EMPREGADO</t>
        </is>
      </c>
      <c r="G92" s="2" t="inlineStr">
        <is>
          <t>653</t>
        </is>
      </c>
      <c r="H92">
        <f>IFERROR(VLOOKUP(G92&amp;"",PLANO!A:B,2,FALSE),"CONTA NAO EXISTE NO PLANO")</f>
        <v/>
      </c>
      <c r="I92" t="inlineStr">
        <is>
          <t>653</t>
        </is>
      </c>
      <c r="J92" t="inlineStr">
        <is>
          <t>OK</t>
        </is>
      </c>
      <c r="K92" t="inlineStr">
        <is>
          <t>categoria Cosmos 37</t>
        </is>
      </c>
      <c r="L92" t="inlineStr">
        <is>
          <t>PLUS SANTE | 115/37 | PGTO REF.PRESTAÇÃO DE SERVIÇOS DE EMERGÊNCIAS MÉDICAS</t>
        </is>
      </c>
      <c r="M92" t="inlineStr">
        <is>
          <t>PLUS SANTE - PGTO REF.PRESTAÇÃO DE SERVIÇOS DE EMERGÊNCIAS MÉDICAS</t>
        </is>
      </c>
    </row>
    <row r="93">
      <c r="A93" t="n">
        <v>92</v>
      </c>
      <c r="B93" t="inlineStr">
        <is>
          <t>12/01/2026</t>
        </is>
      </c>
      <c r="C93" t="inlineStr">
        <is>
          <t>SINDICATO IND PROD HIG PESSOAL COMS PERF PR 115 124 5 0,00 171,90 -371.886,00PGTO REF.ASSOCIAÇÃO AO SINDICATO DAS INDUSTRIAS</t>
        </is>
      </c>
      <c r="D93" s="7" t="n">
        <v>-171.9</v>
      </c>
      <c r="E93" t="inlineStr">
        <is>
          <t>350</t>
        </is>
      </c>
      <c r="F93" t="inlineStr">
        <is>
          <t>TAXAS DIVERSAS</t>
        </is>
      </c>
      <c r="G93" s="2" t="inlineStr">
        <is>
          <t>350</t>
        </is>
      </c>
      <c r="H93">
        <f>IFERROR(VLOOKUP(G93&amp;"",PLANO!A:B,2,FALSE),"CONTA NAO EXISTE NO PLANO")</f>
        <v/>
      </c>
      <c r="I93" t="inlineStr">
        <is>
          <t>350</t>
        </is>
      </c>
      <c r="J93" t="inlineStr">
        <is>
          <t>OK</t>
        </is>
      </c>
      <c r="K93" t="inlineStr">
        <is>
          <t>categoria Cosmos 124</t>
        </is>
      </c>
      <c r="L93" t="inlineStr">
        <is>
          <t>SINDICATO IND PROD HIG PESSOAL COMS PERF PR | 115/124 | PGTO REF.ASSOCIAÇÃO AO SINDICATO DAS INDUSTRIAS</t>
        </is>
      </c>
      <c r="M93" t="inlineStr">
        <is>
          <t>SINDICATO IND PROD HIG PESSOAL COMS PERF PR - PGTO REF.ASSOCIAÇÃO AO SINDICATO DAS INDUSTRIAS</t>
        </is>
      </c>
    </row>
    <row r="94">
      <c r="A94" s="11" t="n">
        <v>93</v>
      </c>
      <c r="B94" s="11" t="inlineStr">
        <is>
          <t>12/01/2026</t>
        </is>
      </c>
      <c r="C94" s="11" t="inlineStr">
        <is>
          <t>SUL TAPE COMERCIO DE EMBALAGENS EIRELIPGTO REF. A COMPRA DE PLASTICO BOLHA</t>
        </is>
      </c>
      <c r="D94" s="12" t="n">
        <v>-854.85</v>
      </c>
      <c r="E94" s="11" t="inlineStr">
        <is>
          <t>506</t>
        </is>
      </c>
      <c r="F94" s="11" t="inlineStr">
        <is>
          <t>FORNECEDORES DIVERSOS</t>
        </is>
      </c>
      <c r="G94" s="13" t="inlineStr">
        <is>
          <t>506</t>
        </is>
      </c>
      <c r="H94" s="11">
        <f>IFERROR(VLOOKUP(G94&amp;"",PLANO!A:B,2,FALSE),"CONTA NAO EXISTE NO PLANO")</f>
        <v/>
      </c>
      <c r="I94" s="11" t="inlineStr">
        <is>
          <t>506</t>
        </is>
      </c>
      <c r="J94" s="11" t="inlineStr">
        <is>
          <t>MANTIDO</t>
        </is>
      </c>
      <c r="K94" s="11" t="inlineStr">
        <is>
          <t>material laboratorio/embalagem consumo | mantida a conta atual (sem informacao que justifique troca)</t>
        </is>
      </c>
      <c r="L94" s="11" t="inlineStr">
        <is>
          <t>SUL TAPE COMERCIO DE EMBALAGENS EIRELI | 115/8 | PGTO REF. A COMPRA DE PLASTICO BOLHA</t>
        </is>
      </c>
      <c r="M94" s="11" t="inlineStr">
        <is>
          <t>SUL TAPE COMERCIO DE EMBALAGENS EIRELI - PGTO REF. A COMPRA DE PLASTICO BOLHA</t>
        </is>
      </c>
    </row>
    <row r="95">
      <c r="A95" t="n">
        <v>94</v>
      </c>
      <c r="B95" t="inlineStr">
        <is>
          <t>12/01/2026</t>
        </is>
      </c>
      <c r="C95" t="inlineStr">
        <is>
          <t>TNT MERCURIO CARGAS E ENCOMENDAS EXPRESSASPGTO REF.S/NFE</t>
        </is>
      </c>
      <c r="D95" s="7" t="n">
        <v>-30.5</v>
      </c>
      <c r="E95" t="inlineStr">
        <is>
          <t>312</t>
        </is>
      </c>
      <c r="F95" t="inlineStr">
        <is>
          <t>FRETES E CARRETOS</t>
        </is>
      </c>
      <c r="G95" s="2" t="inlineStr">
        <is>
          <t>312</t>
        </is>
      </c>
      <c r="H95">
        <f>IFERROR(VLOOKUP(G95&amp;"",PLANO!A:B,2,FALSE),"CONTA NAO EXISTE NO PLANO")</f>
        <v/>
      </c>
      <c r="I95" t="inlineStr">
        <is>
          <t>312</t>
        </is>
      </c>
      <c r="J95" t="inlineStr">
        <is>
          <t>OK</t>
        </is>
      </c>
      <c r="K95" t="inlineStr">
        <is>
          <t>categoria Cosmos 97</t>
        </is>
      </c>
      <c r="L95" t="inlineStr">
        <is>
          <t>TNT MERCURIO CARGAS E ENCOMENDAS EXPRESSAS S/A | 115/97 | PGTO REF.S/NFE</t>
        </is>
      </c>
      <c r="M95" t="inlineStr">
        <is>
          <t>TNT MERCURIO CARGAS E ENCOMENDAS EXPRESSAS S/A - PGTO REF.S/NFE</t>
        </is>
      </c>
    </row>
    <row r="96">
      <c r="A96" t="n">
        <v>95</v>
      </c>
      <c r="B96" t="inlineStr">
        <is>
          <t>12/01/2026</t>
        </is>
      </c>
      <c r="C96" t="inlineStr">
        <is>
          <t>YAHWEH PRINT BRASIL LTDAPGTO REF. A COMPRA DE ROTULO DE OX 900ML</t>
        </is>
      </c>
      <c r="D96" s="7" t="n">
        <v>-1258.32</v>
      </c>
      <c r="E96" t="inlineStr">
        <is>
          <t>506</t>
        </is>
      </c>
      <c r="F96" t="inlineStr">
        <is>
          <t>FORNECEDORES DIVERSOS</t>
        </is>
      </c>
      <c r="G96" s="2" t="inlineStr">
        <is>
          <t>506</t>
        </is>
      </c>
      <c r="H96">
        <f>IFERROR(VLOOKUP(G96&amp;"",PLANO!A:B,2,FALSE),"CONTA NAO EXISTE NO PLANO")</f>
        <v/>
      </c>
      <c r="I96" t="inlineStr">
        <is>
          <t>506</t>
        </is>
      </c>
      <c r="J96" t="inlineStr">
        <is>
          <t>OK</t>
        </is>
      </c>
      <c r="K96" t="inlineStr">
        <is>
          <t>fornecedor com NF</t>
        </is>
      </c>
      <c r="L96" t="inlineStr">
        <is>
          <t>YAHWEH PRINT BRASIL LTDA | 115/9 | PGTO REF. A COMPRA DE ROTULO DE OX 900ML</t>
        </is>
      </c>
      <c r="M96" t="inlineStr">
        <is>
          <t>YAHWEH PRINT BRASIL LTDA - PGTO REF. A COMPRA DE ROTULO DE OX 900ML</t>
        </is>
      </c>
    </row>
    <row r="97">
      <c r="A97" s="4" t="n">
        <v>96</v>
      </c>
      <c r="B97" s="4" t="inlineStr">
        <is>
          <t>13/01/2026</t>
        </is>
      </c>
      <c r="C97" s="4" t="inlineStr">
        <is>
          <t>REF. A SISPAG COSMETICON COMER (OUTRAS ENTRADAS)</t>
        </is>
      </c>
      <c r="D97" s="5" t="n">
        <v>20000</v>
      </c>
      <c r="E97" s="4" t="inlineStr">
        <is>
          <t>663</t>
        </is>
      </c>
      <c r="F97" s="4" t="inlineStr">
        <is>
          <t>EMPRESTIMO COSMETICON COMERCIO (31.494.732/0001-09)</t>
        </is>
      </c>
      <c r="G97" s="6" t="inlineStr">
        <is>
          <t>663</t>
        </is>
      </c>
      <c r="H97" s="4">
        <f>IFERROR(VLOOKUP(G97&amp;"",PLANO!A:B,2,FALSE),"CONTA NAO EXISTE NO PLANO")</f>
        <v/>
      </c>
      <c r="I97" s="4" t="inlineStr">
        <is>
          <t>663</t>
        </is>
      </c>
      <c r="J97" s="4" t="inlineStr">
        <is>
          <t>AJUSTADO</t>
        </is>
      </c>
      <c r="K97" s="4" t="inlineStr">
        <is>
          <t>COSMETICON - conta-corrente unica de mutuo (663)</t>
        </is>
      </c>
      <c r="L97" s="4" t="inlineStr">
        <is>
          <t xml:space="preserve">OUTRAS ENTRADAS | 122/71 | </t>
        </is>
      </c>
      <c r="M97" s="4" t="inlineStr">
        <is>
          <t>SISPAG COSMETICON COMER (OUTRAS ENTRADAS)</t>
        </is>
      </c>
    </row>
    <row r="98">
      <c r="A98" t="n">
        <v>97</v>
      </c>
      <c r="B98" t="inlineStr">
        <is>
          <t>13/01/2026</t>
        </is>
      </c>
      <c r="C98" t="inlineStr">
        <is>
          <t>BARENTZ BRASIL DISTRIBUIDORA LTDAPGTO REF. A COMPRA DE MATERIA PRIMA BENZOFENONA 4,4KG</t>
        </is>
      </c>
      <c r="D98" s="7" t="n">
        <v>-306.73</v>
      </c>
      <c r="E98" t="inlineStr">
        <is>
          <t>506</t>
        </is>
      </c>
      <c r="F98" t="inlineStr">
        <is>
          <t>FORNECEDORES DIVERSOS</t>
        </is>
      </c>
      <c r="G98" s="2" t="inlineStr">
        <is>
          <t>506</t>
        </is>
      </c>
      <c r="H98">
        <f>IFERROR(VLOOKUP(G98&amp;"",PLANO!A:B,2,FALSE),"CONTA NAO EXISTE NO PLANO")</f>
        <v/>
      </c>
      <c r="I98" t="inlineStr">
        <is>
          <t>506</t>
        </is>
      </c>
      <c r="J98" t="inlineStr">
        <is>
          <t>OK</t>
        </is>
      </c>
      <c r="K98" t="inlineStr">
        <is>
          <t>fornecedor com NF</t>
        </is>
      </c>
      <c r="L98" t="inlineStr">
        <is>
          <t>BARENTZ BRASIL DISTRIBUIDORA LTDA | 115/6 | PGTO REF. A COMPRA DE MATERIA PRIMA BENZOFENONA 4, 4KG</t>
        </is>
      </c>
      <c r="M98" t="inlineStr">
        <is>
          <t>BARENTZ BRASIL DISTRIBUIDORA LTDA - PGTO REF. A COMPRA DE MATERIA PRIMA BENZOFENONA 4, 4KG</t>
        </is>
      </c>
    </row>
    <row r="99">
      <c r="A99" t="n">
        <v>98</v>
      </c>
      <c r="B99" t="inlineStr">
        <is>
          <t>13/01/2026</t>
        </is>
      </c>
      <c r="C99" t="inlineStr">
        <is>
          <t>REF. A BOLETO PAGO E. J. KRIEGE</t>
        </is>
      </c>
      <c r="D99" s="7" t="n">
        <v>-509.16</v>
      </c>
      <c r="E99" t="inlineStr">
        <is>
          <t>506</t>
        </is>
      </c>
      <c r="F99" t="inlineStr">
        <is>
          <t>FORNECEDORES DIVERSOS</t>
        </is>
      </c>
      <c r="G99" s="2" t="inlineStr">
        <is>
          <t>506</t>
        </is>
      </c>
      <c r="H99">
        <f>IFERROR(VLOOKUP(G99&amp;"",PLANO!A:B,2,FALSE),"CONTA NAO EXISTE NO PLANO")</f>
        <v/>
      </c>
      <c r="I99" t="inlineStr">
        <is>
          <t>506</t>
        </is>
      </c>
      <c r="J99" t="inlineStr">
        <is>
          <t>SEM COSMOS</t>
        </is>
      </c>
      <c r="K99" t="inlineStr"/>
      <c r="L99" t="inlineStr"/>
      <c r="M99" t="inlineStr">
        <is>
          <t>BOLETO PAGO E. J. KRIEGE</t>
        </is>
      </c>
    </row>
    <row r="100">
      <c r="A100" s="11" t="n">
        <v>99</v>
      </c>
      <c r="B100" s="11" t="inlineStr">
        <is>
          <t>13/01/2026</t>
        </is>
      </c>
      <c r="C100" s="11" t="inlineStr">
        <is>
          <t>REAGEN PRODUTOS PARA LABORATORIOS EIRELI PGTO REF. A COMPRA DE MATERIAL PATRA LABORATÓRIO</t>
        </is>
      </c>
      <c r="D100" s="12" t="n">
        <v>-202.67</v>
      </c>
      <c r="E100" s="11" t="inlineStr">
        <is>
          <t>506</t>
        </is>
      </c>
      <c r="F100" s="11" t="inlineStr">
        <is>
          <t>FORNECEDORES DIVERSOS</t>
        </is>
      </c>
      <c r="G100" s="13" t="inlineStr">
        <is>
          <t>506</t>
        </is>
      </c>
      <c r="H100" s="11">
        <f>IFERROR(VLOOKUP(G100&amp;"",PLANO!A:B,2,FALSE),"CONTA NAO EXISTE NO PLANO")</f>
        <v/>
      </c>
      <c r="I100" s="11" t="inlineStr">
        <is>
          <t>506</t>
        </is>
      </c>
      <c r="J100" s="11" t="inlineStr">
        <is>
          <t>MANTIDO</t>
        </is>
      </c>
      <c r="K100" s="11" t="inlineStr">
        <is>
          <t>material laboratorio/contratipagem | mantida a conta atual (sem informacao que justifique troca)</t>
        </is>
      </c>
      <c r="L100" s="11" t="inlineStr">
        <is>
          <t>REAGEN PRODUTOS PARA LABORATORIOS EIRELI | 115/103 | PGTO REF. A COMPRA DE MATERIAL PATRA LABORATÓRIO</t>
        </is>
      </c>
      <c r="M100" s="11" t="inlineStr">
        <is>
          <t>REAGEN PRODUTOS PARA LABORATORIOS EIRELI - PGTO REF. A COMPRA DE MATERIAL PATRA LABORATÓRIO</t>
        </is>
      </c>
    </row>
    <row r="101">
      <c r="A101" t="n">
        <v>100</v>
      </c>
      <c r="B101" t="inlineStr">
        <is>
          <t>13/01/2026</t>
        </is>
      </c>
      <c r="C101" t="inlineStr">
        <is>
          <t>YAHWEH PRINT BRASIL LTDAPGTO REF. A COMPRA DE ROTULO MASCARA CELULA TRONCO</t>
        </is>
      </c>
      <c r="D101" s="7" t="n">
        <v>-1030.24</v>
      </c>
      <c r="E101" t="inlineStr">
        <is>
          <t>506</t>
        </is>
      </c>
      <c r="F101" t="inlineStr">
        <is>
          <t>FORNECEDORES DIVERSOS</t>
        </is>
      </c>
      <c r="G101" s="2" t="inlineStr">
        <is>
          <t>506</t>
        </is>
      </c>
      <c r="H101">
        <f>IFERROR(VLOOKUP(G101&amp;"",PLANO!A:B,2,FALSE),"CONTA NAO EXISTE NO PLANO")</f>
        <v/>
      </c>
      <c r="I101" t="inlineStr">
        <is>
          <t>506</t>
        </is>
      </c>
      <c r="J101" t="inlineStr">
        <is>
          <t>OK</t>
        </is>
      </c>
      <c r="K101" t="inlineStr">
        <is>
          <t>fornecedor com NF</t>
        </is>
      </c>
      <c r="L101" t="inlineStr">
        <is>
          <t>YAHWEH PRINT BRASIL LTDA | 115/9 | PGTO REF. A COMPRA DE ROTULO MASCARA CELULA TRONCO</t>
        </is>
      </c>
      <c r="M101" t="inlineStr">
        <is>
          <t>YAHWEH PRINT BRASIL LTDA - PGTO REF. A COMPRA DE ROTULO MASCARA CELULA TRONCO</t>
        </is>
      </c>
    </row>
    <row r="102">
      <c r="A102" t="n">
        <v>101</v>
      </c>
      <c r="B102" t="inlineStr">
        <is>
          <t>13/01/2026</t>
        </is>
      </c>
      <c r="C102" t="inlineStr">
        <is>
          <t>YAHWEH PRINT BRASIL LTDAPGTO REF. A COMPRA DE ROTULO</t>
        </is>
      </c>
      <c r="D102" s="7" t="n">
        <v>-1329.18</v>
      </c>
      <c r="E102" t="inlineStr">
        <is>
          <t>506</t>
        </is>
      </c>
      <c r="F102" t="inlineStr">
        <is>
          <t>FORNECEDORES DIVERSOS</t>
        </is>
      </c>
      <c r="G102" s="2" t="inlineStr">
        <is>
          <t>506</t>
        </is>
      </c>
      <c r="H102">
        <f>IFERROR(VLOOKUP(G102&amp;"",PLANO!A:B,2,FALSE),"CONTA NAO EXISTE NO PLANO")</f>
        <v/>
      </c>
      <c r="I102" t="inlineStr">
        <is>
          <t>506</t>
        </is>
      </c>
      <c r="J102" t="inlineStr">
        <is>
          <t>OK</t>
        </is>
      </c>
      <c r="K102" t="inlineStr">
        <is>
          <t>fornecedor com NF</t>
        </is>
      </c>
      <c r="L102" t="inlineStr">
        <is>
          <t>YAHWEH PRINT BRASIL LTDA | 115/9 | PGTO REF. A COMPRA DE ROTULO</t>
        </is>
      </c>
      <c r="M102" t="inlineStr">
        <is>
          <t>YAHWEH PRINT BRASIL LTDA - PGTO REF. A COMPRA DE ROTULO</t>
        </is>
      </c>
    </row>
    <row r="103">
      <c r="A103" s="4" t="n">
        <v>102</v>
      </c>
      <c r="B103" s="4" t="inlineStr">
        <is>
          <t>14/01/2026</t>
        </is>
      </c>
      <c r="C103" s="4" t="inlineStr">
        <is>
          <t>REF. A SISPAG COSMETICON COMER (OUTRAS ENTRADAS)</t>
        </is>
      </c>
      <c r="D103" s="5" t="n">
        <v>15000</v>
      </c>
      <c r="E103" s="4" t="inlineStr">
        <is>
          <t>663</t>
        </is>
      </c>
      <c r="F103" s="4" t="inlineStr">
        <is>
          <t>EMPRESTIMO COSMETICON COMERCIO (31.494.732/0001-09)</t>
        </is>
      </c>
      <c r="G103" s="6" t="inlineStr">
        <is>
          <t>663</t>
        </is>
      </c>
      <c r="H103" s="4">
        <f>IFERROR(VLOOKUP(G103&amp;"",PLANO!A:B,2,FALSE),"CONTA NAO EXISTE NO PLANO")</f>
        <v/>
      </c>
      <c r="I103" s="4" t="inlineStr">
        <is>
          <t>663</t>
        </is>
      </c>
      <c r="J103" s="4" t="inlineStr">
        <is>
          <t>AJUSTADO</t>
        </is>
      </c>
      <c r="K103" s="4" t="inlineStr">
        <is>
          <t>COSMETICON - conta-corrente unica de mutuo (663)</t>
        </is>
      </c>
      <c r="L103" s="4" t="inlineStr">
        <is>
          <t xml:space="preserve">OUTRAS ENTRADAS | 122/71 | </t>
        </is>
      </c>
      <c r="M103" s="4" t="inlineStr">
        <is>
          <t>SISPAG COSMETICON COMER (OUTRAS ENTRADAS)</t>
        </is>
      </c>
    </row>
    <row r="104">
      <c r="A104" t="n">
        <v>103</v>
      </c>
      <c r="B104" t="inlineStr">
        <is>
          <t>14/01/2026</t>
        </is>
      </c>
      <c r="C104" t="inlineStr">
        <is>
          <t>REF. A MOV TIT COB DISP 14/01S</t>
        </is>
      </c>
      <c r="D104" s="7" t="n">
        <v>5444.32</v>
      </c>
      <c r="E104" t="inlineStr">
        <is>
          <t>504</t>
        </is>
      </c>
      <c r="F104" t="inlineStr">
        <is>
          <t>CLIENTES DIVERSOS</t>
        </is>
      </c>
      <c r="G104" s="2" t="inlineStr">
        <is>
          <t>504</t>
        </is>
      </c>
      <c r="H104">
        <f>IFERROR(VLOOKUP(G104&amp;"",PLANO!A:B,2,FALSE),"CONTA NAO EXISTE NO PLANO")</f>
        <v/>
      </c>
      <c r="I104" t="inlineStr">
        <is>
          <t>504</t>
        </is>
      </c>
      <c r="J104" t="inlineStr">
        <is>
          <t>SEM COSMOS</t>
        </is>
      </c>
      <c r="K104" t="inlineStr"/>
      <c r="L104" t="inlineStr"/>
      <c r="M104" t="inlineStr">
        <is>
          <t>MOV TIT COB DISP 14/01S</t>
        </is>
      </c>
    </row>
    <row r="105">
      <c r="A105" s="8" t="n">
        <v>104</v>
      </c>
      <c r="B105" s="8" t="inlineStr">
        <is>
          <t>14/01/2026</t>
        </is>
      </c>
      <c r="C105" s="8" t="inlineStr">
        <is>
          <t>FLASH TECNOLOGIA E INSTITUICAO DE PAGAMENTO LTDAPGTO REF. COMPRA VALE ALIMENTACAO</t>
        </is>
      </c>
      <c r="D105" s="9" t="n">
        <v>-8070</v>
      </c>
      <c r="E105" s="8" t="inlineStr">
        <is>
          <t>555</t>
        </is>
      </c>
      <c r="F105" s="8" t="inlineStr">
        <is>
          <t>INTERNET</t>
        </is>
      </c>
      <c r="G105" s="10" t="inlineStr">
        <is>
          <t>659</t>
        </is>
      </c>
      <c r="H105" s="8">
        <f>IFERROR(VLOOKUP(G105&amp;"",PLANO!A:B,2,FALSE),"CONTA NAO EXISTE NO PLANO")</f>
        <v/>
      </c>
      <c r="I105" s="8" t="inlineStr">
        <is>
          <t>659</t>
        </is>
      </c>
      <c r="J105" s="8" t="inlineStr">
        <is>
          <t>CORRIGIR</t>
        </is>
      </c>
      <c r="K105" s="8" t="inlineStr">
        <is>
          <t>categoria Cosmos 34</t>
        </is>
      </c>
      <c r="L105" s="8" t="inlineStr">
        <is>
          <t>FLASH TECNOLOGIA E INSTITUICAO DE PAGAMENTO LTDA | 115/34 | PGTO REF. COMPRA VALE ALIMENTACAO</t>
        </is>
      </c>
      <c r="M105" s="8" t="inlineStr">
        <is>
          <t>FLASH TECNOLOGIA E INSTITUICAO DE PAGAMENTO LTDA - PGTO REF. COMPRA VALE ALIMENTACAO</t>
        </is>
      </c>
    </row>
    <row r="106">
      <c r="A106" t="n">
        <v>105</v>
      </c>
      <c r="B106" t="inlineStr">
        <is>
          <t>14/01/2026</t>
        </is>
      </c>
      <c r="C106" t="inlineStr">
        <is>
          <t>PIX ENVIADO ALINE DA SIL</t>
        </is>
      </c>
      <c r="D106" s="7" t="n">
        <v>-2350</v>
      </c>
      <c r="E106" t="inlineStr">
        <is>
          <t>506</t>
        </is>
      </c>
      <c r="F106" t="inlineStr">
        <is>
          <t>FORNECEDORES DIVERSOS</t>
        </is>
      </c>
      <c r="G106" s="2" t="inlineStr">
        <is>
          <t>506</t>
        </is>
      </c>
      <c r="H106">
        <f>IFERROR(VLOOKUP(G106&amp;"",PLANO!A:B,2,FALSE),"CONTA NAO EXISTE NO PLANO")</f>
        <v/>
      </c>
      <c r="I106" t="inlineStr">
        <is>
          <t>506</t>
        </is>
      </c>
      <c r="J106" t="inlineStr">
        <is>
          <t>SEM COSMOS</t>
        </is>
      </c>
      <c r="K106" t="inlineStr"/>
      <c r="L106" t="inlineStr"/>
      <c r="M106" t="inlineStr">
        <is>
          <t>PIX ENVIADO ALINE DA SIL</t>
        </is>
      </c>
    </row>
    <row r="107">
      <c r="A107" t="n">
        <v>106</v>
      </c>
      <c r="B107" t="inlineStr">
        <is>
          <t>14/01/2026</t>
        </is>
      </c>
      <c r="C107" t="inlineStr">
        <is>
          <t>BRAL-MAX INDUSTRIA E COMERCIO DE PLASTICOS LTDA PAGAMENTO REFERENTE A COMPRA DE TAMPA ROSCA PRATAE NATURAL</t>
        </is>
      </c>
      <c r="D107" s="7" t="n">
        <v>-1417.64</v>
      </c>
      <c r="E107" t="inlineStr">
        <is>
          <t>506</t>
        </is>
      </c>
      <c r="F107" t="inlineStr">
        <is>
          <t>FORNECEDORES DIVERSOS</t>
        </is>
      </c>
      <c r="G107" s="2" t="inlineStr">
        <is>
          <t>506</t>
        </is>
      </c>
      <c r="H107">
        <f>IFERROR(VLOOKUP(G107&amp;"",PLANO!A:B,2,FALSE),"CONTA NAO EXISTE NO PLANO")</f>
        <v/>
      </c>
      <c r="I107" t="inlineStr">
        <is>
          <t>506</t>
        </is>
      </c>
      <c r="J107" t="inlineStr">
        <is>
          <t>OK</t>
        </is>
      </c>
      <c r="K107" t="inlineStr">
        <is>
          <t>fornecedor com NF</t>
        </is>
      </c>
      <c r="L107" t="inlineStr">
        <is>
          <t>BRAL MAX INDUSTRIA E COMERCIO DE PLASTICOS LTDA | 115/9 | PAGAMENTO REFERENTE A COMPRA DE TAMPA ROSCA PRATA E NATURAL</t>
        </is>
      </c>
      <c r="M107" t="inlineStr">
        <is>
          <t>BRAL MAX INDUSTRIA E COMERCIO DE PLASTICOS LTDA - PAGAMENTO REFERENTE A COMPRA DE TAMPA ROSCA PRATA E NATURAL</t>
        </is>
      </c>
    </row>
    <row r="108">
      <c r="A108" t="n">
        <v>107</v>
      </c>
      <c r="B108" t="inlineStr">
        <is>
          <t>14/01/2026</t>
        </is>
      </c>
      <c r="C108" t="inlineStr">
        <is>
          <t>BEATRIZ CAMILA MARCELINO DOS SANTOS PGTO REF. A VALE ALIMENTAÇÃO</t>
        </is>
      </c>
      <c r="D108" s="7" t="n">
        <v>-555</v>
      </c>
      <c r="E108" t="inlineStr">
        <is>
          <t>659</t>
        </is>
      </c>
      <c r="F108" t="inlineStr">
        <is>
          <t>VA / VR</t>
        </is>
      </c>
      <c r="G108" s="2" t="inlineStr">
        <is>
          <t>659</t>
        </is>
      </c>
      <c r="H108">
        <f>IFERROR(VLOOKUP(G108&amp;"",PLANO!A:B,2,FALSE),"CONTA NAO EXISTE NO PLANO")</f>
        <v/>
      </c>
      <c r="I108" t="inlineStr">
        <is>
          <t>659</t>
        </is>
      </c>
      <c r="J108" t="inlineStr">
        <is>
          <t>OK</t>
        </is>
      </c>
      <c r="K108" t="inlineStr">
        <is>
          <t>categoria Cosmos 93</t>
        </is>
      </c>
      <c r="L108" t="inlineStr">
        <is>
          <t>BEATRIZ CAMILA MARCELINO DOS SANTOS | 115/93 | PGTO REF. A VALE ALIMENTAÇÃO</t>
        </is>
      </c>
      <c r="M108" t="inlineStr">
        <is>
          <t>BEATRIZ CAMILA MARCELINO DOS SANTOS - PGTO REF. A VALE ALIMENTAÇÃO</t>
        </is>
      </c>
    </row>
    <row r="109">
      <c r="A109" s="8" t="n">
        <v>108</v>
      </c>
      <c r="B109" s="8" t="inlineStr">
        <is>
          <t>14/01/2026</t>
        </is>
      </c>
      <c r="C109" s="8" t="inlineStr">
        <is>
          <t>ALLOXY ESPECIALIDADES QUIMICAS LTDA  PGTO REF. A COMPRA DE MATERIA PRIMA, PEROXIDO DEHIDROGENIO</t>
        </is>
      </c>
      <c r="D109" s="9" t="n">
        <v>-945</v>
      </c>
      <c r="E109" s="8" t="inlineStr">
        <is>
          <t>56</t>
        </is>
      </c>
      <c r="F109" s="8" t="inlineStr">
        <is>
          <t>MATÉRIA-PRIMA</t>
        </is>
      </c>
      <c r="G109" s="10" t="inlineStr">
        <is>
          <t>506</t>
        </is>
      </c>
      <c r="H109" s="8">
        <f>IFERROR(VLOOKUP(G109&amp;"",PLANO!A:B,2,FALSE),"CONTA NAO EXISTE NO PLANO")</f>
        <v/>
      </c>
      <c r="I109" s="8" t="inlineStr">
        <is>
          <t>506</t>
        </is>
      </c>
      <c r="J109" s="8" t="inlineStr">
        <is>
          <t>CORRIGIR</t>
        </is>
      </c>
      <c r="K109" s="8" t="inlineStr">
        <is>
          <t>fornecedor com NF (Cosmos: compra MP/embalagem) - pagamento deve baixar fornecedores 506</t>
        </is>
      </c>
      <c r="L109" s="8" t="inlineStr">
        <is>
          <t>ALLOXY ESPECIALIDADES QUIMICAS LTDA | 115/6 | PGTO REF. A COMPRA DE MATERIA PRIMA, PEROXIDO DE HIDROGENIO</t>
        </is>
      </c>
      <c r="M109" s="8" t="inlineStr">
        <is>
          <t>ALLOXY ESPECIALIDADES QUIMICAS LTDA - PGTO REF. A COMPRA DE MATERIA PRIMA, PEROXIDO DE HIDROGENIO</t>
        </is>
      </c>
    </row>
    <row r="110">
      <c r="A110" s="4" t="n">
        <v>109</v>
      </c>
      <c r="B110" s="4" t="inlineStr">
        <is>
          <t>14/01/2026</t>
        </is>
      </c>
      <c r="C110" s="4" t="inlineStr">
        <is>
          <t>PERMUTION MULTI SERVIÇOS E DISTRIBUIDORA LTDA PGTO REF. A COMPRA DE RESINA CATIONICA E CARVÃOATIVADO PARA TRATAMENTO DE ÁGUA</t>
        </is>
      </c>
      <c r="D110" s="5" t="n">
        <v>-1107.58</v>
      </c>
      <c r="E110" s="4" t="inlineStr">
        <is>
          <t>506</t>
        </is>
      </c>
      <c r="F110" s="4" t="inlineStr">
        <is>
          <t>FORNECEDORES DIVERSOS</t>
        </is>
      </c>
      <c r="G110" s="6" t="inlineStr">
        <is>
          <t>58</t>
        </is>
      </c>
      <c r="H110" s="4">
        <f>IFERROR(VLOOKUP(G110&amp;"",PLANO!A:B,2,FALSE),"CONTA NAO EXISTE NO PLANO")</f>
        <v/>
      </c>
      <c r="I110" s="4" t="inlineStr">
        <is>
          <t>506</t>
        </is>
      </c>
      <c r="J110" s="4" t="inlineStr">
        <is>
          <t>AJUSTADO</t>
        </is>
      </c>
      <c r="K110" s="4" t="inlineStr">
        <is>
          <t>material de consumo industrial (filtro, resina, lenha caldeira)</t>
        </is>
      </c>
      <c r="L110" s="4" t="inlineStr">
        <is>
          <t>PERMUTION MULTI SERVIÇOS E DISTRIBUIDORA LTDA | 115/16 | PGTO REF. A COMPRA DE RESINA CATIONICA E CARVÃO ATIVADO PARA TRATAMENTO DE ÁGUA</t>
        </is>
      </c>
      <c r="M110" s="4" t="inlineStr">
        <is>
          <t>PERMUTION MULTI SERVIÇOS E DISTRIBUIDORA LTDA - PGTO REF. A COMPRA DE RESINA CATIONICA E CARVÃO ATIVADO PARA TRATAMENTO DE ÁGUA</t>
        </is>
      </c>
    </row>
    <row r="111">
      <c r="A111" t="n">
        <v>110</v>
      </c>
      <c r="B111" t="inlineStr">
        <is>
          <t>14/01/2026</t>
        </is>
      </c>
      <c r="C111" t="inlineStr">
        <is>
          <t>INDUSTRIA QUIMICA ANASTACIO S A PGTO REF. A COMPRA DE MATERIA PRIMA, VASELINASOLIDA 340 KG, ERITORBATO DE SODIO 25 KG</t>
        </is>
      </c>
      <c r="D111" s="7" t="n">
        <v>-1928.78</v>
      </c>
      <c r="E111" t="inlineStr">
        <is>
          <t>506</t>
        </is>
      </c>
      <c r="F111" t="inlineStr">
        <is>
          <t>FORNECEDORES DIVERSOS</t>
        </is>
      </c>
      <c r="G111" s="2" t="inlineStr">
        <is>
          <t>506</t>
        </is>
      </c>
      <c r="H111">
        <f>IFERROR(VLOOKUP(G111&amp;"",PLANO!A:B,2,FALSE),"CONTA NAO EXISTE NO PLANO")</f>
        <v/>
      </c>
      <c r="I111" t="inlineStr">
        <is>
          <t>506</t>
        </is>
      </c>
      <c r="J111" t="inlineStr">
        <is>
          <t>OK</t>
        </is>
      </c>
      <c r="K111" t="inlineStr">
        <is>
          <t>fornecedor com NF</t>
        </is>
      </c>
      <c r="L111" t="inlineStr">
        <is>
          <t>INDUSTRIA QUIMICA ANASTACIO S A | 115/6 | PGTO REF. A COMPRA DE MATERIA PRIMA, VASELINA SOLIDA 340 KG, ERITORBATO DE SODIO 25 KG</t>
        </is>
      </c>
      <c r="M111" t="inlineStr">
        <is>
          <t>INDUSTRIA QUIMICA ANASTACIO S A - PGTO REF. A COMPRA DE MATERIA PRIMA, VASELINA SOLIDA 340 KG, ERITORBATO DE SODIO</t>
        </is>
      </c>
    </row>
    <row r="112">
      <c r="A112" t="n">
        <v>111</v>
      </c>
      <c r="B112" t="inlineStr">
        <is>
          <t>14/01/2026</t>
        </is>
      </c>
      <c r="C112" t="inlineStr">
        <is>
          <t>MULTIQUIM INDUSTRIA COMERCIO IMPORTACAO E EXP LTDAPGTO REF. A COMPRA DE ACIDO TIOGLICOLICO 160 KG</t>
        </is>
      </c>
      <c r="D112" s="7" t="n">
        <v>-5317.4</v>
      </c>
      <c r="E112" t="inlineStr">
        <is>
          <t>506</t>
        </is>
      </c>
      <c r="F112" t="inlineStr">
        <is>
          <t>FORNECEDORES DIVERSOS</t>
        </is>
      </c>
      <c r="G112" s="2" t="inlineStr">
        <is>
          <t>506</t>
        </is>
      </c>
      <c r="H112">
        <f>IFERROR(VLOOKUP(G112&amp;"",PLANO!A:B,2,FALSE),"CONTA NAO EXISTE NO PLANO")</f>
        <v/>
      </c>
      <c r="I112" t="inlineStr">
        <is>
          <t>506</t>
        </is>
      </c>
      <c r="J112" t="inlineStr">
        <is>
          <t>OK</t>
        </is>
      </c>
      <c r="K112" t="inlineStr">
        <is>
          <t>fornecedor com NF</t>
        </is>
      </c>
      <c r="L112" t="inlineStr">
        <is>
          <t>MULTIQUIM INDUSTRIA COMERCIO IMPORTACAO E EXP LTDA | 115/97 | PGTO REF. A COMPRA DE ACIDO TIOGLICOLICO 160 KG</t>
        </is>
      </c>
      <c r="M112" t="inlineStr">
        <is>
          <t>MULTIQUIM INDUSTRIA COMERCIO IMPORTACAO E EXP LTDA - PGTO REF. A COMPRA DE ACIDO TIOGLICOLICO 160 KG</t>
        </is>
      </c>
    </row>
    <row r="113">
      <c r="A113" t="n">
        <v>112</v>
      </c>
      <c r="B113" t="inlineStr">
        <is>
          <t>15/01/2026</t>
        </is>
      </c>
      <c r="C113" t="inlineStr">
        <is>
          <t>REF. A TED 363.0001.RNX F M D R</t>
        </is>
      </c>
      <c r="D113" s="7" t="n">
        <v>3633.7</v>
      </c>
      <c r="E113" t="inlineStr">
        <is>
          <t>504</t>
        </is>
      </c>
      <c r="F113" t="inlineStr">
        <is>
          <t>CLIENTES DIVERSOS</t>
        </is>
      </c>
      <c r="G113" s="2" t="inlineStr">
        <is>
          <t>504</t>
        </is>
      </c>
      <c r="H113">
        <f>IFERROR(VLOOKUP(G113&amp;"",PLANO!A:B,2,FALSE),"CONTA NAO EXISTE NO PLANO")</f>
        <v/>
      </c>
      <c r="I113" t="inlineStr">
        <is>
          <t>504</t>
        </is>
      </c>
      <c r="J113" t="inlineStr">
        <is>
          <t>SEM COSMOS</t>
        </is>
      </c>
      <c r="K113" t="inlineStr"/>
      <c r="L113" t="inlineStr"/>
      <c r="M113" t="inlineStr">
        <is>
          <t>TED 363.0001.RNX F M D R</t>
        </is>
      </c>
    </row>
    <row r="114">
      <c r="A114" t="n">
        <v>113</v>
      </c>
      <c r="B114" t="inlineStr">
        <is>
          <t>15/01/2026</t>
        </is>
      </c>
      <c r="C114" t="inlineStr">
        <is>
          <t>PROVITAL DO BRASIL COMERCIO DE INSUMOS PARA COSMETICOS LTDA. PGTO REF. A COMPRA DE MATERIA PRIMA, KERAPLUS 10KG</t>
        </is>
      </c>
      <c r="D114" s="7" t="n">
        <v>-4696.56</v>
      </c>
      <c r="E114" t="inlineStr">
        <is>
          <t>506</t>
        </is>
      </c>
      <c r="F114" t="inlineStr">
        <is>
          <t>FORNECEDORES DIVERSOS</t>
        </is>
      </c>
      <c r="G114" s="2" t="inlineStr">
        <is>
          <t>506</t>
        </is>
      </c>
      <c r="H114">
        <f>IFERROR(VLOOKUP(G114&amp;"",PLANO!A:B,2,FALSE),"CONTA NAO EXISTE NO PLANO")</f>
        <v/>
      </c>
      <c r="I114" t="inlineStr">
        <is>
          <t>506</t>
        </is>
      </c>
      <c r="J114" t="inlineStr">
        <is>
          <t>OK</t>
        </is>
      </c>
      <c r="K114" t="inlineStr">
        <is>
          <t>fornecedor com NF</t>
        </is>
      </c>
      <c r="L114" t="inlineStr">
        <is>
          <t>PROVITAL DO BRASIL COMERCIO DE INSUMOS PARA COSMETICOS LTDA. | 115/6 | PGTO REF. A COMPRA DE MATERIA PRIMA, KERAPLUS 10 KG</t>
        </is>
      </c>
      <c r="M114" t="inlineStr">
        <is>
          <t>PROVITAL DO BRASIL COMERCIO DE INSUMOS PARA COSMETICOS LTDA. - PGTO REF. A COMPRA DE MATERIA PRIMA, KERAPLUS 10 KG</t>
        </is>
      </c>
    </row>
    <row r="115">
      <c r="A115" s="8" t="n">
        <v>114</v>
      </c>
      <c r="B115" s="8" t="inlineStr">
        <is>
          <t>15/01/2026</t>
        </is>
      </c>
      <c r="C115" s="8" t="inlineStr">
        <is>
          <t>ACINFAZ  PaGTO REF. ASSOCIAÇÃO ACINFAZ</t>
        </is>
      </c>
      <c r="D115" s="9" t="n">
        <v>-99</v>
      </c>
      <c r="E115" s="8" t="inlineStr">
        <is>
          <t>364</t>
        </is>
      </c>
      <c r="F115" s="8" t="inlineStr">
        <is>
          <t>DESPESAS ADMINISTRATIVAS</t>
        </is>
      </c>
      <c r="G115" s="10" t="inlineStr">
        <is>
          <t>350</t>
        </is>
      </c>
      <c r="H115" s="8">
        <f>IFERROR(VLOOKUP(G115&amp;"",PLANO!A:B,2,FALSE),"CONTA NAO EXISTE NO PLANO")</f>
        <v/>
      </c>
      <c r="I115" s="8" t="inlineStr">
        <is>
          <t>350</t>
        </is>
      </c>
      <c r="J115" s="8" t="inlineStr">
        <is>
          <t>CORRIGIR</t>
        </is>
      </c>
      <c r="K115" s="8" t="inlineStr">
        <is>
          <t>categoria Cosmos 124</t>
        </is>
      </c>
      <c r="L115" s="8" t="inlineStr">
        <is>
          <t>ACINFAZ | 115/124 | PaGTO REF. ASSOCIAÇÃO ACINFAZ</t>
        </is>
      </c>
      <c r="M115" s="8" t="inlineStr">
        <is>
          <t>ACINFAZ - PaGTO REF. ASSOCIAÇÃO ACINFAZ</t>
        </is>
      </c>
    </row>
    <row r="116">
      <c r="A116" t="n">
        <v>115</v>
      </c>
      <c r="B116" t="inlineStr">
        <is>
          <t>15/01/2026</t>
        </is>
      </c>
      <c r="C116" t="inlineStr">
        <is>
          <t>AZUL LINHAS AEREAS BRASILEIRAS S.A. PAG REF A FRETE SOBRE VENDAS</t>
        </is>
      </c>
      <c r="D116" s="7" t="n">
        <v>-338.18</v>
      </c>
      <c r="E116" t="inlineStr">
        <is>
          <t>312</t>
        </is>
      </c>
      <c r="F116" t="inlineStr">
        <is>
          <t>FRETES E CARRETOS</t>
        </is>
      </c>
      <c r="G116" s="2" t="inlineStr">
        <is>
          <t>312</t>
        </is>
      </c>
      <c r="H116">
        <f>IFERROR(VLOOKUP(G116&amp;"",PLANO!A:B,2,FALSE),"CONTA NAO EXISTE NO PLANO")</f>
        <v/>
      </c>
      <c r="I116" t="inlineStr">
        <is>
          <t>312</t>
        </is>
      </c>
      <c r="J116" t="inlineStr">
        <is>
          <t>OK</t>
        </is>
      </c>
      <c r="K116" t="inlineStr">
        <is>
          <t>categoria Cosmos 97</t>
        </is>
      </c>
      <c r="L116" t="inlineStr">
        <is>
          <t>AZUL LINHAS AEREAS BRASILEIRAS S.A. | 115/97 | PAG REF A FRETE SOBRE VENDAS</t>
        </is>
      </c>
      <c r="M116" t="inlineStr">
        <is>
          <t>AZUL LINHAS AEREAS BRASILEIRAS S.A. - PAG REF A FRETE SOBRE VENDAS</t>
        </is>
      </c>
    </row>
    <row r="117">
      <c r="A117" t="n">
        <v>116</v>
      </c>
      <c r="B117" t="inlineStr">
        <is>
          <t>15/01/2026</t>
        </is>
      </c>
      <c r="C117" t="inlineStr">
        <is>
          <t>DENTAL UNI COOPERATIVA ODONTOLOGICA PGTO REF. PRESTAÇÃO DE SERVIÇOS</t>
        </is>
      </c>
      <c r="D117" s="7" t="n">
        <v>-244.51</v>
      </c>
      <c r="E117" t="inlineStr">
        <is>
          <t>628</t>
        </is>
      </c>
      <c r="F117" t="inlineStr">
        <is>
          <t>PLANO ODONTOLOGICO</t>
        </is>
      </c>
      <c r="G117" s="2" t="inlineStr">
        <is>
          <t>628</t>
        </is>
      </c>
      <c r="H117">
        <f>IFERROR(VLOOKUP(G117&amp;"",PLANO!A:B,2,FALSE),"CONTA NAO EXISTE NO PLANO")</f>
        <v/>
      </c>
      <c r="I117" t="inlineStr">
        <is>
          <t>628</t>
        </is>
      </c>
      <c r="J117" t="inlineStr">
        <is>
          <t>OK</t>
        </is>
      </c>
      <c r="K117" t="inlineStr">
        <is>
          <t>categoria Cosmos 89</t>
        </is>
      </c>
      <c r="L117" t="inlineStr">
        <is>
          <t>DENTAL UNI COOPERATIVA ODONTOLOGICA | 115/89 | PGTO REF. PRESTAÇÃO DE SERVIÇOS</t>
        </is>
      </c>
      <c r="M117" t="inlineStr">
        <is>
          <t>DENTAL UNI COOPERATIVA ODONTOLOGICA - PGTO REF. PRESTAÇÃO DE SERVIÇOS</t>
        </is>
      </c>
    </row>
    <row r="118">
      <c r="A118" s="11" t="n">
        <v>117</v>
      </c>
      <c r="B118" s="11" t="inlineStr">
        <is>
          <t>15/01/2026</t>
        </is>
      </c>
      <c r="C118" s="11" t="inlineStr">
        <is>
          <t>ECOPLUS - LAVANDERIA INDUSTRIAL - EIRELI PAGAMENTO REFERENTE A CONTRATO DE LIMPEZA DE PANOS</t>
        </is>
      </c>
      <c r="D118" s="12" t="n">
        <v>-624</v>
      </c>
      <c r="E118" s="11" t="inlineStr">
        <is>
          <t>506</t>
        </is>
      </c>
      <c r="F118" s="11" t="inlineStr">
        <is>
          <t>FORNECEDORES DIVERSOS</t>
        </is>
      </c>
      <c r="G118" s="13" t="inlineStr">
        <is>
          <t>506</t>
        </is>
      </c>
      <c r="H118" s="11">
        <f>IFERROR(VLOOKUP(G118&amp;"",PLANO!A:B,2,FALSE),"CONTA NAO EXISTE NO PLANO")</f>
        <v/>
      </c>
      <c r="I118" s="11" t="inlineStr">
        <is>
          <t>506</t>
        </is>
      </c>
      <c r="J118" s="11" t="inlineStr">
        <is>
          <t>MANTIDO</t>
        </is>
      </c>
      <c r="K118" s="11" t="inlineStr">
        <is>
          <t>servicos diversos (lavanderia, dedetizacao, contabilidade, Plus Sante) | mantida a conta atual (sem informacao que justifique troca)</t>
        </is>
      </c>
      <c r="L118" s="11" t="inlineStr">
        <is>
          <t>ECOPLUS LAVANDERIA INDUSTRIAL EIRELI | 115/45 | PAGAMENTO REFERENTE A CONTRATO DE LIMPEZA DE PANOS</t>
        </is>
      </c>
      <c r="M118" s="11" t="inlineStr">
        <is>
          <t>ECOPLUS LAVANDERIA INDUSTRIAL EIRELI - PAGAMENTO REFERENTE A CONTRATO DE LIMPEZA DE PANOS</t>
        </is>
      </c>
    </row>
    <row r="119">
      <c r="A119" t="n">
        <v>118</v>
      </c>
      <c r="B119" t="inlineStr">
        <is>
          <t>15/01/2026</t>
        </is>
      </c>
      <c r="C119" t="inlineStr">
        <is>
          <t>REF. A BOLETO PAGO ITAU UNIBANC</t>
        </is>
      </c>
      <c r="D119" s="7" t="n">
        <v>-10133.74</v>
      </c>
      <c r="E119" t="inlineStr">
        <is>
          <t>364</t>
        </is>
      </c>
      <c r="F119" t="inlineStr">
        <is>
          <t>DESPESAS ADMINISTRATIVAS</t>
        </is>
      </c>
      <c r="G119" s="2" t="inlineStr">
        <is>
          <t>364</t>
        </is>
      </c>
      <c r="H119">
        <f>IFERROR(VLOOKUP(G119&amp;"",PLANO!A:B,2,FALSE),"CONTA NAO EXISTE NO PLANO")</f>
        <v/>
      </c>
      <c r="I119" t="inlineStr">
        <is>
          <t>364</t>
        </is>
      </c>
      <c r="J119" t="inlineStr">
        <is>
          <t>SEM COSMOS</t>
        </is>
      </c>
      <c r="K119" t="inlineStr"/>
      <c r="L119" t="inlineStr"/>
      <c r="M119" t="inlineStr">
        <is>
          <t>BOLETO PAGO ITAU UNIBANC</t>
        </is>
      </c>
    </row>
    <row r="120">
      <c r="A120" s="4" t="n">
        <v>119</v>
      </c>
      <c r="B120" s="4" t="inlineStr">
        <is>
          <t>15/01/2026</t>
        </is>
      </c>
      <c r="C120" s="4" t="inlineStr">
        <is>
          <t>COPEL TELECOMUNICACOES S.A. PGTO REF.INTERNET DEDICADA</t>
        </is>
      </c>
      <c r="D120" s="5" t="n">
        <v>-559.92</v>
      </c>
      <c r="E120" s="4" t="inlineStr">
        <is>
          <t>555</t>
        </is>
      </c>
      <c r="F120" s="4" t="inlineStr">
        <is>
          <t>INTERNET</t>
        </is>
      </c>
      <c r="G120" s="6" t="inlineStr">
        <is>
          <t>555</t>
        </is>
      </c>
      <c r="H120" s="4">
        <f>IFERROR(VLOOKUP(G120&amp;"",PLANO!A:B,2,FALSE),"CONTA NAO EXISTE NO PLANO")</f>
        <v/>
      </c>
      <c r="I120" s="4" t="inlineStr">
        <is>
          <t>555</t>
        </is>
      </c>
      <c r="J120" s="4" t="inlineStr">
        <is>
          <t>AJUSTADO</t>
        </is>
      </c>
      <c r="K120" s="4" t="inlineStr">
        <is>
          <t>internet</t>
        </is>
      </c>
      <c r="L120" s="4" t="inlineStr">
        <is>
          <t>COPEL TELECOMUNICACOES S.A. | 115/47 | PGTO REF.INTERNET DEDICADA</t>
        </is>
      </c>
      <c r="M120" s="4" t="inlineStr">
        <is>
          <t>COPEL TELECOMUNICACOES S.A. - PGTO REF.INTERNET DEDICADA</t>
        </is>
      </c>
    </row>
    <row r="121">
      <c r="A121" t="n">
        <v>120</v>
      </c>
      <c r="B121" t="inlineStr">
        <is>
          <t>15/01/2026</t>
        </is>
      </c>
      <c r="C121" t="inlineStr">
        <is>
          <t>MASTER PUMPS EMBALAGENS COMERCIO IMPORTACAO E EXPORTACAO LTDA PGTO REF. A COMPRA DE EMBALAGEM</t>
        </is>
      </c>
      <c r="D121" s="7" t="n">
        <v>-714.62</v>
      </c>
      <c r="E121" t="inlineStr">
        <is>
          <t>506</t>
        </is>
      </c>
      <c r="F121" t="inlineStr">
        <is>
          <t>FORNECEDORES DIVERSOS</t>
        </is>
      </c>
      <c r="G121" s="2" t="inlineStr">
        <is>
          <t>506</t>
        </is>
      </c>
      <c r="H121">
        <f>IFERROR(VLOOKUP(G121&amp;"",PLANO!A:B,2,FALSE),"CONTA NAO EXISTE NO PLANO")</f>
        <v/>
      </c>
      <c r="I121" t="inlineStr">
        <is>
          <t>506</t>
        </is>
      </c>
      <c r="J121" t="inlineStr">
        <is>
          <t>OK</t>
        </is>
      </c>
      <c r="K121" t="inlineStr">
        <is>
          <t>fornecedor com NF</t>
        </is>
      </c>
      <c r="L121" t="inlineStr">
        <is>
          <t>MASTER PUMPS EMBALAGENS COMERCIO IMPORTACAO E EXPORTACAO LTDA | 115/9 | PGTO REF. A COMPRA DE EMBALAGEM</t>
        </is>
      </c>
      <c r="M121" t="inlineStr">
        <is>
          <t>MASTER PUMPS EMBALAGENS COMERCIO IMPORTACAO E EXPORTACAO LTDA - PGTO REF. A COMPRA DE EMBALAGEM</t>
        </is>
      </c>
    </row>
    <row r="122">
      <c r="A122" s="11" t="n">
        <v>121</v>
      </c>
      <c r="B122" s="11" t="inlineStr">
        <is>
          <t>15/01/2026</t>
        </is>
      </c>
      <c r="C122" s="11" t="inlineStr">
        <is>
          <t>FARMACIA E DROGARIA NISSEI LTDA 115 17 5 0,00 300,00 -371.890,30PGTO REF. CONVENIO FARMACIA COM DESCONTO EM FOLHA</t>
        </is>
      </c>
      <c r="D122" s="12" t="n">
        <v>-300</v>
      </c>
      <c r="E122" s="11" t="inlineStr">
        <is>
          <t>493</t>
        </is>
      </c>
      <c r="F122" s="11" t="inlineStr">
        <is>
          <t>DESPESAS DIVERSAS</t>
        </is>
      </c>
      <c r="G122" s="13" t="inlineStr">
        <is>
          <t>493</t>
        </is>
      </c>
      <c r="H122" s="11">
        <f>IFERROR(VLOOKUP(G122&amp;"",PLANO!A:B,2,FALSE),"CONTA NAO EXISTE NO PLANO")</f>
        <v/>
      </c>
      <c r="I122" s="11" t="inlineStr">
        <is>
          <t>493</t>
        </is>
      </c>
      <c r="J122" s="11" t="inlineStr">
        <is>
          <t>MANTIDO</t>
        </is>
      </c>
      <c r="K122" s="11" t="inlineStr">
        <is>
          <t>folha/convenio farmacia desconto em folha | mantida a conta atual (sem informacao que justifique troca)</t>
        </is>
      </c>
      <c r="L122" s="11" t="inlineStr">
        <is>
          <t>FARMACIA E DROGARIA NISSEI LTDA | 115/17 | PGTO REF. CONVENIO FARMACIA COM DESCONTO EM FOLHA</t>
        </is>
      </c>
      <c r="M122" s="11" t="inlineStr">
        <is>
          <t>FARMACIA E DROGARIA NISSEI LTDA - PGTO REF. CONVENIO FARMACIA COM DESCONTO EM FOLHA</t>
        </is>
      </c>
    </row>
    <row r="123">
      <c r="A123" s="11" t="n">
        <v>122</v>
      </c>
      <c r="B123" s="11" t="inlineStr">
        <is>
          <t>15/01/2026</t>
        </is>
      </c>
      <c r="C123" s="11" t="inlineStr">
        <is>
          <t>REAGEN PRODUTOS PARA LABORATORIOS EIRELI PGTO REF. A COMPRA DE MATERIA PRIMA, BISSSULFITODE SODIO 30KG</t>
        </is>
      </c>
      <c r="D123" s="12" t="n">
        <v>-420</v>
      </c>
      <c r="E123" s="11" t="inlineStr">
        <is>
          <t>506</t>
        </is>
      </c>
      <c r="F123" s="11" t="inlineStr">
        <is>
          <t>FORNECEDORES DIVERSOS</t>
        </is>
      </c>
      <c r="G123" s="13" t="inlineStr">
        <is>
          <t>506</t>
        </is>
      </c>
      <c r="H123" s="11">
        <f>IFERROR(VLOOKUP(G123&amp;"",PLANO!A:B,2,FALSE),"CONTA NAO EXISTE NO PLANO")</f>
        <v/>
      </c>
      <c r="I123" s="11" t="inlineStr">
        <is>
          <t>506</t>
        </is>
      </c>
      <c r="J123" s="11" t="inlineStr">
        <is>
          <t>MANTIDO</t>
        </is>
      </c>
      <c r="K123" s="11" t="inlineStr">
        <is>
          <t>material laboratorio/contratipagem | mantida a conta atual (sem informacao que justifique troca)</t>
        </is>
      </c>
      <c r="L123" s="11" t="inlineStr">
        <is>
          <t>REAGEN PRODUTOS PARA LABORATORIOS EIRELI | 115/103 | PGTO REF. A COMPRA DE MATERIA PRIMA, BISSSULFITO DE SODIO 30KG</t>
        </is>
      </c>
      <c r="M123" s="11" t="inlineStr">
        <is>
          <t>REAGEN PRODUTOS PARA LABORATORIOS EIRELI - PGTO REF. A COMPRA DE MATERIA PRIMA, BISSSULFITO DE SODIO 30KG</t>
        </is>
      </c>
    </row>
    <row r="124">
      <c r="A124" s="11" t="n">
        <v>123</v>
      </c>
      <c r="B124" s="11" t="inlineStr">
        <is>
          <t>15/01/2026</t>
        </is>
      </c>
      <c r="C124" s="11" t="inlineStr">
        <is>
          <t>REAGEN PRODUTOS PARA LABORATORIOS EIRELI PGTO REF. A COMPRA DE MATERIAL PARA LABORATÓRIO</t>
        </is>
      </c>
      <c r="D124" s="12" t="n">
        <v>-272</v>
      </c>
      <c r="E124" s="11" t="inlineStr">
        <is>
          <t>506</t>
        </is>
      </c>
      <c r="F124" s="11" t="inlineStr">
        <is>
          <t>FORNECEDORES DIVERSOS</t>
        </is>
      </c>
      <c r="G124" s="13" t="inlineStr">
        <is>
          <t>506</t>
        </is>
      </c>
      <c r="H124" s="11">
        <f>IFERROR(VLOOKUP(G124&amp;"",PLANO!A:B,2,FALSE),"CONTA NAO EXISTE NO PLANO")</f>
        <v/>
      </c>
      <c r="I124" s="11" t="inlineStr">
        <is>
          <t>506</t>
        </is>
      </c>
      <c r="J124" s="11" t="inlineStr">
        <is>
          <t>MANTIDO</t>
        </is>
      </c>
      <c r="K124" s="11" t="inlineStr">
        <is>
          <t>material laboratorio/contratipagem | mantida a conta atual (sem informacao que justifique troca)</t>
        </is>
      </c>
      <c r="L124" s="11" t="inlineStr">
        <is>
          <t>REAGEN PRODUTOS PARA LABORATORIOS EIRELI | 115/103 | PGTO REF. A COMPRA DE MATERIAL PARA LABORATÓRIO</t>
        </is>
      </c>
      <c r="M124" s="11" t="inlineStr">
        <is>
          <t>REAGEN PRODUTOS PARA LABORATORIOS EIRELI - PGTO REF. A COMPRA DE MATERIAL PARA LABORATÓRIO</t>
        </is>
      </c>
    </row>
    <row r="125">
      <c r="A125" s="11" t="n">
        <v>124</v>
      </c>
      <c r="B125" s="11" t="inlineStr">
        <is>
          <t>15/01/2026</t>
        </is>
      </c>
      <c r="C125" s="11" t="inlineStr">
        <is>
          <t>SAVATEC COMERCIO E SERVICOS LTDA PGTO REF. A PRESTAÇÃO DE SERVIÇO</t>
        </is>
      </c>
      <c r="D125" s="12" t="n">
        <v>-300</v>
      </c>
      <c r="E125" s="11" t="inlineStr">
        <is>
          <t>359</t>
        </is>
      </c>
      <c r="F125" s="11" t="inlineStr">
        <is>
          <t>MATERIAL DE ESCRITÓRIO</t>
        </is>
      </c>
      <c r="G125" s="13" t="inlineStr">
        <is>
          <t>359</t>
        </is>
      </c>
      <c r="H125" s="11">
        <f>IFERROR(VLOOKUP(G125&amp;"",PLANO!A:B,2,FALSE),"CONTA NAO EXISTE NO PLANO")</f>
        <v/>
      </c>
      <c r="I125" s="11" t="inlineStr">
        <is>
          <t>359</t>
        </is>
      </c>
      <c r="J125" s="11" t="inlineStr">
        <is>
          <t>MANTIDO</t>
        </is>
      </c>
      <c r="K125" s="11" t="inlineStr">
        <is>
          <t>material laboratorio/embalagem consumo | mantida a conta atual (sem informacao que justifique troca)</t>
        </is>
      </c>
      <c r="L125" s="11" t="inlineStr">
        <is>
          <t>SAVATEC COMERCIO E SERVICOS LTDA | 115/8 | PGTO REF. A PRESTAÇÃO DE SERVIÇO</t>
        </is>
      </c>
      <c r="M125" s="11" t="inlineStr">
        <is>
          <t>SAVATEC COMERCIO E SERVICOS LTDA - PGTO REF. A PRESTAÇÃO DE SERVIÇO</t>
        </is>
      </c>
    </row>
    <row r="126">
      <c r="A126" t="n">
        <v>125</v>
      </c>
      <c r="B126" t="inlineStr">
        <is>
          <t>15/01/2026</t>
        </is>
      </c>
      <c r="C126" t="inlineStr">
        <is>
          <t>TEX COURIER S.A PAG REF A FRETE SOBRE VENDAS</t>
        </is>
      </c>
      <c r="D126" s="7" t="n">
        <v>-499.06</v>
      </c>
      <c r="E126" t="inlineStr">
        <is>
          <t>312</t>
        </is>
      </c>
      <c r="F126" t="inlineStr">
        <is>
          <t>FRETES E CARRETOS</t>
        </is>
      </c>
      <c r="G126" s="2" t="inlineStr">
        <is>
          <t>312</t>
        </is>
      </c>
      <c r="H126">
        <f>IFERROR(VLOOKUP(G126&amp;"",PLANO!A:B,2,FALSE),"CONTA NAO EXISTE NO PLANO")</f>
        <v/>
      </c>
      <c r="I126" t="inlineStr">
        <is>
          <t>312</t>
        </is>
      </c>
      <c r="J126" t="inlineStr">
        <is>
          <t>OK</t>
        </is>
      </c>
      <c r="K126" t="inlineStr">
        <is>
          <t>categoria Cosmos 97</t>
        </is>
      </c>
      <c r="L126" t="inlineStr">
        <is>
          <t>TEX COURIER S.A | 115/97 | PAG REF A FRETE SOBRE VENDAS</t>
        </is>
      </c>
      <c r="M126" t="inlineStr">
        <is>
          <t>TEX COURIER S.A - PAG REF A FRETE SOBRE VENDAS</t>
        </is>
      </c>
    </row>
    <row r="127">
      <c r="A127" t="n">
        <v>126</v>
      </c>
      <c r="B127" t="inlineStr">
        <is>
          <t>16/01/2026</t>
        </is>
      </c>
      <c r="C127" t="inlineStr">
        <is>
          <t>REF. A MOV TIT COB DISP 16/01S</t>
        </is>
      </c>
      <c r="D127" s="7" t="n">
        <v>2398.24</v>
      </c>
      <c r="E127" t="inlineStr">
        <is>
          <t>504</t>
        </is>
      </c>
      <c r="F127" t="inlineStr">
        <is>
          <t>CLIENTES DIVERSOS</t>
        </is>
      </c>
      <c r="G127" s="2" t="inlineStr">
        <is>
          <t>504</t>
        </is>
      </c>
      <c r="H127">
        <f>IFERROR(VLOOKUP(G127&amp;"",PLANO!A:B,2,FALSE),"CONTA NAO EXISTE NO PLANO")</f>
        <v/>
      </c>
      <c r="I127" t="inlineStr">
        <is>
          <t>504</t>
        </is>
      </c>
      <c r="J127" t="inlineStr">
        <is>
          <t>SEM COSMOS</t>
        </is>
      </c>
      <c r="K127" t="inlineStr"/>
      <c r="L127" t="inlineStr"/>
      <c r="M127" t="inlineStr">
        <is>
          <t>MOV TIT COB DISP 16/01S</t>
        </is>
      </c>
    </row>
    <row r="128">
      <c r="A128" t="n">
        <v>127</v>
      </c>
      <c r="B128" t="inlineStr">
        <is>
          <t>16/01/2026</t>
        </is>
      </c>
      <c r="C128" t="inlineStr">
        <is>
          <t>REF. A PIX TRANSF R E S C16/01</t>
        </is>
      </c>
      <c r="D128" s="7" t="n">
        <v>5000</v>
      </c>
      <c r="E128" t="inlineStr">
        <is>
          <t>504</t>
        </is>
      </c>
      <c r="F128" t="inlineStr">
        <is>
          <t>CLIENTES DIVERSOS</t>
        </is>
      </c>
      <c r="G128" s="2" t="inlineStr">
        <is>
          <t>504</t>
        </is>
      </c>
      <c r="H128">
        <f>IFERROR(VLOOKUP(G128&amp;"",PLANO!A:B,2,FALSE),"CONTA NAO EXISTE NO PLANO")</f>
        <v/>
      </c>
      <c r="I128" t="inlineStr">
        <is>
          <t>504</t>
        </is>
      </c>
      <c r="J128" t="inlineStr">
        <is>
          <t>SEM COSMOS</t>
        </is>
      </c>
      <c r="K128" t="inlineStr"/>
      <c r="L128" t="inlineStr"/>
      <c r="M128" t="inlineStr">
        <is>
          <t>PIX TRANSF R E S C16/01</t>
        </is>
      </c>
    </row>
    <row r="129">
      <c r="A129" s="4" t="n">
        <v>128</v>
      </c>
      <c r="B129" s="4" t="inlineStr">
        <is>
          <t>19/01/2026</t>
        </is>
      </c>
      <c r="C129" s="4" t="inlineStr">
        <is>
          <t>REF. A SISPAG COSMETICON COMER (OUTRAS ENTRADAS)</t>
        </is>
      </c>
      <c r="D129" s="5" t="n">
        <v>20000</v>
      </c>
      <c r="E129" s="4" t="inlineStr">
        <is>
          <t>663</t>
        </is>
      </c>
      <c r="F129" s="4" t="inlineStr">
        <is>
          <t>EMPRESTIMO COSMETICON COMERCIO (31.494.732/0001-09)</t>
        </is>
      </c>
      <c r="G129" s="6" t="inlineStr">
        <is>
          <t>663</t>
        </is>
      </c>
      <c r="H129" s="4">
        <f>IFERROR(VLOOKUP(G129&amp;"",PLANO!A:B,2,FALSE),"CONTA NAO EXISTE NO PLANO")</f>
        <v/>
      </c>
      <c r="I129" s="4" t="inlineStr">
        <is>
          <t>663</t>
        </is>
      </c>
      <c r="J129" s="4" t="inlineStr">
        <is>
          <t>AJUSTADO</t>
        </is>
      </c>
      <c r="K129" s="4" t="inlineStr">
        <is>
          <t>COSMETICON - conta-corrente unica de mutuo (663)</t>
        </is>
      </c>
      <c r="L129" s="4" t="inlineStr">
        <is>
          <t xml:space="preserve">OUTRAS ENTRADAS | 122/71 | </t>
        </is>
      </c>
      <c r="M129" s="4" t="inlineStr">
        <is>
          <t>SISPAG COSMETICON COMER (OUTRAS ENTRADAS)</t>
        </is>
      </c>
    </row>
    <row r="130">
      <c r="A130" t="n">
        <v>129</v>
      </c>
      <c r="B130" t="inlineStr">
        <is>
          <t>19/01/2026</t>
        </is>
      </c>
      <c r="C130" t="inlineStr">
        <is>
          <t>REF. A MOV TIT COB DISP 19/01S</t>
        </is>
      </c>
      <c r="D130" s="7" t="n">
        <v>14287.53</v>
      </c>
      <c r="E130" t="inlineStr">
        <is>
          <t>504</t>
        </is>
      </c>
      <c r="F130" t="inlineStr">
        <is>
          <t>CLIENTES DIVERSOS</t>
        </is>
      </c>
      <c r="G130" s="2" t="inlineStr">
        <is>
          <t>504</t>
        </is>
      </c>
      <c r="H130">
        <f>IFERROR(VLOOKUP(G130&amp;"",PLANO!A:B,2,FALSE),"CONTA NAO EXISTE NO PLANO")</f>
        <v/>
      </c>
      <c r="I130" t="inlineStr">
        <is>
          <t>504</t>
        </is>
      </c>
      <c r="J130" t="inlineStr">
        <is>
          <t>SEM COSMOS</t>
        </is>
      </c>
      <c r="K130" t="inlineStr"/>
      <c r="L130" t="inlineStr"/>
      <c r="M130" t="inlineStr">
        <is>
          <t>MOV TIT COB DISP 19/01S</t>
        </is>
      </c>
    </row>
    <row r="131">
      <c r="A131" t="n">
        <v>130</v>
      </c>
      <c r="B131" t="inlineStr">
        <is>
          <t>19/01/2026</t>
        </is>
      </c>
      <c r="C131" t="inlineStr">
        <is>
          <t>REF. A TED 363.0001.RNX F M D R</t>
        </is>
      </c>
      <c r="D131" s="7" t="n">
        <v>8188.38</v>
      </c>
      <c r="E131" t="inlineStr">
        <is>
          <t>504</t>
        </is>
      </c>
      <c r="F131" t="inlineStr">
        <is>
          <t>CLIENTES DIVERSOS</t>
        </is>
      </c>
      <c r="G131" s="2" t="inlineStr">
        <is>
          <t>504</t>
        </is>
      </c>
      <c r="H131">
        <f>IFERROR(VLOOKUP(G131&amp;"",PLANO!A:B,2,FALSE),"CONTA NAO EXISTE NO PLANO")</f>
        <v/>
      </c>
      <c r="I131" t="inlineStr">
        <is>
          <t>504</t>
        </is>
      </c>
      <c r="J131" t="inlineStr">
        <is>
          <t>SEM COSMOS</t>
        </is>
      </c>
      <c r="K131" t="inlineStr"/>
      <c r="L131" t="inlineStr"/>
      <c r="M131" t="inlineStr">
        <is>
          <t>TED 363.0001.RNX F M D R</t>
        </is>
      </c>
    </row>
    <row r="132">
      <c r="A132" t="n">
        <v>131</v>
      </c>
      <c r="B132" t="inlineStr">
        <is>
          <t>19/01/2026</t>
        </is>
      </c>
      <c r="C132" t="inlineStr">
        <is>
          <t>HIGH CHEM COMERCIO E INDUSTRIA DE PRODUTOS QUIMICOS LTDA PGTO REF. A COMPRA DE MATERIA PRIMA, HAIR LINK10KG</t>
        </is>
      </c>
      <c r="D132" s="7" t="n">
        <v>-2207.4</v>
      </c>
      <c r="E132" t="inlineStr">
        <is>
          <t>506</t>
        </is>
      </c>
      <c r="F132" t="inlineStr">
        <is>
          <t>FORNECEDORES DIVERSOS</t>
        </is>
      </c>
      <c r="G132" s="2" t="inlineStr">
        <is>
          <t>506</t>
        </is>
      </c>
      <c r="H132">
        <f>IFERROR(VLOOKUP(G132&amp;"",PLANO!A:B,2,FALSE),"CONTA NAO EXISTE NO PLANO")</f>
        <v/>
      </c>
      <c r="I132" t="inlineStr">
        <is>
          <t>506</t>
        </is>
      </c>
      <c r="J132" t="inlineStr">
        <is>
          <t>OK</t>
        </is>
      </c>
      <c r="K132" t="inlineStr">
        <is>
          <t>fornecedor com NF</t>
        </is>
      </c>
      <c r="L132" t="inlineStr">
        <is>
          <t>HIGH CHEM COMERCIO E INDUSTRIA DE PRODUTOS QUIMICOS LTDA | 115/6 | PGTO REF. A COMPRA DE MATERIA PRIMA, HAIR LINK 10KG</t>
        </is>
      </c>
      <c r="M132" t="inlineStr">
        <is>
          <t>HIGH CHEM COMERCIO E INDUSTRIA DE PRODUTOS QUIMICOS LTDA - PGTO REF. A COMPRA DE MATERIA PRIMA, HAIR LINK 10KG</t>
        </is>
      </c>
    </row>
    <row r="133">
      <c r="A133" s="11" t="n">
        <v>132</v>
      </c>
      <c r="B133" s="11" t="inlineStr">
        <is>
          <t>19/01/2026</t>
        </is>
      </c>
      <c r="C133" s="11" t="inlineStr">
        <is>
          <t>FACTORING ALEXANDRE MAZZONI PGTO REF.A VALOR INICIAL DE 116.000,00 EM21/07/2015 E CONGELADO NA DATA DE 28/02/2024 ESERÁ PAGO EM 39 PARCELAS DE 15.000,00 POR MÊSACORDADO COM AS PATES CARLOS ALEXNDRE(PF) E MICHELMAZZONI(EMPRESA) E TESTEMUNHAS ALEXANDRE COLIN ECLAUDIA RUBIN.</t>
        </is>
      </c>
      <c r="D133" s="12" t="n">
        <v>-500</v>
      </c>
      <c r="E133" s="11" t="inlineStr">
        <is>
          <t>362</t>
        </is>
      </c>
      <c r="F133" s="11" t="inlineStr">
        <is>
          <t>SERVIÇOS PRESTADOS POR TERCEIROS</t>
        </is>
      </c>
      <c r="G133" s="13" t="inlineStr">
        <is>
          <t>362</t>
        </is>
      </c>
      <c r="H133" s="11">
        <f>IFERROR(VLOOKUP(G133&amp;"",PLANO!A:B,2,FALSE),"CONTA NAO EXISTE NO PLANO")</f>
        <v/>
      </c>
      <c r="I133" s="11" t="inlineStr">
        <is>
          <t>362</t>
        </is>
      </c>
      <c r="J133" s="11" t="inlineStr">
        <is>
          <t>MANTIDO</t>
        </is>
      </c>
      <c r="K133" s="11" t="inlineStr">
        <is>
          <t>socios Mazzoni (fora do contrato social) - mantido como estava</t>
        </is>
      </c>
      <c r="L133" s="11" t="inlineStr">
        <is>
          <t>FACTORING ALEXANDRE MAZZONI | 115/94 | PGTO REF.A VALOR INICIAL DE 116.000,00 EM 21/07/2015 E CONGELADO NA DATA DE 28/02/2024 E SERÁ PAGO EM 39 PARCELAS DE 15.</t>
        </is>
      </c>
      <c r="M133" s="11" t="inlineStr">
        <is>
          <t>FACTORING ALEXANDRE MAZZONI - PGTO REF.A VALOR INICIAL DE 116.000,00 EM 21/07/2015 E CONGELADO NA DATA DE 28/0</t>
        </is>
      </c>
    </row>
    <row r="134">
      <c r="A134" t="n">
        <v>133</v>
      </c>
      <c r="B134" t="inlineStr">
        <is>
          <t>19/01/2026</t>
        </is>
      </c>
      <c r="C134" t="inlineStr">
        <is>
          <t>COLOR WAY INDUSTRIA E COMERCIO LTDA PAGAMENTO REFERENTE A COMPRA DE PO DESCOLORANTE</t>
        </is>
      </c>
      <c r="D134" s="7" t="n">
        <v>-6147</v>
      </c>
      <c r="E134" t="inlineStr">
        <is>
          <t>506</t>
        </is>
      </c>
      <c r="F134" t="inlineStr">
        <is>
          <t>FORNECEDORES DIVERSOS</t>
        </is>
      </c>
      <c r="G134" s="2" t="inlineStr">
        <is>
          <t>506</t>
        </is>
      </c>
      <c r="H134">
        <f>IFERROR(VLOOKUP(G134&amp;"",PLANO!A:B,2,FALSE),"CONTA NAO EXISTE NO PLANO")</f>
        <v/>
      </c>
      <c r="I134" t="inlineStr">
        <is>
          <t>506</t>
        </is>
      </c>
      <c r="J134" t="inlineStr">
        <is>
          <t>OK</t>
        </is>
      </c>
      <c r="K134" t="inlineStr">
        <is>
          <t>fornecedor com NF</t>
        </is>
      </c>
      <c r="L134" t="inlineStr">
        <is>
          <t>COLOR WAY INDUSTRIA E COMERCIO LTDA | 115/6 | PAGAMENTO REFERENTE A COMPRA DE PO DESCOLORANTE</t>
        </is>
      </c>
      <c r="M134" t="inlineStr">
        <is>
          <t>COLOR WAY INDUSTRIA E COMERCIO LTDA - PAGAMENTO REFERENTE A COMPRA DE PO DESCOLORANTE</t>
        </is>
      </c>
    </row>
    <row r="135">
      <c r="A135" t="n">
        <v>134</v>
      </c>
      <c r="B135" t="inlineStr">
        <is>
          <t>19/01/2026</t>
        </is>
      </c>
      <c r="C135" t="inlineStr">
        <is>
          <t>ANDRADE ENGENHARIA LTDA. PGTO REF.SERVIÇOS PRESTADOS DE LICENÇAS AMBIENTAIS</t>
        </is>
      </c>
      <c r="D135" s="7" t="n">
        <v>-1199</v>
      </c>
      <c r="E135" t="inlineStr">
        <is>
          <t>362</t>
        </is>
      </c>
      <c r="F135" t="inlineStr">
        <is>
          <t>SERVIÇOS PRESTADOS POR TERCEIROS</t>
        </is>
      </c>
      <c r="G135" s="2" t="inlineStr">
        <is>
          <t>362</t>
        </is>
      </c>
      <c r="H135">
        <f>IFERROR(VLOOKUP(G135&amp;"",PLANO!A:B,2,FALSE),"CONTA NAO EXISTE NO PLANO")</f>
        <v/>
      </c>
      <c r="I135" t="inlineStr">
        <is>
          <t>362</t>
        </is>
      </c>
      <c r="J135" t="inlineStr">
        <is>
          <t>OK</t>
        </is>
      </c>
      <c r="K135" t="inlineStr">
        <is>
          <t>servico prestado</t>
        </is>
      </c>
      <c r="L135" t="inlineStr">
        <is>
          <t>ANDRADE ENGENHARIA LTDA. | 115/172 | PGTO REF.SERVIÇOS PRESTADOS DE LICENÇAS AMBIENTAIS</t>
        </is>
      </c>
      <c r="M135" t="inlineStr">
        <is>
          <t>ANDRADE ENGENHARIA LTDA. - PGTO REF.SERVIÇOS PRESTADOS DE LICENÇAS AMBIENTAIS</t>
        </is>
      </c>
    </row>
    <row r="136">
      <c r="A136" t="n">
        <v>135</v>
      </c>
      <c r="B136" t="inlineStr">
        <is>
          <t>19/01/2026</t>
        </is>
      </c>
      <c r="C136" t="inlineStr">
        <is>
          <t>BARENTZ BRASIL DISTRIBUIDORA LTDA PGTO REF. A COMPRA DE MATERIA PRIMA</t>
        </is>
      </c>
      <c r="D136" s="7" t="n">
        <v>-1566.62</v>
      </c>
      <c r="E136" t="inlineStr">
        <is>
          <t>506</t>
        </is>
      </c>
      <c r="F136" t="inlineStr">
        <is>
          <t>FORNECEDORES DIVERSOS</t>
        </is>
      </c>
      <c r="G136" s="2" t="inlineStr">
        <is>
          <t>506</t>
        </is>
      </c>
      <c r="H136">
        <f>IFERROR(VLOOKUP(G136&amp;"",PLANO!A:B,2,FALSE),"CONTA NAO EXISTE NO PLANO")</f>
        <v/>
      </c>
      <c r="I136" t="inlineStr">
        <is>
          <t>506</t>
        </is>
      </c>
      <c r="J136" t="inlineStr">
        <is>
          <t>OK</t>
        </is>
      </c>
      <c r="K136" t="inlineStr">
        <is>
          <t>fornecedor com NF</t>
        </is>
      </c>
      <c r="L136" t="inlineStr">
        <is>
          <t>BARENTZ BRASIL DISTRIBUIDORA LTDA | 115/6 | PGTO REF. A COMPRA DE MATERIA PRIMA</t>
        </is>
      </c>
      <c r="M136" t="inlineStr">
        <is>
          <t>BARENTZ BRASIL DISTRIBUIDORA LTDA - PGTO REF. A COMPRA DE MATERIA PRIMA</t>
        </is>
      </c>
    </row>
    <row r="137">
      <c r="A137" t="n">
        <v>136</v>
      </c>
      <c r="B137" t="inlineStr">
        <is>
          <t>19/01/2026</t>
        </is>
      </c>
      <c r="C137" t="inlineStr">
        <is>
          <t>CHEMYUNION LTDA PGTO REF. A COMPRA DE MATERIA PRIMA, UNIOX 200 KG</t>
        </is>
      </c>
      <c r="D137" s="7" t="n">
        <v>-4537.38</v>
      </c>
      <c r="E137" t="inlineStr">
        <is>
          <t>506</t>
        </is>
      </c>
      <c r="F137" t="inlineStr">
        <is>
          <t>FORNECEDORES DIVERSOS</t>
        </is>
      </c>
      <c r="G137" s="2" t="inlineStr">
        <is>
          <t>506</t>
        </is>
      </c>
      <c r="H137">
        <f>IFERROR(VLOOKUP(G137&amp;"",PLANO!A:B,2,FALSE),"CONTA NAO EXISTE NO PLANO")</f>
        <v/>
      </c>
      <c r="I137" t="inlineStr">
        <is>
          <t>506</t>
        </is>
      </c>
      <c r="J137" t="inlineStr">
        <is>
          <t>OK</t>
        </is>
      </c>
      <c r="K137" t="inlineStr">
        <is>
          <t>fornecedor com NF</t>
        </is>
      </c>
      <c r="L137" t="inlineStr">
        <is>
          <t>CHEMYUNION LTDA | 115/6 | PGTO REF. A COMPRA DE MATERIA PRIMA, UNIOX 200 KG</t>
        </is>
      </c>
      <c r="M137" t="inlineStr">
        <is>
          <t>CHEMYUNION LTDA - PGTO REF. A COMPRA DE MATERIA PRIMA, UNIOX 200 KG</t>
        </is>
      </c>
    </row>
    <row r="138">
      <c r="A138" s="4" t="n">
        <v>137</v>
      </c>
      <c r="B138" s="4" t="inlineStr">
        <is>
          <t>19/01/2026</t>
        </is>
      </c>
      <c r="C138" s="4" t="inlineStr">
        <is>
          <t>CRMTECH SISTEMAS DE INFORMACAO LTDA PGTO REF.SERVIÇOS PRESTADOS DE UTILIZAÇÃO SISTEMASCOSMOS</t>
        </is>
      </c>
      <c r="D138" s="5" t="n">
        <v>-2737.98</v>
      </c>
      <c r="E138" s="4" t="inlineStr">
        <is>
          <t>640</t>
        </is>
      </c>
      <c r="F138" s="4" t="inlineStr">
        <is>
          <t>SOFTWARE/SISTEMA</t>
        </is>
      </c>
      <c r="G138" s="6" t="inlineStr">
        <is>
          <t>640</t>
        </is>
      </c>
      <c r="H138" s="4">
        <f>IFERROR(VLOOKUP(G138&amp;"",PLANO!A:B,2,FALSE),"CONTA NAO EXISTE NO PLANO")</f>
        <v/>
      </c>
      <c r="I138" s="4" t="inlineStr">
        <is>
          <t>640</t>
        </is>
      </c>
      <c r="J138" s="4" t="inlineStr">
        <is>
          <t>AJUSTADO</t>
        </is>
      </c>
      <c r="K138" s="4" t="inlineStr">
        <is>
          <t>software/sistema (Cosmos cat. 47)</t>
        </is>
      </c>
      <c r="L138" s="4" t="inlineStr">
        <is>
          <t>CRMTECH SISTEMAS DE INFORMACAO LTDA | 115/47 | PGTO REF.SERVIÇOS PRESTADOS DE UTILIZAÇÃO SISTEMAS COSMOS</t>
        </is>
      </c>
      <c r="M138" s="4" t="inlineStr">
        <is>
          <t>CRMTECH SISTEMAS DE INFORMACAO LTDA - PGTO REF.SERVIÇOS PRESTADOS DE UTILIZAÇÃO SISTEMAS COSMOS</t>
        </is>
      </c>
    </row>
    <row r="139">
      <c r="A139" s="4" t="n">
        <v>138</v>
      </c>
      <c r="B139" s="4" t="inlineStr">
        <is>
          <t>19/01/2026</t>
        </is>
      </c>
      <c r="C139" s="4" t="inlineStr">
        <is>
          <t>CRMTECH SISTEMAS DE INFORMACAO LTDA PGTO REF.SERVIÇOS PRESTADOS DE UTILIZAÇÃO SISTEMASCOSMOS (ALTERAÇÃO DO SISTEMA - AJUSTES COMERCIAIS)</t>
        </is>
      </c>
      <c r="D139" s="5" t="n">
        <v>-1374</v>
      </c>
      <c r="E139" s="4" t="inlineStr">
        <is>
          <t>640</t>
        </is>
      </c>
      <c r="F139" s="4" t="inlineStr">
        <is>
          <t>SOFTWARE/SISTEMA</t>
        </is>
      </c>
      <c r="G139" s="6" t="inlineStr">
        <is>
          <t>640</t>
        </is>
      </c>
      <c r="H139" s="4">
        <f>IFERROR(VLOOKUP(G139&amp;"",PLANO!A:B,2,FALSE),"CONTA NAO EXISTE NO PLANO")</f>
        <v/>
      </c>
      <c r="I139" s="4" t="inlineStr">
        <is>
          <t>640</t>
        </is>
      </c>
      <c r="J139" s="4" t="inlineStr">
        <is>
          <t>AJUSTADO</t>
        </is>
      </c>
      <c r="K139" s="4" t="inlineStr">
        <is>
          <t>software/sistema (Cosmos cat. 47)</t>
        </is>
      </c>
      <c r="L139" s="4" t="inlineStr">
        <is>
          <t>CRMTECH SISTEMAS DE INFORMACAO LTDA | 115/47 | PGTO REF.SERVIÇOS PRESTADOS DE UTILIZAÇÃO SISTEMAS COSMOS (ALTERAÇÃO DO SISTEMA - AJUSTES COMERCIAIS)</t>
        </is>
      </c>
      <c r="M139" s="4" t="inlineStr">
        <is>
          <t>CRMTECH SISTEMAS DE INFORMACAO LTDA - PGTO REF.SERVIÇOS PRESTADOS DE UTILIZAÇÃO SISTEMAS COSMOS (ALTERAÇÃO DO SISTEMA</t>
        </is>
      </c>
    </row>
    <row r="140">
      <c r="A140" t="n">
        <v>139</v>
      </c>
      <c r="B140" t="inlineStr">
        <is>
          <t>19/01/2026</t>
        </is>
      </c>
      <c r="C140" t="inlineStr">
        <is>
          <t>EXPRESSO SAO MIGUEL LTDA PAG REF A FRETE SOBRE VENDAS NF 7479/ 7480/ 7483/7484/ 7485/7556 E 7557</t>
        </is>
      </c>
      <c r="D140" s="7" t="n">
        <v>-1206.69</v>
      </c>
      <c r="E140" t="inlineStr">
        <is>
          <t>312</t>
        </is>
      </c>
      <c r="F140" t="inlineStr">
        <is>
          <t>FRETES E CARRETOS</t>
        </is>
      </c>
      <c r="G140" s="2" t="inlineStr">
        <is>
          <t>312</t>
        </is>
      </c>
      <c r="H140">
        <f>IFERROR(VLOOKUP(G140&amp;"",PLANO!A:B,2,FALSE),"CONTA NAO EXISTE NO PLANO")</f>
        <v/>
      </c>
      <c r="I140" t="inlineStr">
        <is>
          <t>312</t>
        </is>
      </c>
      <c r="J140" t="inlineStr">
        <is>
          <t>OK</t>
        </is>
      </c>
      <c r="K140" t="inlineStr">
        <is>
          <t>categoria Cosmos 97</t>
        </is>
      </c>
      <c r="L140" t="inlineStr">
        <is>
          <t>EXPRESSO SAO MIGUEL LTDA | 115/97 | PAG REF A FRETE SOBRE VENDAS NF 7479/ 7480/ 7483/ 7484/ 7485/7556 E 7557</t>
        </is>
      </c>
      <c r="M140" t="inlineStr">
        <is>
          <t>EXPRESSO SAO MIGUEL LTDA - PAG REF A FRETE SOBRE VENDAS NF 7479/ 7480/ 7483/ 7484/ 7485/7556 E 7557</t>
        </is>
      </c>
    </row>
    <row r="141">
      <c r="A141" t="n">
        <v>140</v>
      </c>
      <c r="B141" t="inlineStr">
        <is>
          <t>19/01/2026</t>
        </is>
      </c>
      <c r="C141" t="inlineStr">
        <is>
          <t>H S INKLASER LTDA PGTO REF. A COMPRA DE CARTUCHO</t>
        </is>
      </c>
      <c r="D141" s="7" t="n">
        <v>-1080.75</v>
      </c>
      <c r="E141" t="inlineStr">
        <is>
          <t>506</t>
        </is>
      </c>
      <c r="F141" t="inlineStr">
        <is>
          <t>FORNECEDORES DIVERSOS</t>
        </is>
      </c>
      <c r="G141" s="2" t="inlineStr">
        <is>
          <t>506</t>
        </is>
      </c>
      <c r="H141">
        <f>IFERROR(VLOOKUP(G141&amp;"",PLANO!A:B,2,FALSE),"CONTA NAO EXISTE NO PLANO")</f>
        <v/>
      </c>
      <c r="I141" t="inlineStr">
        <is>
          <t>506</t>
        </is>
      </c>
      <c r="J141" t="inlineStr">
        <is>
          <t>OK</t>
        </is>
      </c>
      <c r="K141" t="inlineStr">
        <is>
          <t>fornecedor com NF</t>
        </is>
      </c>
      <c r="L141" t="inlineStr">
        <is>
          <t>H S INKLASER LTDA | 115/116 | PGTO REF. A COMPRA DE CARTUCHO</t>
        </is>
      </c>
      <c r="M141" t="inlineStr">
        <is>
          <t>H S INKLASER LTDA - PGTO REF. A COMPRA DE CARTUCHO</t>
        </is>
      </c>
    </row>
    <row r="142">
      <c r="A142" t="n">
        <v>141</v>
      </c>
      <c r="B142" t="inlineStr">
        <is>
          <t>19/01/2026</t>
        </is>
      </c>
      <c r="C142" t="inlineStr">
        <is>
          <t>REF. A BOLETO PAGO QUIMIFORMULA</t>
        </is>
      </c>
      <c r="D142" s="7" t="n">
        <v>-1257.78</v>
      </c>
      <c r="E142" t="inlineStr">
        <is>
          <t>506</t>
        </is>
      </c>
      <c r="F142" t="inlineStr">
        <is>
          <t>FORNECEDORES DIVERSOS</t>
        </is>
      </c>
      <c r="G142" s="2" t="inlineStr">
        <is>
          <t>506</t>
        </is>
      </c>
      <c r="H142">
        <f>IFERROR(VLOOKUP(G142&amp;"",PLANO!A:B,2,FALSE),"CONTA NAO EXISTE NO PLANO")</f>
        <v/>
      </c>
      <c r="I142" t="inlineStr">
        <is>
          <t>506</t>
        </is>
      </c>
      <c r="J142" t="inlineStr">
        <is>
          <t>SEM COSMOS</t>
        </is>
      </c>
      <c r="K142" t="inlineStr"/>
      <c r="L142" t="inlineStr"/>
      <c r="M142" t="inlineStr">
        <is>
          <t>BOLETO PAGO QUIMIFORMULA</t>
        </is>
      </c>
    </row>
    <row r="143">
      <c r="A143" s="11" t="n">
        <v>142</v>
      </c>
      <c r="B143" s="11" t="inlineStr">
        <is>
          <t>19/01/2026</t>
        </is>
      </c>
      <c r="C143" s="11" t="inlineStr">
        <is>
          <t>REAGEN PRODUTOS PARA LABORATORIOS EIRELI PGTO REF. A COMPRA DE MATERIA PRIMA</t>
        </is>
      </c>
      <c r="D143" s="12" t="n">
        <v>-1531.66</v>
      </c>
      <c r="E143" s="11" t="inlineStr">
        <is>
          <t>506</t>
        </is>
      </c>
      <c r="F143" s="11" t="inlineStr">
        <is>
          <t>FORNECEDORES DIVERSOS</t>
        </is>
      </c>
      <c r="G143" s="13" t="inlineStr">
        <is>
          <t>506</t>
        </is>
      </c>
      <c r="H143" s="11">
        <f>IFERROR(VLOOKUP(G143&amp;"",PLANO!A:B,2,FALSE),"CONTA NAO EXISTE NO PLANO")</f>
        <v/>
      </c>
      <c r="I143" s="11" t="inlineStr">
        <is>
          <t>506</t>
        </is>
      </c>
      <c r="J143" s="11" t="inlineStr">
        <is>
          <t>MANTIDO</t>
        </is>
      </c>
      <c r="K143" s="11" t="inlineStr">
        <is>
          <t>material laboratorio/contratipagem | mantida a conta atual (sem informacao que justifique troca)</t>
        </is>
      </c>
      <c r="L143" s="11" t="inlineStr">
        <is>
          <t>REAGEN PRODUTOS PARA LABORATORIOS EIRELI | 115/103 | PGTO REF. A COMPRA DE MATERIA PRIMA</t>
        </is>
      </c>
      <c r="M143" s="11" t="inlineStr">
        <is>
          <t>REAGEN PRODUTOS PARA LABORATORIOS EIRELI - PGTO REF. A COMPRA DE MATERIA PRIMA</t>
        </is>
      </c>
    </row>
    <row r="144">
      <c r="A144" t="n">
        <v>143</v>
      </c>
      <c r="B144" t="inlineStr">
        <is>
          <t>19/01/2026</t>
        </is>
      </c>
      <c r="C144" t="inlineStr">
        <is>
          <t>TNT MERCURIO CARGAS E ENCOMENDAS EXPRESSAS S/A PAG REF A FRETE SOBRE VENDAS NF 7519, 7513 E 7515</t>
        </is>
      </c>
      <c r="D144" s="7" t="n">
        <v>-449.04</v>
      </c>
      <c r="E144" t="inlineStr">
        <is>
          <t>312</t>
        </is>
      </c>
      <c r="F144" t="inlineStr">
        <is>
          <t>FRETES E CARRETOS</t>
        </is>
      </c>
      <c r="G144" s="2" t="inlineStr">
        <is>
          <t>312</t>
        </is>
      </c>
      <c r="H144">
        <f>IFERROR(VLOOKUP(G144&amp;"",PLANO!A:B,2,FALSE),"CONTA NAO EXISTE NO PLANO")</f>
        <v/>
      </c>
      <c r="I144" t="inlineStr">
        <is>
          <t>312</t>
        </is>
      </c>
      <c r="J144" t="inlineStr">
        <is>
          <t>OK</t>
        </is>
      </c>
      <c r="K144" t="inlineStr">
        <is>
          <t>categoria Cosmos 97</t>
        </is>
      </c>
      <c r="L144" t="inlineStr">
        <is>
          <t>TNT MERCURIO CARGAS E ENCOMENDAS EXPRESSAS S/A | 115/97 | PAG REF A FRETE SOBRE VENDAS NF 7519, 7513 E 7515</t>
        </is>
      </c>
      <c r="M144" t="inlineStr">
        <is>
          <t>TNT MERCURIO CARGAS E ENCOMENDAS EXPRESSAS S/A - PAG REF A FRETE SOBRE VENDAS NF 7519, 7513 E 7515</t>
        </is>
      </c>
    </row>
    <row r="145">
      <c r="A145" s="4" t="n">
        <v>144</v>
      </c>
      <c r="B145" s="4" t="inlineStr">
        <is>
          <t>19/01/2026</t>
        </is>
      </c>
      <c r="C145" s="4" t="inlineStr">
        <is>
          <t>VR BENEFICIOS E SERVICOS DE PROCESSAMENTO S.A PGTO REF. A SISTEMA PONTO</t>
        </is>
      </c>
      <c r="D145" s="5" t="n">
        <v>-179.1</v>
      </c>
      <c r="E145" s="4" t="inlineStr">
        <is>
          <t>640</t>
        </is>
      </c>
      <c r="F145" s="4" t="inlineStr">
        <is>
          <t>SOFTWARE/SISTEMA</t>
        </is>
      </c>
      <c r="G145" s="6" t="inlineStr">
        <is>
          <t>640</t>
        </is>
      </c>
      <c r="H145" s="4">
        <f>IFERROR(VLOOKUP(G145&amp;"",PLANO!A:B,2,FALSE),"CONTA NAO EXISTE NO PLANO")</f>
        <v/>
      </c>
      <c r="I145" s="4" t="inlineStr">
        <is>
          <t>640</t>
        </is>
      </c>
      <c r="J145" s="4" t="inlineStr">
        <is>
          <t>AJUSTADO</t>
        </is>
      </c>
      <c r="K145" s="4" t="inlineStr">
        <is>
          <t>software/sistema (Cosmos cat. 47)</t>
        </is>
      </c>
      <c r="L145" s="4" t="inlineStr">
        <is>
          <t>VR BENEFICIOS E SERVICOS DE PROCESSAMENTO S.A | 115/47 | PGTO REF. A SISTEMA PONTO</t>
        </is>
      </c>
      <c r="M145" s="4" t="inlineStr">
        <is>
          <t>VR BENEFICIOS E SERVICOS DE PROCESSAMENTO S.A - PGTO REF. A SISTEMA PONTO</t>
        </is>
      </c>
    </row>
    <row r="146">
      <c r="A146" t="n">
        <v>145</v>
      </c>
      <c r="B146" t="inlineStr">
        <is>
          <t>19/01/2026</t>
        </is>
      </c>
      <c r="C146" t="inlineStr">
        <is>
          <t>YAHWEH PRINT BRASIL LTDA PGTO REF. A COMPRA DE ROTULO CELULA TRONCO 250G3000 UNI</t>
        </is>
      </c>
      <c r="D146" s="7" t="n">
        <v>-693.0599999999999</v>
      </c>
      <c r="E146" t="inlineStr">
        <is>
          <t>506</t>
        </is>
      </c>
      <c r="F146" t="inlineStr">
        <is>
          <t>FORNECEDORES DIVERSOS</t>
        </is>
      </c>
      <c r="G146" s="2" t="inlineStr">
        <is>
          <t>506</t>
        </is>
      </c>
      <c r="H146">
        <f>IFERROR(VLOOKUP(G146&amp;"",PLANO!A:B,2,FALSE),"CONTA NAO EXISTE NO PLANO")</f>
        <v/>
      </c>
      <c r="I146" t="inlineStr">
        <is>
          <t>506</t>
        </is>
      </c>
      <c r="J146" t="inlineStr">
        <is>
          <t>OK</t>
        </is>
      </c>
      <c r="K146" t="inlineStr">
        <is>
          <t>fornecedor com NF</t>
        </is>
      </c>
      <c r="L146" t="inlineStr">
        <is>
          <t>YAHWEH PRINT BRASIL LTDA | 115/9 | PGTO REF. A COMPRA DE ROTULO CELULA TRONCO 250G 3000 UNI</t>
        </is>
      </c>
      <c r="M146" t="inlineStr">
        <is>
          <t>YAHWEH PRINT BRASIL LTDA - PGTO REF. A COMPRA DE ROTULO CELULA TRONCO 250G 3000 UNI</t>
        </is>
      </c>
    </row>
    <row r="147">
      <c r="A147" t="n">
        <v>146</v>
      </c>
      <c r="B147" t="inlineStr">
        <is>
          <t>20/01/2026</t>
        </is>
      </c>
      <c r="C147" t="inlineStr">
        <is>
          <t>REF. A MOV TIT COB DISP 20/01S</t>
        </is>
      </c>
      <c r="D147" s="7" t="n">
        <v>759.3</v>
      </c>
      <c r="E147" t="inlineStr">
        <is>
          <t>504</t>
        </is>
      </c>
      <c r="F147" t="inlineStr">
        <is>
          <t>CLIENTES DIVERSOS</t>
        </is>
      </c>
      <c r="G147" s="2" t="inlineStr">
        <is>
          <t>504</t>
        </is>
      </c>
      <c r="H147">
        <f>IFERROR(VLOOKUP(G147&amp;"",PLANO!A:B,2,FALSE),"CONTA NAO EXISTE NO PLANO")</f>
        <v/>
      </c>
      <c r="I147" t="inlineStr">
        <is>
          <t>504</t>
        </is>
      </c>
      <c r="J147" t="inlineStr">
        <is>
          <t>SEM COSMOS</t>
        </is>
      </c>
      <c r="K147" t="inlineStr"/>
      <c r="L147" t="inlineStr"/>
      <c r="M147" t="inlineStr">
        <is>
          <t>MOV TIT COB DISP 20/01S</t>
        </is>
      </c>
    </row>
    <row r="148">
      <c r="A148" t="n">
        <v>147</v>
      </c>
      <c r="B148" t="inlineStr">
        <is>
          <t>20/01/2026</t>
        </is>
      </c>
      <c r="C148" t="inlineStr">
        <is>
          <t>FGTS PGTO REF.FGTS S/13 SALÁRIO</t>
        </is>
      </c>
      <c r="D148" s="7" t="n">
        <v>-1751.36</v>
      </c>
      <c r="E148" t="inlineStr">
        <is>
          <t>192</t>
        </is>
      </c>
      <c r="F148" t="inlineStr">
        <is>
          <t>FGTS A RECOLHER</t>
        </is>
      </c>
      <c r="G148" s="2" t="inlineStr">
        <is>
          <t>192</t>
        </is>
      </c>
      <c r="H148">
        <f>IFERROR(VLOOKUP(G148&amp;"",PLANO!A:B,2,FALSE),"CONTA NAO EXISTE NO PLANO")</f>
        <v/>
      </c>
      <c r="I148" t="inlineStr">
        <is>
          <t>192</t>
        </is>
      </c>
      <c r="J148" t="inlineStr">
        <is>
          <t>OK</t>
        </is>
      </c>
      <c r="K148" t="inlineStr">
        <is>
          <t>categoria Cosmos 39</t>
        </is>
      </c>
      <c r="L148" t="inlineStr">
        <is>
          <t>FGTS | 115/39 | PGTO REF.FGTS S/13 SALÁRIO</t>
        </is>
      </c>
      <c r="M148" t="inlineStr">
        <is>
          <t>FGTS - PGTO REF.FGTS S/13 SALÁRIO</t>
        </is>
      </c>
    </row>
    <row r="149">
      <c r="A149" s="8" t="n">
        <v>148</v>
      </c>
      <c r="B149" s="8" t="inlineStr">
        <is>
          <t>20/01/2026</t>
        </is>
      </c>
      <c r="C149" s="8" t="inlineStr">
        <is>
          <t>CAIXA ECONOMICA FEDERAL PGTO REF.FGTS S/FOLHA DE PAGAMENTO</t>
        </is>
      </c>
      <c r="D149" s="9" t="n">
        <v>-3677.64</v>
      </c>
      <c r="E149" s="8" t="inlineStr">
        <is>
          <t>555</t>
        </is>
      </c>
      <c r="F149" s="8" t="inlineStr">
        <is>
          <t>INTERNET</t>
        </is>
      </c>
      <c r="G149" s="10" t="inlineStr">
        <is>
          <t>192</t>
        </is>
      </c>
      <c r="H149" s="8">
        <f>IFERROR(VLOOKUP(G149&amp;"",PLANO!A:B,2,FALSE),"CONTA NAO EXISTE NO PLANO")</f>
        <v/>
      </c>
      <c r="I149" s="8" t="inlineStr">
        <is>
          <t>192</t>
        </is>
      </c>
      <c r="J149" s="8" t="inlineStr">
        <is>
          <t>CORRIGIR</t>
        </is>
      </c>
      <c r="K149" s="8" t="inlineStr">
        <is>
          <t>categoria Cosmos 39</t>
        </is>
      </c>
      <c r="L149" s="8" t="inlineStr">
        <is>
          <t>CAIXA ECONOMICA FEDERAL | 115/39 | PGTO REF.FGTS S/FOLHA DE PAGAMENTO</t>
        </is>
      </c>
      <c r="M149" s="8" t="inlineStr">
        <is>
          <t>CAIXA ECONOMICA FEDERAL - PGTO REF.FGTS S/FOLHA DE PAGAMENTO</t>
        </is>
      </c>
    </row>
    <row r="150">
      <c r="A150" t="n">
        <v>149</v>
      </c>
      <c r="B150" t="inlineStr">
        <is>
          <t>20/01/2026</t>
        </is>
      </c>
      <c r="C150" t="inlineStr">
        <is>
          <t>BARENTZ BRASIL DISTRIBUIDORA LTDA 115 6 7 0,00 306,73 -388.915,57PGTO REF. A COMPRA DE MATERIA PRIMA BENZOFENONA 4,4KG</t>
        </is>
      </c>
      <c r="D150" s="7" t="n">
        <v>-306.73</v>
      </c>
      <c r="E150" t="inlineStr">
        <is>
          <t>506</t>
        </is>
      </c>
      <c r="F150" t="inlineStr">
        <is>
          <t>FORNECEDORES DIVERSOS</t>
        </is>
      </c>
      <c r="G150" s="2" t="inlineStr">
        <is>
          <t>506</t>
        </is>
      </c>
      <c r="H150">
        <f>IFERROR(VLOOKUP(G150&amp;"",PLANO!A:B,2,FALSE),"CONTA NAO EXISTE NO PLANO")</f>
        <v/>
      </c>
      <c r="I150" t="inlineStr">
        <is>
          <t>506</t>
        </is>
      </c>
      <c r="J150" t="inlineStr">
        <is>
          <t>OK</t>
        </is>
      </c>
      <c r="K150" t="inlineStr">
        <is>
          <t>fornecedor com NF</t>
        </is>
      </c>
      <c r="L150" t="inlineStr">
        <is>
          <t>BARENTZ BRASIL DISTRIBUIDORA LTDA | 115/6 | PGTO REF. A COMPRA DE MATERIA PRIMA BENZOFENONA 4, 4KG</t>
        </is>
      </c>
      <c r="M150" t="inlineStr">
        <is>
          <t>BARENTZ BRASIL DISTRIBUIDORA LTDA - PGTO REF. A COMPRA DE MATERIA PRIMA BENZOFENONA 4, 4KG</t>
        </is>
      </c>
    </row>
    <row r="151">
      <c r="A151" s="11" t="n">
        <v>150</v>
      </c>
      <c r="B151" s="11" t="inlineStr">
        <is>
          <t>20/01/2026</t>
        </is>
      </c>
      <c r="C151" s="11" t="inlineStr">
        <is>
          <t>ESTRE AMBIENTAL S/A EM RECUPERACAO JUDICIAL PGTO REF. A PRESTAÇÃO DE SERVIÇOS A COLETO DERESIDUOS</t>
        </is>
      </c>
      <c r="D151" s="12" t="n">
        <v>-181.74</v>
      </c>
      <c r="E151" s="11" t="inlineStr">
        <is>
          <t>506</t>
        </is>
      </c>
      <c r="F151" s="11" t="inlineStr">
        <is>
          <t>FORNECEDORES DIVERSOS</t>
        </is>
      </c>
      <c r="G151" s="13" t="inlineStr">
        <is>
          <t>506</t>
        </is>
      </c>
      <c r="H151" s="11">
        <f>IFERROR(VLOOKUP(G151&amp;"",PLANO!A:B,2,FALSE),"CONTA NAO EXISTE NO PLANO")</f>
        <v/>
      </c>
      <c r="I151" s="11" t="inlineStr">
        <is>
          <t>506</t>
        </is>
      </c>
      <c r="J151" s="11" t="inlineStr">
        <is>
          <t>MANTIDO</t>
        </is>
      </c>
      <c r="K151" s="11" t="inlineStr">
        <is>
          <t>servicos diversos (lavanderia, dedetizacao, contabilidade, Plus Sante) | mantida a conta atual (sem informacao que justifique troca)</t>
        </is>
      </c>
      <c r="L151" s="11" t="inlineStr">
        <is>
          <t>ESTRE AMBIENTAL S/A EM RECUPERACAO JUDICIAL | 115/45 | PGTO REF. A PRESTAÇÃO DE SERVIÇOS A COLETO DE RESIDUOS</t>
        </is>
      </c>
      <c r="M151" s="11" t="inlineStr">
        <is>
          <t>ESTRE AMBIENTAL S/A EM RECUPERACAO JUDICIAL - PGTO REF. A PRESTAÇÃO DE SERVIÇOS A COLETO DE RESIDUOS</t>
        </is>
      </c>
    </row>
    <row r="152">
      <c r="A152" s="11" t="n">
        <v>151</v>
      </c>
      <c r="B152" s="11" t="inlineStr">
        <is>
          <t>20/01/2026</t>
        </is>
      </c>
      <c r="C152" s="11" t="inlineStr">
        <is>
          <t>REAGEN PRODUTOS PARA LABORATORIOS EIRELI PGTO REF. A COMPRA DE MATERIAL PATRA LABORATÓRIO</t>
        </is>
      </c>
      <c r="D152" s="12" t="n">
        <v>-202.67</v>
      </c>
      <c r="E152" s="11" t="inlineStr">
        <is>
          <t>506</t>
        </is>
      </c>
      <c r="F152" s="11" t="inlineStr">
        <is>
          <t>FORNECEDORES DIVERSOS</t>
        </is>
      </c>
      <c r="G152" s="13" t="inlineStr">
        <is>
          <t>506</t>
        </is>
      </c>
      <c r="H152" s="11">
        <f>IFERROR(VLOOKUP(G152&amp;"",PLANO!A:B,2,FALSE),"CONTA NAO EXISTE NO PLANO")</f>
        <v/>
      </c>
      <c r="I152" s="11" t="inlineStr">
        <is>
          <t>506</t>
        </is>
      </c>
      <c r="J152" s="11" t="inlineStr">
        <is>
          <t>MANTIDO</t>
        </is>
      </c>
      <c r="K152" s="11" t="inlineStr">
        <is>
          <t>material laboratorio/contratipagem | mantida a conta atual (sem informacao que justifique troca)</t>
        </is>
      </c>
      <c r="L152" s="11" t="inlineStr">
        <is>
          <t>REAGEN PRODUTOS PARA LABORATORIOS EIRELI | 115/103 | PGTO REF. A COMPRA DE MATERIAL PATRA LABORATÓRIO</t>
        </is>
      </c>
      <c r="M152" s="11" t="inlineStr">
        <is>
          <t>REAGEN PRODUTOS PARA LABORATORIOS EIRELI - PGTO REF. A COMPRA DE MATERIAL PATRA LABORATÓRIO</t>
        </is>
      </c>
    </row>
    <row r="153">
      <c r="A153" t="n">
        <v>152</v>
      </c>
      <c r="B153" t="inlineStr">
        <is>
          <t>20/01/2026</t>
        </is>
      </c>
      <c r="C153" t="inlineStr">
        <is>
          <t>REF. A BOLETO PAGO TRANSAL TRAN</t>
        </is>
      </c>
      <c r="D153" s="7" t="n">
        <v>-599.52</v>
      </c>
      <c r="E153" t="inlineStr">
        <is>
          <t>312</t>
        </is>
      </c>
      <c r="F153" t="inlineStr">
        <is>
          <t>FRETES E CARRETOS</t>
        </is>
      </c>
      <c r="G153" s="2" t="inlineStr">
        <is>
          <t>312</t>
        </is>
      </c>
      <c r="H153">
        <f>IFERROR(VLOOKUP(G153&amp;"",PLANO!A:B,2,FALSE),"CONTA NAO EXISTE NO PLANO")</f>
        <v/>
      </c>
      <c r="I153" t="inlineStr">
        <is>
          <t>312</t>
        </is>
      </c>
      <c r="J153" t="inlineStr">
        <is>
          <t>SEM COSMOS</t>
        </is>
      </c>
      <c r="K153" t="inlineStr"/>
      <c r="L153" t="inlineStr"/>
      <c r="M153" t="inlineStr">
        <is>
          <t>BOLETO PAGO TRANSAL TRAN</t>
        </is>
      </c>
    </row>
    <row r="154">
      <c r="A154" t="n">
        <v>153</v>
      </c>
      <c r="B154" t="inlineStr">
        <is>
          <t>20/01/2026</t>
        </is>
      </c>
      <c r="C154" t="inlineStr">
        <is>
          <t>YAHWEH PRINT BRASIL LTDA PGTO REF. A COMPRA DE ROTULO</t>
        </is>
      </c>
      <c r="D154" s="7" t="n">
        <v>-1329.18</v>
      </c>
      <c r="E154" t="inlineStr">
        <is>
          <t>506</t>
        </is>
      </c>
      <c r="F154" t="inlineStr">
        <is>
          <t>FORNECEDORES DIVERSOS</t>
        </is>
      </c>
      <c r="G154" s="2" t="inlineStr">
        <is>
          <t>506</t>
        </is>
      </c>
      <c r="H154">
        <f>IFERROR(VLOOKUP(G154&amp;"",PLANO!A:B,2,FALSE),"CONTA NAO EXISTE NO PLANO")</f>
        <v/>
      </c>
      <c r="I154" t="inlineStr">
        <is>
          <t>506</t>
        </is>
      </c>
      <c r="J154" t="inlineStr">
        <is>
          <t>OK</t>
        </is>
      </c>
      <c r="K154" t="inlineStr">
        <is>
          <t>fornecedor com NF</t>
        </is>
      </c>
      <c r="L154" t="inlineStr">
        <is>
          <t>YAHWEH PRINT BRASIL LTDA | 115/9 | PGTO REF. A COMPRA DE ROTULO</t>
        </is>
      </c>
      <c r="M154" t="inlineStr">
        <is>
          <t>YAHWEH PRINT BRASIL LTDA - PGTO REF. A COMPRA DE ROTULO</t>
        </is>
      </c>
    </row>
    <row r="155">
      <c r="A155" t="n">
        <v>154</v>
      </c>
      <c r="B155" t="inlineStr">
        <is>
          <t>21/01/2026</t>
        </is>
      </c>
      <c r="C155" t="inlineStr">
        <is>
          <t>REF. A PIX TRANSF R E S C21/01</t>
        </is>
      </c>
      <c r="D155" s="7" t="n">
        <v>10000</v>
      </c>
      <c r="E155" t="inlineStr">
        <is>
          <t>504</t>
        </is>
      </c>
      <c r="F155" t="inlineStr">
        <is>
          <t>CLIENTES DIVERSOS</t>
        </is>
      </c>
      <c r="G155" s="2" t="inlineStr">
        <is>
          <t>504</t>
        </is>
      </c>
      <c r="H155">
        <f>IFERROR(VLOOKUP(G155&amp;"",PLANO!A:B,2,FALSE),"CONTA NAO EXISTE NO PLANO")</f>
        <v/>
      </c>
      <c r="I155" t="inlineStr">
        <is>
          <t>504</t>
        </is>
      </c>
      <c r="J155" t="inlineStr">
        <is>
          <t>SEM COSMOS</t>
        </is>
      </c>
      <c r="K155" t="inlineStr"/>
      <c r="L155" t="inlineStr"/>
      <c r="M155" t="inlineStr">
        <is>
          <t>PIX TRANSF R E S C21/01</t>
        </is>
      </c>
    </row>
    <row r="156">
      <c r="A156" t="n">
        <v>155</v>
      </c>
      <c r="B156" t="inlineStr">
        <is>
          <t>21/01/2026</t>
        </is>
      </c>
      <c r="C156" t="inlineStr">
        <is>
          <t>REF. A TED 363.0001.RNX F M D R</t>
        </is>
      </c>
      <c r="D156" s="7" t="n">
        <v>9728.66</v>
      </c>
      <c r="E156" t="inlineStr">
        <is>
          <t>504</t>
        </is>
      </c>
      <c r="F156" t="inlineStr">
        <is>
          <t>CLIENTES DIVERSOS</t>
        </is>
      </c>
      <c r="G156" s="2" t="inlineStr">
        <is>
          <t>504</t>
        </is>
      </c>
      <c r="H156">
        <f>IFERROR(VLOOKUP(G156&amp;"",PLANO!A:B,2,FALSE),"CONTA NAO EXISTE NO PLANO")</f>
        <v/>
      </c>
      <c r="I156" t="inlineStr">
        <is>
          <t>504</t>
        </is>
      </c>
      <c r="J156" t="inlineStr">
        <is>
          <t>SEM COSMOS</t>
        </is>
      </c>
      <c r="K156" t="inlineStr"/>
      <c r="L156" t="inlineStr"/>
      <c r="M156" t="inlineStr">
        <is>
          <t>TED 363.0001.RNX F M D R</t>
        </is>
      </c>
    </row>
    <row r="157">
      <c r="A157" t="n">
        <v>156</v>
      </c>
      <c r="B157" t="inlineStr">
        <is>
          <t>21/01/2026</t>
        </is>
      </c>
      <c r="C157" t="inlineStr">
        <is>
          <t>SKIN LAB INDUSTRIA E COMERCIO DE COSMETICOS LTDA 115 6 7 0,00 5.291,25 -417.885,24PAGAMENTO REFERENTE A COMPRA DE MATERIA PRIMA,UNIOX POLAWAX 200KG, VASELINA 170KG</t>
        </is>
      </c>
      <c r="D157" s="7" t="n">
        <v>-5291.25</v>
      </c>
      <c r="E157" t="inlineStr">
        <is>
          <t>506</t>
        </is>
      </c>
      <c r="F157" t="inlineStr">
        <is>
          <t>FORNECEDORES DIVERSOS</t>
        </is>
      </c>
      <c r="G157" s="2" t="inlineStr">
        <is>
          <t>506</t>
        </is>
      </c>
      <c r="H157">
        <f>IFERROR(VLOOKUP(G157&amp;"",PLANO!A:B,2,FALSE),"CONTA NAO EXISTE NO PLANO")</f>
        <v/>
      </c>
      <c r="I157" t="inlineStr">
        <is>
          <t>506</t>
        </is>
      </c>
      <c r="J157" t="inlineStr">
        <is>
          <t>OK</t>
        </is>
      </c>
      <c r="K157" t="inlineStr">
        <is>
          <t>fornecedor com NF</t>
        </is>
      </c>
      <c r="L157" t="inlineStr">
        <is>
          <t>SKIN LAB INDUSTRIA E COMERCIO DE COSMETICOS LTDA | 115/6 | PAGAMENTO REFERENTE A COMPRA DE MATERIA PRIMA, UNIOX POLAWAX 200KG, VASELINA 170KG</t>
        </is>
      </c>
      <c r="M157" t="inlineStr">
        <is>
          <t>SKIN LAB INDUSTRIA E COMERCIO DE COSMETICOS LTDA - PAGAMENTO REFERENTE A COMPRA DE MATERIA PRIMA, UNIOX POLAWAX 200KG, VASELINA 170</t>
        </is>
      </c>
    </row>
    <row r="158">
      <c r="A158" t="n">
        <v>157</v>
      </c>
      <c r="B158" t="inlineStr">
        <is>
          <t>21/01/2026</t>
        </is>
      </c>
      <c r="C158" t="inlineStr">
        <is>
          <t>PHYTOESSENCE FRAGRANCIAS LTDA. 115 6 4 0,00 829,50 -422.840,34PAGAMENTO REFERENTE A COMPRA DE FRAGRANCIA, 5KG</t>
        </is>
      </c>
      <c r="D158" s="7" t="n">
        <v>-829.51</v>
      </c>
      <c r="E158" t="inlineStr">
        <is>
          <t>506</t>
        </is>
      </c>
      <c r="F158" t="inlineStr">
        <is>
          <t>FORNECEDORES DIVERSOS</t>
        </is>
      </c>
      <c r="G158" s="2" t="inlineStr">
        <is>
          <t>506</t>
        </is>
      </c>
      <c r="H158">
        <f>IFERROR(VLOOKUP(G158&amp;"",PLANO!A:B,2,FALSE),"CONTA NAO EXISTE NO PLANO")</f>
        <v/>
      </c>
      <c r="I158" t="inlineStr">
        <is>
          <t>506</t>
        </is>
      </c>
      <c r="J158" t="inlineStr">
        <is>
          <t>SEM COSMOS</t>
        </is>
      </c>
      <c r="K158" t="inlineStr"/>
      <c r="L158" t="inlineStr"/>
      <c r="M158" t="inlineStr">
        <is>
          <t>PHYTOESSENCE FRAGRANCIAS LTDA. 115 6 4 0,00 829,50 -422.840,34PAGAMENTO REFERENTE A COMPRA DE FRAGRANCIA, 5KG</t>
        </is>
      </c>
    </row>
    <row r="159">
      <c r="A159" t="n">
        <v>158</v>
      </c>
      <c r="B159" t="inlineStr">
        <is>
          <t>21/01/2026</t>
        </is>
      </c>
      <c r="C159" t="inlineStr">
        <is>
          <t>INNOVARTH COMERCIO DE PRODUTOS QUIMICOS LTDA 115 6 4 0,00 1.264,00 -422.010,84PAGAMENTO EFERENTE A COMPRA DE MATERIA PRIMA, EDTATETRASSODICO 50KG</t>
        </is>
      </c>
      <c r="D159" s="7" t="n">
        <v>-1264</v>
      </c>
      <c r="E159" t="inlineStr">
        <is>
          <t>506</t>
        </is>
      </c>
      <c r="F159" t="inlineStr">
        <is>
          <t>FORNECEDORES DIVERSOS</t>
        </is>
      </c>
      <c r="G159" s="2" t="inlineStr">
        <is>
          <t>506</t>
        </is>
      </c>
      <c r="H159">
        <f>IFERROR(VLOOKUP(G159&amp;"",PLANO!A:B,2,FALSE),"CONTA NAO EXISTE NO PLANO")</f>
        <v/>
      </c>
      <c r="I159" t="inlineStr">
        <is>
          <t>506</t>
        </is>
      </c>
      <c r="J159" t="inlineStr">
        <is>
          <t>OK</t>
        </is>
      </c>
      <c r="K159" t="inlineStr">
        <is>
          <t>fornecedor com NF</t>
        </is>
      </c>
      <c r="L159" t="inlineStr">
        <is>
          <t>INNOVARTH COMERCIO DE PRODUTOS QUIMICOS LTDA | 115/6 | PAGAMENTO EFERENTE A COMPRA DE MATERIA PRIMA, EDTA TETRASSODICO 50KG</t>
        </is>
      </c>
      <c r="M159" t="inlineStr">
        <is>
          <t>INNOVARTH COMERCIO DE PRODUTOS QUIMICOS LTDA - PAGAMENTO EFERENTE A COMPRA DE MATERIA PRIMA, EDTA TETRASSODICO 50KG</t>
        </is>
      </c>
    </row>
    <row r="160">
      <c r="A160" t="n">
        <v>159</v>
      </c>
      <c r="B160" t="inlineStr">
        <is>
          <t>21/01/2026</t>
        </is>
      </c>
      <c r="C160" t="inlineStr">
        <is>
          <t>FLEXOPLAST COMERCIO DE EMBALAGENS PLASTICAS LTDA PGTO REF. A COMPRA DE SACOLAS DE ALÇA</t>
        </is>
      </c>
      <c r="D160" s="7" t="n">
        <v>-1961.28</v>
      </c>
      <c r="E160" t="inlineStr">
        <is>
          <t>506</t>
        </is>
      </c>
      <c r="F160" t="inlineStr">
        <is>
          <t>FORNECEDORES DIVERSOS</t>
        </is>
      </c>
      <c r="G160" s="2" t="inlineStr">
        <is>
          <t>506</t>
        </is>
      </c>
      <c r="H160">
        <f>IFERROR(VLOOKUP(G160&amp;"",PLANO!A:B,2,FALSE),"CONTA NAO EXISTE NO PLANO")</f>
        <v/>
      </c>
      <c r="I160" t="inlineStr">
        <is>
          <t>506</t>
        </is>
      </c>
      <c r="J160" t="inlineStr">
        <is>
          <t>OK</t>
        </is>
      </c>
      <c r="K160" t="inlineStr">
        <is>
          <t>fornecedor com NF</t>
        </is>
      </c>
      <c r="L160" t="inlineStr">
        <is>
          <t>FLEXOPLAST COMERCIO DE EMBALAGENS PLASTICAS LTDA | 115/52 | PGTO REF. A COMPRA DE SACOLAS DE ALÇA</t>
        </is>
      </c>
      <c r="M160" t="inlineStr">
        <is>
          <t>FLEXOPLAST COMERCIO DE EMBALAGENS PLASTICAS LTDA - PGTO REF. A COMPRA DE SACOLAS DE ALÇA</t>
        </is>
      </c>
    </row>
    <row r="161">
      <c r="A161" t="n">
        <v>160</v>
      </c>
      <c r="B161" t="inlineStr">
        <is>
          <t>21/01/2026</t>
        </is>
      </c>
      <c r="C161" t="inlineStr">
        <is>
          <t>INDUSTRIA QUIMICA ANASTACIO S A PGTO REF. A COMPRA DE MATERIA PRIMA, VASELINASOLIDA 340 KG, ERITORBATO DE SODIO 25 KG</t>
        </is>
      </c>
      <c r="D161" s="7" t="n">
        <v>-1928.78</v>
      </c>
      <c r="E161" t="inlineStr">
        <is>
          <t>506</t>
        </is>
      </c>
      <c r="F161" t="inlineStr">
        <is>
          <t>FORNECEDORES DIVERSOS</t>
        </is>
      </c>
      <c r="G161" s="2" t="inlineStr">
        <is>
          <t>506</t>
        </is>
      </c>
      <c r="H161">
        <f>IFERROR(VLOOKUP(G161&amp;"",PLANO!A:B,2,FALSE),"CONTA NAO EXISTE NO PLANO")</f>
        <v/>
      </c>
      <c r="I161" t="inlineStr">
        <is>
          <t>506</t>
        </is>
      </c>
      <c r="J161" t="inlineStr">
        <is>
          <t>OK</t>
        </is>
      </c>
      <c r="K161" t="inlineStr">
        <is>
          <t>fornecedor com NF</t>
        </is>
      </c>
      <c r="L161" t="inlineStr">
        <is>
          <t>INDUSTRIA QUIMICA ANASTACIO S A | 115/6 | PGTO REF. A COMPRA DE MATERIA PRIMA, VASELINA SOLIDA 340 KG, ERITORBATO DE SODIO 25 KG</t>
        </is>
      </c>
      <c r="M161" t="inlineStr">
        <is>
          <t>INDUSTRIA QUIMICA ANASTACIO S A - PGTO REF. A COMPRA DE MATERIA PRIMA, VASELINA SOLIDA 340 KG, ERITORBATO DE SODIO</t>
        </is>
      </c>
    </row>
    <row r="162">
      <c r="A162" s="11" t="n">
        <v>161</v>
      </c>
      <c r="B162" s="11" t="inlineStr">
        <is>
          <t>21/01/2026</t>
        </is>
      </c>
      <c r="C162" s="11" t="inlineStr">
        <is>
          <t>INTERLAB DISTRIBUIDORA DE PRODUTOS CIENTIFICOS LTDA. 115 105 4 0,00 2.861,60 -420.746,84PGTO REF. A COMPRA DE MATERIAL PARA LABORATÓRIO</t>
        </is>
      </c>
      <c r="D162" s="12" t="n">
        <v>-2861.6</v>
      </c>
      <c r="E162" s="11" t="inlineStr">
        <is>
          <t>506</t>
        </is>
      </c>
      <c r="F162" s="11" t="inlineStr">
        <is>
          <t>FORNECEDORES DIVERSOS</t>
        </is>
      </c>
      <c r="G162" s="13" t="inlineStr">
        <is>
          <t>506</t>
        </is>
      </c>
      <c r="H162" s="11">
        <f>IFERROR(VLOOKUP(G162&amp;"",PLANO!A:B,2,FALSE),"CONTA NAO EXISTE NO PLANO")</f>
        <v/>
      </c>
      <c r="I162" s="11" t="inlineStr">
        <is>
          <t>506</t>
        </is>
      </c>
      <c r="J162" s="11" t="inlineStr">
        <is>
          <t>MANTIDO</t>
        </is>
      </c>
      <c r="K162" s="11" t="inlineStr">
        <is>
          <t>material laboratorio | mantida a conta atual (sem informacao que justifique troca)</t>
        </is>
      </c>
      <c r="L162" s="11" t="inlineStr">
        <is>
          <t>INTERLAB DISTRIBUIDORA DE PRODUTOS CIENTIFICOS LTDA. | 115/105 | PGTO REF. A COMPRA DE MATERIAL PARA LABORATÓRIO</t>
        </is>
      </c>
      <c r="M162" s="11" t="inlineStr">
        <is>
          <t>INTERLAB DISTRIBUIDORA DE PRODUTOS CIENTIFICOS LTDA. - PGTO REF. A COMPRA DE MATERIAL PARA LABORATÓRIO</t>
        </is>
      </c>
    </row>
    <row r="163">
      <c r="A163" s="11" t="n">
        <v>162</v>
      </c>
      <c r="B163" s="11" t="inlineStr">
        <is>
          <t>21/01/2026</t>
        </is>
      </c>
      <c r="C163" s="11" t="inlineStr">
        <is>
          <t>REAGEN PRODUTOS PARA LABORATORIOS EIRELI PGTO REF. A COMPRA DE MATERIA PRIMA, BISSSULFITODE SODIO 30KG</t>
        </is>
      </c>
      <c r="D163" s="12" t="n">
        <v>-420</v>
      </c>
      <c r="E163" s="11" t="inlineStr">
        <is>
          <t>506</t>
        </is>
      </c>
      <c r="F163" s="11" t="inlineStr">
        <is>
          <t>FORNECEDORES DIVERSOS</t>
        </is>
      </c>
      <c r="G163" s="13" t="inlineStr">
        <is>
          <t>506</t>
        </is>
      </c>
      <c r="H163" s="11">
        <f>IFERROR(VLOOKUP(G163&amp;"",PLANO!A:B,2,FALSE),"CONTA NAO EXISTE NO PLANO")</f>
        <v/>
      </c>
      <c r="I163" s="11" t="inlineStr">
        <is>
          <t>506</t>
        </is>
      </c>
      <c r="J163" s="11" t="inlineStr">
        <is>
          <t>MANTIDO</t>
        </is>
      </c>
      <c r="K163" s="11" t="inlineStr">
        <is>
          <t>material laboratorio/contratipagem | mantida a conta atual (sem informacao que justifique troca)</t>
        </is>
      </c>
      <c r="L163" s="11" t="inlineStr">
        <is>
          <t>REAGEN PRODUTOS PARA LABORATORIOS EIRELI | 115/103 | PGTO REF. A COMPRA DE MATERIA PRIMA, BISSSULFITO DE SODIO 30KG</t>
        </is>
      </c>
      <c r="M163" s="11" t="inlineStr">
        <is>
          <t>REAGEN PRODUTOS PARA LABORATORIOS EIRELI - PGTO REF. A COMPRA DE MATERIA PRIMA, BISSSULFITO DE SODIO 30KG</t>
        </is>
      </c>
    </row>
    <row r="164">
      <c r="A164" s="11" t="n">
        <v>163</v>
      </c>
      <c r="B164" s="11" t="inlineStr">
        <is>
          <t>21/01/2026</t>
        </is>
      </c>
      <c r="C164" s="11" t="inlineStr">
        <is>
          <t>REAGEN PRODUTOS PARA LABORATORIOS EIRELI PGTO REF. A COMPRA DE MATERIAL PARA LABORATÓRIO</t>
        </is>
      </c>
      <c r="D164" s="12" t="n">
        <v>-272</v>
      </c>
      <c r="E164" s="11" t="inlineStr">
        <is>
          <t>506</t>
        </is>
      </c>
      <c r="F164" s="11" t="inlineStr">
        <is>
          <t>FORNECEDORES DIVERSOS</t>
        </is>
      </c>
      <c r="G164" s="13" t="inlineStr">
        <is>
          <t>506</t>
        </is>
      </c>
      <c r="H164" s="11">
        <f>IFERROR(VLOOKUP(G164&amp;"",PLANO!A:B,2,FALSE),"CONTA NAO EXISTE NO PLANO")</f>
        <v/>
      </c>
      <c r="I164" s="11" t="inlineStr">
        <is>
          <t>506</t>
        </is>
      </c>
      <c r="J164" s="11" t="inlineStr">
        <is>
          <t>MANTIDO</t>
        </is>
      </c>
      <c r="K164" s="11" t="inlineStr">
        <is>
          <t>material laboratorio/contratipagem | mantida a conta atual (sem informacao que justifique troca)</t>
        </is>
      </c>
      <c r="L164" s="11" t="inlineStr">
        <is>
          <t>REAGEN PRODUTOS PARA LABORATORIOS EIRELI | 115/103 | PGTO REF. A COMPRA DE MATERIAL PARA LABORATÓRIO</t>
        </is>
      </c>
      <c r="M164" s="11" t="inlineStr">
        <is>
          <t>REAGEN PRODUTOS PARA LABORATORIOS EIRELI - PGTO REF. A COMPRA DE MATERIAL PARA LABORATÓRIO</t>
        </is>
      </c>
    </row>
    <row r="165">
      <c r="A165" t="n">
        <v>164</v>
      </c>
      <c r="B165" t="inlineStr">
        <is>
          <t>21/01/2026</t>
        </is>
      </c>
      <c r="C165" t="inlineStr">
        <is>
          <t>EMBACAPS QUIMICA E FARMACEUTICA LTDA PAGAMENTO REFERENTE A COMPRA DE MATERIA PRIMA,BELSIL ADM 10KG, DEHYDOL 12KG ,ALCOOL CETO 1000KG,PLANTAREM 102KG</t>
        </is>
      </c>
      <c r="D165" s="7" t="n">
        <v>-3554.29</v>
      </c>
      <c r="E165" t="inlineStr">
        <is>
          <t>506</t>
        </is>
      </c>
      <c r="F165" t="inlineStr">
        <is>
          <t>FORNECEDORES DIVERSOS</t>
        </is>
      </c>
      <c r="G165" s="2" t="inlineStr">
        <is>
          <t>506</t>
        </is>
      </c>
      <c r="H165">
        <f>IFERROR(VLOOKUP(G165&amp;"",PLANO!A:B,2,FALSE),"CONTA NAO EXISTE NO PLANO")</f>
        <v/>
      </c>
      <c r="I165" t="inlineStr">
        <is>
          <t>506</t>
        </is>
      </c>
      <c r="J165" t="inlineStr">
        <is>
          <t>OK</t>
        </is>
      </c>
      <c r="K165" t="inlineStr">
        <is>
          <t>fornecedor com NF</t>
        </is>
      </c>
      <c r="L165" t="inlineStr">
        <is>
          <t>EMBACAPS QUIMICA E FARMACEUTICA LTDA | 115/6 | PAGAMENTO REFERENTE A COMPRA DE MATERIA PRIMA, BELSIL ADM 10KG, DEHYDOL 12KG ,ALCOOL CETO 1000KG, PLANTAREM 102KG</t>
        </is>
      </c>
      <c r="M165" t="inlineStr">
        <is>
          <t>EMBACAPS QUIMICA E FARMACEUTICA LTDA - PAGAMENTO REFERENTE A COMPRA DE MATERIA PRIMA, BELSIL ADM 10KG, DEHYDOL 12KG ,AL</t>
        </is>
      </c>
    </row>
    <row r="166">
      <c r="A166" t="n">
        <v>165</v>
      </c>
      <c r="B166" t="inlineStr">
        <is>
          <t>22/01/2026</t>
        </is>
      </c>
      <c r="C166" t="inlineStr">
        <is>
          <t>REF. A MOV TIT COB DISP 22/01S</t>
        </is>
      </c>
      <c r="D166" s="7" t="n">
        <v>1625.46</v>
      </c>
      <c r="E166" t="inlineStr">
        <is>
          <t>504</t>
        </is>
      </c>
      <c r="F166" t="inlineStr">
        <is>
          <t>CLIENTES DIVERSOS</t>
        </is>
      </c>
      <c r="G166" s="2" t="inlineStr">
        <is>
          <t>504</t>
        </is>
      </c>
      <c r="H166">
        <f>IFERROR(VLOOKUP(G166&amp;"",PLANO!A:B,2,FALSE),"CONTA NAO EXISTE NO PLANO")</f>
        <v/>
      </c>
      <c r="I166" t="inlineStr">
        <is>
          <t>504</t>
        </is>
      </c>
      <c r="J166" t="inlineStr">
        <is>
          <t>SEM COSMOS</t>
        </is>
      </c>
      <c r="K166" t="inlineStr"/>
      <c r="L166" t="inlineStr"/>
      <c r="M166" t="inlineStr">
        <is>
          <t>MOV TIT COB DISP 22/01S</t>
        </is>
      </c>
    </row>
    <row r="167">
      <c r="A167" t="n">
        <v>166</v>
      </c>
      <c r="B167" t="inlineStr">
        <is>
          <t>22/01/2026</t>
        </is>
      </c>
      <c r="C167" t="inlineStr">
        <is>
          <t>REF. A BOLETO PAGO BARENTZ B DI</t>
        </is>
      </c>
      <c r="D167" s="7" t="n">
        <v>-1511.3</v>
      </c>
      <c r="E167" t="inlineStr">
        <is>
          <t>506</t>
        </is>
      </c>
      <c r="F167" t="inlineStr">
        <is>
          <t>FORNECEDORES DIVERSOS</t>
        </is>
      </c>
      <c r="G167" s="2" t="inlineStr">
        <is>
          <t>506</t>
        </is>
      </c>
      <c r="H167">
        <f>IFERROR(VLOOKUP(G167&amp;"",PLANO!A:B,2,FALSE),"CONTA NAO EXISTE NO PLANO")</f>
        <v/>
      </c>
      <c r="I167" t="inlineStr">
        <is>
          <t>506</t>
        </is>
      </c>
      <c r="J167" t="inlineStr">
        <is>
          <t>SEM COSMOS</t>
        </is>
      </c>
      <c r="K167" t="inlineStr"/>
      <c r="L167" t="inlineStr"/>
      <c r="M167" t="inlineStr">
        <is>
          <t>BOLETO PAGO BARENTZ B DI</t>
        </is>
      </c>
    </row>
    <row r="168">
      <c r="A168" t="n">
        <v>167</v>
      </c>
      <c r="B168" t="inlineStr">
        <is>
          <t>22/01/2026</t>
        </is>
      </c>
      <c r="C168" t="inlineStr">
        <is>
          <t>REF. A BOLETO PAGO ITAU UNIBANC</t>
        </is>
      </c>
      <c r="D168" s="7" t="n">
        <v>-4467.48</v>
      </c>
      <c r="E168" t="inlineStr">
        <is>
          <t>364</t>
        </is>
      </c>
      <c r="F168" t="inlineStr">
        <is>
          <t>DESPESAS ADMINISTRATIVAS</t>
        </is>
      </c>
      <c r="G168" s="2" t="inlineStr">
        <is>
          <t>364</t>
        </is>
      </c>
      <c r="H168">
        <f>IFERROR(VLOOKUP(G168&amp;"",PLANO!A:B,2,FALSE),"CONTA NAO EXISTE NO PLANO")</f>
        <v/>
      </c>
      <c r="I168" t="inlineStr">
        <is>
          <t>364</t>
        </is>
      </c>
      <c r="J168" t="inlineStr">
        <is>
          <t>SEM COSMOS</t>
        </is>
      </c>
      <c r="K168" t="inlineStr"/>
      <c r="L168" t="inlineStr"/>
      <c r="M168" t="inlineStr">
        <is>
          <t>BOLETO PAGO ITAU UNIBANC</t>
        </is>
      </c>
    </row>
    <row r="169">
      <c r="A169" t="n">
        <v>168</v>
      </c>
      <c r="B169" t="inlineStr">
        <is>
          <t>23/01/2026</t>
        </is>
      </c>
      <c r="C169" t="inlineStr">
        <is>
          <t>REF. A PIX ENVIADO NOVA PIRAMID</t>
        </is>
      </c>
      <c r="D169" s="7" t="n">
        <v>-3871.87</v>
      </c>
      <c r="E169" t="inlineStr">
        <is>
          <t>506</t>
        </is>
      </c>
      <c r="F169" t="inlineStr">
        <is>
          <t>FORNECEDORES DIVERSOS</t>
        </is>
      </c>
      <c r="G169" s="2" t="inlineStr">
        <is>
          <t>506</t>
        </is>
      </c>
      <c r="H169">
        <f>IFERROR(VLOOKUP(G169&amp;"",PLANO!A:B,2,FALSE),"CONTA NAO EXISTE NO PLANO")</f>
        <v/>
      </c>
      <c r="I169" t="inlineStr">
        <is>
          <t>506</t>
        </is>
      </c>
      <c r="J169" t="inlineStr">
        <is>
          <t>SEM COSMOS</t>
        </is>
      </c>
      <c r="K169" t="inlineStr"/>
      <c r="L169" t="inlineStr"/>
      <c r="M169" t="inlineStr">
        <is>
          <t>PIX ENVIADO NOVA PIRAMID</t>
        </is>
      </c>
    </row>
    <row r="170">
      <c r="A170" t="n">
        <v>169</v>
      </c>
      <c r="B170" t="inlineStr">
        <is>
          <t>23/01/2026</t>
        </is>
      </c>
      <c r="C170" t="inlineStr">
        <is>
          <t>REF. A PIX ENVIADO L.C.Q.PQ - L</t>
        </is>
      </c>
      <c r="D170" s="7" t="n">
        <v>-217.5</v>
      </c>
      <c r="E170" t="inlineStr">
        <is>
          <t>506</t>
        </is>
      </c>
      <c r="F170" t="inlineStr">
        <is>
          <t>FORNECEDORES DIVERSOS</t>
        </is>
      </c>
      <c r="G170" s="2" t="inlineStr">
        <is>
          <t>506</t>
        </is>
      </c>
      <c r="H170">
        <f>IFERROR(VLOOKUP(G170&amp;"",PLANO!A:B,2,FALSE),"CONTA NAO EXISTE NO PLANO")</f>
        <v/>
      </c>
      <c r="I170" t="inlineStr">
        <is>
          <t>506</t>
        </is>
      </c>
      <c r="J170" t="inlineStr">
        <is>
          <t>SEM COSMOS</t>
        </is>
      </c>
      <c r="K170" t="inlineStr"/>
      <c r="L170" t="inlineStr"/>
      <c r="M170" t="inlineStr">
        <is>
          <t>PIX ENVIADO L.C.Q.PQ - L</t>
        </is>
      </c>
    </row>
    <row r="171">
      <c r="A171" t="n">
        <v>170</v>
      </c>
      <c r="B171" t="inlineStr">
        <is>
          <t>23/01/2026</t>
        </is>
      </c>
      <c r="C171" t="inlineStr">
        <is>
          <t>REF. A BOLETO PAGO SAVATEC COME</t>
        </is>
      </c>
      <c r="D171" s="7" t="n">
        <v>-700</v>
      </c>
      <c r="E171" t="inlineStr">
        <is>
          <t>359</t>
        </is>
      </c>
      <c r="F171" t="inlineStr">
        <is>
          <t>MATERIAL DE ESCRITÓRIO</t>
        </is>
      </c>
      <c r="G171" s="2" t="inlineStr">
        <is>
          <t>359</t>
        </is>
      </c>
      <c r="H171">
        <f>IFERROR(VLOOKUP(G171&amp;"",PLANO!A:B,2,FALSE),"CONTA NAO EXISTE NO PLANO")</f>
        <v/>
      </c>
      <c r="I171" t="inlineStr">
        <is>
          <t>359</t>
        </is>
      </c>
      <c r="J171" t="inlineStr">
        <is>
          <t>SEM COSMOS</t>
        </is>
      </c>
      <c r="K171" t="inlineStr"/>
      <c r="L171" t="inlineStr"/>
      <c r="M171" t="inlineStr">
        <is>
          <t>BOLETO PAGO SAVATEC COME</t>
        </is>
      </c>
    </row>
    <row r="172">
      <c r="A172" t="n">
        <v>171</v>
      </c>
      <c r="B172" t="inlineStr">
        <is>
          <t>23/01/2026</t>
        </is>
      </c>
      <c r="C172" t="inlineStr">
        <is>
          <t>REF. A BOLETO PAGO TABELIONATO</t>
        </is>
      </c>
      <c r="D172" s="7" t="n">
        <v>-2256.07</v>
      </c>
      <c r="E172" t="inlineStr">
        <is>
          <t>350</t>
        </is>
      </c>
      <c r="F172" t="inlineStr">
        <is>
          <t>TAXAS DIVERSAS</t>
        </is>
      </c>
      <c r="G172" s="2" t="inlineStr">
        <is>
          <t>350</t>
        </is>
      </c>
      <c r="H172">
        <f>IFERROR(VLOOKUP(G172&amp;"",PLANO!A:B,2,FALSE),"CONTA NAO EXISTE NO PLANO")</f>
        <v/>
      </c>
      <c r="I172" t="inlineStr">
        <is>
          <t>350</t>
        </is>
      </c>
      <c r="J172" t="inlineStr">
        <is>
          <t>SEM COSMOS</t>
        </is>
      </c>
      <c r="K172" t="inlineStr"/>
      <c r="L172" t="inlineStr"/>
      <c r="M172" t="inlineStr">
        <is>
          <t>BOLETO PAGO TABELIONATO</t>
        </is>
      </c>
    </row>
    <row r="173">
      <c r="A173" t="n">
        <v>172</v>
      </c>
      <c r="B173" t="inlineStr">
        <is>
          <t>23/01/2026</t>
        </is>
      </c>
      <c r="C173" t="inlineStr">
        <is>
          <t>REF. A BOLETO PAGO TRANS TOMAZ</t>
        </is>
      </c>
      <c r="D173" s="7" t="n">
        <v>-96.23</v>
      </c>
      <c r="E173" t="inlineStr">
        <is>
          <t>312</t>
        </is>
      </c>
      <c r="F173" t="inlineStr">
        <is>
          <t>FRETES E CARRETOS</t>
        </is>
      </c>
      <c r="G173" s="2" t="inlineStr">
        <is>
          <t>312</t>
        </is>
      </c>
      <c r="H173">
        <f>IFERROR(VLOOKUP(G173&amp;"",PLANO!A:B,2,FALSE),"CONTA NAO EXISTE NO PLANO")</f>
        <v/>
      </c>
      <c r="I173" t="inlineStr">
        <is>
          <t>312</t>
        </is>
      </c>
      <c r="J173" t="inlineStr">
        <is>
          <t>SEM COSMOS</t>
        </is>
      </c>
      <c r="K173" t="inlineStr"/>
      <c r="L173" t="inlineStr"/>
      <c r="M173" t="inlineStr">
        <is>
          <t>BOLETO PAGO TRANS TOMAZ</t>
        </is>
      </c>
    </row>
    <row r="174">
      <c r="A174" t="n">
        <v>173</v>
      </c>
      <c r="B174" t="inlineStr">
        <is>
          <t>23/01/2026</t>
        </is>
      </c>
      <c r="C174" t="inlineStr">
        <is>
          <t>REF. A BOLETO PAGO URBANO SA SO</t>
        </is>
      </c>
      <c r="D174" s="7" t="n">
        <v>-582.4</v>
      </c>
      <c r="E174" t="inlineStr">
        <is>
          <t>350</t>
        </is>
      </c>
      <c r="F174" t="inlineStr">
        <is>
          <t>TAXAS DIVERSAS</t>
        </is>
      </c>
      <c r="G174" s="2" t="inlineStr">
        <is>
          <t>350</t>
        </is>
      </c>
      <c r="H174">
        <f>IFERROR(VLOOKUP(G174&amp;"",PLANO!A:B,2,FALSE),"CONTA NAO EXISTE NO PLANO")</f>
        <v/>
      </c>
      <c r="I174" t="inlineStr">
        <is>
          <t>350</t>
        </is>
      </c>
      <c r="J174" t="inlineStr">
        <is>
          <t>SEM COSMOS</t>
        </is>
      </c>
      <c r="K174" t="inlineStr"/>
      <c r="L174" t="inlineStr"/>
      <c r="M174" t="inlineStr">
        <is>
          <t>BOLETO PAGO URBANO SA SO</t>
        </is>
      </c>
    </row>
    <row r="175">
      <c r="A175" t="n">
        <v>174</v>
      </c>
      <c r="B175" t="inlineStr">
        <is>
          <t>26/01/2026</t>
        </is>
      </c>
      <c r="C175" t="inlineStr">
        <is>
          <t>REF. A MOV TIT COB DISP 26/01S</t>
        </is>
      </c>
      <c r="D175" s="7" t="n">
        <v>1045.01</v>
      </c>
      <c r="E175" t="inlineStr">
        <is>
          <t>504</t>
        </is>
      </c>
      <c r="F175" t="inlineStr">
        <is>
          <t>CLIENTES DIVERSOS</t>
        </is>
      </c>
      <c r="G175" s="2" t="inlineStr">
        <is>
          <t>504</t>
        </is>
      </c>
      <c r="H175">
        <f>IFERROR(VLOOKUP(G175&amp;"",PLANO!A:B,2,FALSE),"CONTA NAO EXISTE NO PLANO")</f>
        <v/>
      </c>
      <c r="I175" t="inlineStr">
        <is>
          <t>504</t>
        </is>
      </c>
      <c r="J175" t="inlineStr">
        <is>
          <t>SEM COSMOS</t>
        </is>
      </c>
      <c r="K175" t="inlineStr"/>
      <c r="L175" t="inlineStr"/>
      <c r="M175" t="inlineStr">
        <is>
          <t>MOV TIT COB DISP 26/01S</t>
        </is>
      </c>
    </row>
    <row r="176">
      <c r="A176" t="n">
        <v>175</v>
      </c>
      <c r="B176" t="inlineStr">
        <is>
          <t>26/01/2026</t>
        </is>
      </c>
      <c r="C176" t="inlineStr">
        <is>
          <t>REF. A BOLETO PAGO PENSU EXACTU</t>
        </is>
      </c>
      <c r="D176" s="7" t="n">
        <v>-612.25</v>
      </c>
      <c r="E176" t="inlineStr">
        <is>
          <t>506</t>
        </is>
      </c>
      <c r="F176" t="inlineStr">
        <is>
          <t>FORNECEDORES DIVERSOS</t>
        </is>
      </c>
      <c r="G176" s="2" t="inlineStr">
        <is>
          <t>506</t>
        </is>
      </c>
      <c r="H176">
        <f>IFERROR(VLOOKUP(G176&amp;"",PLANO!A:B,2,FALSE),"CONTA NAO EXISTE NO PLANO")</f>
        <v/>
      </c>
      <c r="I176" t="inlineStr">
        <is>
          <t>506</t>
        </is>
      </c>
      <c r="J176" t="inlineStr">
        <is>
          <t>SEM COSMOS</t>
        </is>
      </c>
      <c r="K176" t="inlineStr"/>
      <c r="L176" t="inlineStr"/>
      <c r="M176" t="inlineStr">
        <is>
          <t>BOLETO PAGO PENSU EXACTU</t>
        </is>
      </c>
    </row>
    <row r="177">
      <c r="A177" t="n">
        <v>176</v>
      </c>
      <c r="B177" t="inlineStr">
        <is>
          <t>26/01/2026</t>
        </is>
      </c>
      <c r="C177" t="inlineStr">
        <is>
          <t>REF. A JUROS 8613.52508-1</t>
        </is>
      </c>
      <c r="D177" s="7" t="n">
        <v>-4086.5</v>
      </c>
      <c r="E177" t="inlineStr">
        <is>
          <t>375</t>
        </is>
      </c>
      <c r="F177" t="inlineStr">
        <is>
          <t>JUROS SOBRE EMPRÉSTIMOS E FINANCIAMENTOS</t>
        </is>
      </c>
      <c r="G177" s="2" t="inlineStr">
        <is>
          <t>375</t>
        </is>
      </c>
      <c r="H177">
        <f>IFERROR(VLOOKUP(G177&amp;"",PLANO!A:B,2,FALSE),"CONTA NAO EXISTE NO PLANO")</f>
        <v/>
      </c>
      <c r="I177" t="inlineStr">
        <is>
          <t>375</t>
        </is>
      </c>
      <c r="J177" t="inlineStr">
        <is>
          <t>SEM COSMOS</t>
        </is>
      </c>
      <c r="K177" t="inlineStr"/>
      <c r="L177" t="inlineStr"/>
      <c r="M177" t="inlineStr">
        <is>
          <t>JUROS 8613.52508-1</t>
        </is>
      </c>
    </row>
    <row r="178">
      <c r="A178" s="4" t="n">
        <v>177</v>
      </c>
      <c r="B178" s="4" t="inlineStr">
        <is>
          <t>27/01/2026</t>
        </is>
      </c>
      <c r="C178" s="4" t="inlineStr">
        <is>
          <t>REF. A SISPAG COSMETICON COMER</t>
        </is>
      </c>
      <c r="D178" s="5" t="n">
        <v>10000</v>
      </c>
      <c r="E178" s="4" t="inlineStr">
        <is>
          <t>663</t>
        </is>
      </c>
      <c r="F178" s="4" t="inlineStr">
        <is>
          <t>EMPRESTIMO COSMETICON COMERCIO (31.494.732/0001-09)</t>
        </is>
      </c>
      <c r="G178" s="6" t="inlineStr">
        <is>
          <t>663</t>
        </is>
      </c>
      <c r="H178" s="4">
        <f>IFERROR(VLOOKUP(G178&amp;"",PLANO!A:B,2,FALSE),"CONTA NAO EXISTE NO PLANO")</f>
        <v/>
      </c>
      <c r="I178" s="4" t="inlineStr">
        <is>
          <t>663</t>
        </is>
      </c>
      <c r="J178" s="4" t="inlineStr">
        <is>
          <t>AJUSTADO</t>
        </is>
      </c>
      <c r="K178" s="4" t="inlineStr">
        <is>
          <t>COSMETICON - conta-corrente unica de mutuo (663)</t>
        </is>
      </c>
      <c r="L178" s="4" t="inlineStr"/>
      <c r="M178" s="4" t="inlineStr">
        <is>
          <t>SISPAG COSMETICON COMER</t>
        </is>
      </c>
    </row>
    <row r="179">
      <c r="A179" t="n">
        <v>178</v>
      </c>
      <c r="B179" t="inlineStr">
        <is>
          <t>27/01/2026</t>
        </is>
      </c>
      <c r="C179" t="inlineStr">
        <is>
          <t>REF. A MOV TIT COB DISP 27/01S</t>
        </is>
      </c>
      <c r="D179" s="7" t="n">
        <v>1010.97</v>
      </c>
      <c r="E179" t="inlineStr">
        <is>
          <t>504</t>
        </is>
      </c>
      <c r="F179" t="inlineStr">
        <is>
          <t>CLIENTES DIVERSOS</t>
        </is>
      </c>
      <c r="G179" s="2" t="inlineStr">
        <is>
          <t>504</t>
        </is>
      </c>
      <c r="H179">
        <f>IFERROR(VLOOKUP(G179&amp;"",PLANO!A:B,2,FALSE),"CONTA NAO EXISTE NO PLANO")</f>
        <v/>
      </c>
      <c r="I179" t="inlineStr">
        <is>
          <t>504</t>
        </is>
      </c>
      <c r="J179" t="inlineStr">
        <is>
          <t>SEM COSMOS</t>
        </is>
      </c>
      <c r="K179" t="inlineStr"/>
      <c r="L179" t="inlineStr"/>
      <c r="M179" t="inlineStr">
        <is>
          <t>MOV TIT COB DISP 27/01S</t>
        </is>
      </c>
    </row>
    <row r="180">
      <c r="A180" t="n">
        <v>179</v>
      </c>
      <c r="B180" t="inlineStr">
        <is>
          <t>27/01/2026</t>
        </is>
      </c>
      <c r="C180" t="inlineStr">
        <is>
          <t>REF. A BOLETO PAGO BARENTZ B DI</t>
        </is>
      </c>
      <c r="D180" s="7" t="n">
        <v>-306.71</v>
      </c>
      <c r="E180" t="inlineStr">
        <is>
          <t>506</t>
        </is>
      </c>
      <c r="F180" t="inlineStr">
        <is>
          <t>FORNECEDORES DIVERSOS</t>
        </is>
      </c>
      <c r="G180" s="2" t="inlineStr">
        <is>
          <t>506</t>
        </is>
      </c>
      <c r="H180">
        <f>IFERROR(VLOOKUP(G180&amp;"",PLANO!A:B,2,FALSE),"CONTA NAO EXISTE NO PLANO")</f>
        <v/>
      </c>
      <c r="I180" t="inlineStr">
        <is>
          <t>506</t>
        </is>
      </c>
      <c r="J180" t="inlineStr">
        <is>
          <t>SEM COSMOS</t>
        </is>
      </c>
      <c r="K180" t="inlineStr"/>
      <c r="L180" t="inlineStr"/>
      <c r="M180" t="inlineStr">
        <is>
          <t>BOLETO PAGO BARENTZ B DI</t>
        </is>
      </c>
    </row>
    <row r="181">
      <c r="A181" t="n">
        <v>180</v>
      </c>
      <c r="B181" t="inlineStr">
        <is>
          <t>27/01/2026</t>
        </is>
      </c>
      <c r="C181" t="inlineStr">
        <is>
          <t>REF. A BOLETO PAGO E. J. KRIEGE</t>
        </is>
      </c>
      <c r="D181" s="7" t="n">
        <v>-1277.76</v>
      </c>
      <c r="E181" t="inlineStr">
        <is>
          <t>506</t>
        </is>
      </c>
      <c r="F181" t="inlineStr">
        <is>
          <t>FORNECEDORES DIVERSOS</t>
        </is>
      </c>
      <c r="G181" s="2" t="inlineStr">
        <is>
          <t>506</t>
        </is>
      </c>
      <c r="H181">
        <f>IFERROR(VLOOKUP(G181&amp;"",PLANO!A:B,2,FALSE),"CONTA NAO EXISTE NO PLANO")</f>
        <v/>
      </c>
      <c r="I181" t="inlineStr">
        <is>
          <t>506</t>
        </is>
      </c>
      <c r="J181" t="inlineStr">
        <is>
          <t>SEM COSMOS</t>
        </is>
      </c>
      <c r="K181" t="inlineStr"/>
      <c r="L181" t="inlineStr"/>
      <c r="M181" t="inlineStr">
        <is>
          <t>BOLETO PAGO E. J. KRIEGE</t>
        </is>
      </c>
    </row>
    <row r="182">
      <c r="A182" t="n">
        <v>181</v>
      </c>
      <c r="B182" t="inlineStr">
        <is>
          <t>27/01/2026</t>
        </is>
      </c>
      <c r="C182" t="inlineStr">
        <is>
          <t>BOLETO PAGO REAGEN PRODU</t>
        </is>
      </c>
      <c r="D182" s="7" t="n">
        <v>-202.66</v>
      </c>
      <c r="E182" t="inlineStr">
        <is>
          <t>506</t>
        </is>
      </c>
      <c r="F182" t="inlineStr">
        <is>
          <t>FORNECEDORES DIVERSOS</t>
        </is>
      </c>
      <c r="G182" s="2" t="inlineStr">
        <is>
          <t>506</t>
        </is>
      </c>
      <c r="H182">
        <f>IFERROR(VLOOKUP(G182&amp;"",PLANO!A:B,2,FALSE),"CONTA NAO EXISTE NO PLANO")</f>
        <v/>
      </c>
      <c r="I182" t="inlineStr">
        <is>
          <t>506</t>
        </is>
      </c>
      <c r="J182" t="inlineStr">
        <is>
          <t>SEM COSMOS</t>
        </is>
      </c>
      <c r="K182" t="inlineStr"/>
      <c r="L182" t="inlineStr"/>
      <c r="M182" t="inlineStr">
        <is>
          <t>BOLETO PAGO REAGEN PRODU</t>
        </is>
      </c>
    </row>
    <row r="183">
      <c r="A183" t="n">
        <v>182</v>
      </c>
      <c r="B183" t="inlineStr">
        <is>
          <t>27/01/2026</t>
        </is>
      </c>
      <c r="C183" t="inlineStr">
        <is>
          <t>REF. A BOLETO PAGO TABELIONATO</t>
        </is>
      </c>
      <c r="D183" s="7" t="n">
        <v>-4177.57</v>
      </c>
      <c r="E183" t="inlineStr">
        <is>
          <t>350</t>
        </is>
      </c>
      <c r="F183" t="inlineStr">
        <is>
          <t>TAXAS DIVERSAS</t>
        </is>
      </c>
      <c r="G183" s="2" t="inlineStr">
        <is>
          <t>350</t>
        </is>
      </c>
      <c r="H183">
        <f>IFERROR(VLOOKUP(G183&amp;"",PLANO!A:B,2,FALSE),"CONTA NAO EXISTE NO PLANO")</f>
        <v/>
      </c>
      <c r="I183" t="inlineStr">
        <is>
          <t>350</t>
        </is>
      </c>
      <c r="J183" t="inlineStr">
        <is>
          <t>SEM COSMOS</t>
        </is>
      </c>
      <c r="K183" t="inlineStr"/>
      <c r="L183" t="inlineStr"/>
      <c r="M183" t="inlineStr">
        <is>
          <t>BOLETO PAGO TABELIONATO</t>
        </is>
      </c>
    </row>
    <row r="184">
      <c r="A184" t="n">
        <v>183</v>
      </c>
      <c r="B184" t="inlineStr">
        <is>
          <t>27/01/2026</t>
        </is>
      </c>
      <c r="C184" t="inlineStr">
        <is>
          <t>ITAU SEG VIDA GLOB</t>
        </is>
      </c>
      <c r="D184" s="7" t="n">
        <v>-295.51</v>
      </c>
      <c r="E184" t="inlineStr">
        <is>
          <t>642</t>
        </is>
      </c>
      <c r="F184" t="inlineStr">
        <is>
          <t>SEGURO DE VIDA EMPRESARIAL</t>
        </is>
      </c>
      <c r="G184" s="2" t="inlineStr">
        <is>
          <t>642</t>
        </is>
      </c>
      <c r="H184">
        <f>IFERROR(VLOOKUP(G184&amp;"",PLANO!A:B,2,FALSE),"CONTA NAO EXISTE NO PLANO")</f>
        <v/>
      </c>
      <c r="I184" t="inlineStr">
        <is>
          <t>642</t>
        </is>
      </c>
      <c r="J184" t="inlineStr">
        <is>
          <t>SEM COSMOS</t>
        </is>
      </c>
      <c r="K184" t="inlineStr"/>
      <c r="L184" t="inlineStr"/>
      <c r="M184" t="inlineStr">
        <is>
          <t>ITAU SEG VIDA GLOB</t>
        </is>
      </c>
    </row>
    <row r="185">
      <c r="A185" t="n">
        <v>184</v>
      </c>
      <c r="B185" t="inlineStr">
        <is>
          <t>28/01/2026</t>
        </is>
      </c>
      <c r="C185" t="inlineStr">
        <is>
          <t>REF. A MOV TIT COB DISP 28/01S</t>
        </is>
      </c>
      <c r="D185" s="7" t="n">
        <v>3608.74</v>
      </c>
      <c r="E185" t="inlineStr">
        <is>
          <t>504</t>
        </is>
      </c>
      <c r="F185" t="inlineStr">
        <is>
          <t>CLIENTES DIVERSOS</t>
        </is>
      </c>
      <c r="G185" s="2" t="inlineStr">
        <is>
          <t>504</t>
        </is>
      </c>
      <c r="H185">
        <f>IFERROR(VLOOKUP(G185&amp;"",PLANO!A:B,2,FALSE),"CONTA NAO EXISTE NO PLANO")</f>
        <v/>
      </c>
      <c r="I185" t="inlineStr">
        <is>
          <t>504</t>
        </is>
      </c>
      <c r="J185" t="inlineStr">
        <is>
          <t>SEM COSMOS</t>
        </is>
      </c>
      <c r="K185" t="inlineStr"/>
      <c r="L185" t="inlineStr"/>
      <c r="M185" t="inlineStr">
        <is>
          <t>MOV TIT COB DISP 28/01S</t>
        </is>
      </c>
    </row>
    <row r="186">
      <c r="A186" t="n">
        <v>185</v>
      </c>
      <c r="B186" t="inlineStr">
        <is>
          <t>28/01/2026</t>
        </is>
      </c>
      <c r="C186" t="inlineStr">
        <is>
          <t>REF. A BOLETO PAGO ARGILAS DO B</t>
        </is>
      </c>
      <c r="D186" s="7" t="n">
        <v>-439.51</v>
      </c>
      <c r="E186" t="inlineStr">
        <is>
          <t>506</t>
        </is>
      </c>
      <c r="F186" t="inlineStr">
        <is>
          <t>FORNECEDORES DIVERSOS</t>
        </is>
      </c>
      <c r="G186" s="2" t="inlineStr">
        <is>
          <t>506</t>
        </is>
      </c>
      <c r="H186">
        <f>IFERROR(VLOOKUP(G186&amp;"",PLANO!A:B,2,FALSE),"CONTA NAO EXISTE NO PLANO")</f>
        <v/>
      </c>
      <c r="I186" t="inlineStr">
        <is>
          <t>506</t>
        </is>
      </c>
      <c r="J186" t="inlineStr">
        <is>
          <t>SEM COSMOS</t>
        </is>
      </c>
      <c r="K186" t="inlineStr"/>
      <c r="L186" t="inlineStr"/>
      <c r="M186" t="inlineStr">
        <is>
          <t>BOLETO PAGO ARGILAS DO B</t>
        </is>
      </c>
    </row>
    <row r="187">
      <c r="A187" t="n">
        <v>186</v>
      </c>
      <c r="B187" t="inlineStr">
        <is>
          <t>28/01/2026</t>
        </is>
      </c>
      <c r="C187" t="inlineStr">
        <is>
          <t>REF. A BOLETO PAGO INDUSTRIA QU</t>
        </is>
      </c>
      <c r="D187" s="7" t="n">
        <v>-1928.77</v>
      </c>
      <c r="E187" t="inlineStr">
        <is>
          <t>506</t>
        </is>
      </c>
      <c r="F187" t="inlineStr">
        <is>
          <t>FORNECEDORES DIVERSOS</t>
        </is>
      </c>
      <c r="G187" s="2" t="inlineStr">
        <is>
          <t>506</t>
        </is>
      </c>
      <c r="H187">
        <f>IFERROR(VLOOKUP(G187&amp;"",PLANO!A:B,2,FALSE),"CONTA NAO EXISTE NO PLANO")</f>
        <v/>
      </c>
      <c r="I187" t="inlineStr">
        <is>
          <t>506</t>
        </is>
      </c>
      <c r="J187" t="inlineStr">
        <is>
          <t>SEM COSMOS</t>
        </is>
      </c>
      <c r="K187" t="inlineStr"/>
      <c r="L187" t="inlineStr"/>
      <c r="M187" t="inlineStr">
        <is>
          <t>BOLETO PAGO INDUSTRIA QU</t>
        </is>
      </c>
    </row>
    <row r="188">
      <c r="A188" s="4" t="n">
        <v>187</v>
      </c>
      <c r="B188" s="4" t="inlineStr">
        <is>
          <t>28/01/2026</t>
        </is>
      </c>
      <c r="C188" s="4" t="inlineStr">
        <is>
          <t>REF. A BOLETO PAGO LINK BANK F</t>
        </is>
      </c>
      <c r="D188" s="5" t="n">
        <v>-2142</v>
      </c>
      <c r="E188" s="4" t="inlineStr">
        <is>
          <t>432</t>
        </is>
      </c>
      <c r="F188" s="4" t="inlineStr">
        <is>
          <t>RENDIMENTOS DE APLICAÇÕES</t>
        </is>
      </c>
      <c r="G188" s="6" t="inlineStr">
        <is>
          <t>506</t>
        </is>
      </c>
      <c r="H188" s="4">
        <f>IFERROR(VLOOKUP(G188&amp;"",PLANO!A:B,2,FALSE),"CONTA NAO EXISTE NO PLANO")</f>
        <v/>
      </c>
      <c r="I188" s="4" t="inlineStr">
        <is>
          <t>506</t>
        </is>
      </c>
      <c r="J188" s="4" t="inlineStr">
        <is>
          <t>AJUSTADO</t>
        </is>
      </c>
      <c r="K188" s="4" t="inlineStr">
        <is>
          <t>boleto LINK BANK = parcela AMONEX (materia-prima), Cosmos 18/02 2.142,00</t>
        </is>
      </c>
      <c r="L188" s="4" t="inlineStr"/>
      <c r="M188" s="4" t="inlineStr">
        <is>
          <t>BOLETO PAGO LINK BANK F</t>
        </is>
      </c>
    </row>
    <row r="189">
      <c r="A189" s="4" t="n">
        <v>188</v>
      </c>
      <c r="B189" s="4" t="inlineStr">
        <is>
          <t>29/01/2026</t>
        </is>
      </c>
      <c r="C189" s="4" t="inlineStr">
        <is>
          <t>REF. A SISPAG COSMETICON COMER</t>
        </is>
      </c>
      <c r="D189" s="5" t="n">
        <v>6000</v>
      </c>
      <c r="E189" s="4" t="inlineStr">
        <is>
          <t>663</t>
        </is>
      </c>
      <c r="F189" s="4" t="inlineStr">
        <is>
          <t>EMPRESTIMO COSMETICON COMERCIO (31.494.732/0001-09)</t>
        </is>
      </c>
      <c r="G189" s="6" t="inlineStr">
        <is>
          <t>663</t>
        </is>
      </c>
      <c r="H189" s="4">
        <f>IFERROR(VLOOKUP(G189&amp;"",PLANO!A:B,2,FALSE),"CONTA NAO EXISTE NO PLANO")</f>
        <v/>
      </c>
      <c r="I189" s="4" t="inlineStr">
        <is>
          <t>663</t>
        </is>
      </c>
      <c r="J189" s="4" t="inlineStr">
        <is>
          <t>AJUSTADO</t>
        </is>
      </c>
      <c r="K189" s="4" t="inlineStr">
        <is>
          <t>COSMETICON - conta-corrente unica de mutuo (663)</t>
        </is>
      </c>
      <c r="L189" s="4" t="inlineStr"/>
      <c r="M189" s="4" t="inlineStr">
        <is>
          <t>SISPAG COSMETICON COMER</t>
        </is>
      </c>
    </row>
    <row r="190">
      <c r="A190" t="n">
        <v>189</v>
      </c>
      <c r="B190" t="inlineStr">
        <is>
          <t>29/01/2026</t>
        </is>
      </c>
      <c r="C190" t="inlineStr">
        <is>
          <t>REF. A TED 363.0001.RNX F M D R</t>
        </is>
      </c>
      <c r="D190" s="7" t="n">
        <v>17392.2</v>
      </c>
      <c r="E190" t="inlineStr">
        <is>
          <t>504</t>
        </is>
      </c>
      <c r="F190" t="inlineStr">
        <is>
          <t>CLIENTES DIVERSOS</t>
        </is>
      </c>
      <c r="G190" s="2" t="inlineStr">
        <is>
          <t>504</t>
        </is>
      </c>
      <c r="H190">
        <f>IFERROR(VLOOKUP(G190&amp;"",PLANO!A:B,2,FALSE),"CONTA NAO EXISTE NO PLANO")</f>
        <v/>
      </c>
      <c r="I190" t="inlineStr">
        <is>
          <t>504</t>
        </is>
      </c>
      <c r="J190" t="inlineStr">
        <is>
          <t>SEM COSMOS</t>
        </is>
      </c>
      <c r="K190" t="inlineStr"/>
      <c r="L190" t="inlineStr"/>
      <c r="M190" t="inlineStr">
        <is>
          <t>TED 363.0001.RNX F M D R</t>
        </is>
      </c>
    </row>
    <row r="191">
      <c r="A191" t="n">
        <v>190</v>
      </c>
      <c r="B191" t="inlineStr">
        <is>
          <t>29/01/2026</t>
        </is>
      </c>
      <c r="C191" t="inlineStr">
        <is>
          <t>REF. A TED 363.0001.RNX F M D R</t>
        </is>
      </c>
      <c r="D191" s="7" t="n">
        <v>2675.45</v>
      </c>
      <c r="E191" t="inlineStr">
        <is>
          <t>504</t>
        </is>
      </c>
      <c r="F191" t="inlineStr">
        <is>
          <t>CLIENTES DIVERSOS</t>
        </is>
      </c>
      <c r="G191" s="2" t="inlineStr">
        <is>
          <t>504</t>
        </is>
      </c>
      <c r="H191">
        <f>IFERROR(VLOOKUP(G191&amp;"",PLANO!A:B,2,FALSE),"CONTA NAO EXISTE NO PLANO")</f>
        <v/>
      </c>
      <c r="I191" t="inlineStr">
        <is>
          <t>504</t>
        </is>
      </c>
      <c r="J191" t="inlineStr">
        <is>
          <t>SEM COSMOS</t>
        </is>
      </c>
      <c r="K191" t="inlineStr"/>
      <c r="L191" t="inlineStr"/>
      <c r="M191" t="inlineStr">
        <is>
          <t>TED 363.0001.RNX F M D R</t>
        </is>
      </c>
    </row>
    <row r="192">
      <c r="A192" t="n">
        <v>191</v>
      </c>
      <c r="B192" t="inlineStr">
        <is>
          <t>29/01/2026</t>
        </is>
      </c>
      <c r="C192" t="inlineStr">
        <is>
          <t>REF. A BOLETO PAGO TABELIONATO</t>
        </is>
      </c>
      <c r="D192" s="7" t="n">
        <v>-2121.27</v>
      </c>
      <c r="E192" t="inlineStr">
        <is>
          <t>350</t>
        </is>
      </c>
      <c r="F192" t="inlineStr">
        <is>
          <t>TAXAS DIVERSAS</t>
        </is>
      </c>
      <c r="G192" s="2" t="inlineStr">
        <is>
          <t>350</t>
        </is>
      </c>
      <c r="H192">
        <f>IFERROR(VLOOKUP(G192&amp;"",PLANO!A:B,2,FALSE),"CONTA NAO EXISTE NO PLANO")</f>
        <v/>
      </c>
      <c r="I192" t="inlineStr">
        <is>
          <t>350</t>
        </is>
      </c>
      <c r="J192" t="inlineStr">
        <is>
          <t>SEM COSMOS</t>
        </is>
      </c>
      <c r="K192" t="inlineStr"/>
      <c r="L192" t="inlineStr"/>
      <c r="M192" t="inlineStr">
        <is>
          <t>BOLETO PAGO TABELIONATO</t>
        </is>
      </c>
    </row>
    <row r="193">
      <c r="A193" t="n">
        <v>192</v>
      </c>
      <c r="B193" t="inlineStr">
        <is>
          <t>29/01/2026</t>
        </is>
      </c>
      <c r="C193" t="inlineStr">
        <is>
          <t>REF. A BOLETO PAGO TABELIONATO</t>
        </is>
      </c>
      <c r="D193" s="7" t="n">
        <v>-3554.27</v>
      </c>
      <c r="E193" t="inlineStr">
        <is>
          <t>350</t>
        </is>
      </c>
      <c r="F193" t="inlineStr">
        <is>
          <t>TAXAS DIVERSAS</t>
        </is>
      </c>
      <c r="G193" s="2" t="inlineStr">
        <is>
          <t>350</t>
        </is>
      </c>
      <c r="H193">
        <f>IFERROR(VLOOKUP(G193&amp;"",PLANO!A:B,2,FALSE),"CONTA NAO EXISTE NO PLANO")</f>
        <v/>
      </c>
      <c r="I193" t="inlineStr">
        <is>
          <t>350</t>
        </is>
      </c>
      <c r="J193" t="inlineStr">
        <is>
          <t>SEM COSMOS</t>
        </is>
      </c>
      <c r="K193" t="inlineStr"/>
      <c r="L193" t="inlineStr"/>
      <c r="M193" t="inlineStr">
        <is>
          <t>BOLETO PAGO TABELIONATO</t>
        </is>
      </c>
    </row>
    <row r="194">
      <c r="A194" t="n">
        <v>193</v>
      </c>
      <c r="B194" t="inlineStr">
        <is>
          <t>29/01/2026</t>
        </is>
      </c>
      <c r="C194" t="inlineStr">
        <is>
          <t>REF. A BOLETO PAGO TABELIONATO</t>
        </is>
      </c>
      <c r="D194" s="7" t="n">
        <v>-3961.95</v>
      </c>
      <c r="E194" t="inlineStr">
        <is>
          <t>350</t>
        </is>
      </c>
      <c r="F194" t="inlineStr">
        <is>
          <t>TAXAS DIVERSAS</t>
        </is>
      </c>
      <c r="G194" s="2" t="inlineStr">
        <is>
          <t>350</t>
        </is>
      </c>
      <c r="H194">
        <f>IFERROR(VLOOKUP(G194&amp;"",PLANO!A:B,2,FALSE),"CONTA NAO EXISTE NO PLANO")</f>
        <v/>
      </c>
      <c r="I194" t="inlineStr">
        <is>
          <t>350</t>
        </is>
      </c>
      <c r="J194" t="inlineStr">
        <is>
          <t>SEM COSMOS</t>
        </is>
      </c>
      <c r="K194" t="inlineStr"/>
      <c r="L194" t="inlineStr"/>
      <c r="M194" t="inlineStr">
        <is>
          <t>BOLETO PAGO TABELIONATO</t>
        </is>
      </c>
    </row>
    <row r="195">
      <c r="A195" t="n">
        <v>194</v>
      </c>
      <c r="B195" t="inlineStr">
        <is>
          <t>30/01/2026</t>
        </is>
      </c>
      <c r="C195" t="inlineStr">
        <is>
          <t>REF. A TED 363.0001.RNX F M D R</t>
        </is>
      </c>
      <c r="D195" s="7" t="n">
        <v>14205.16</v>
      </c>
      <c r="E195" t="inlineStr">
        <is>
          <t>504</t>
        </is>
      </c>
      <c r="F195" t="inlineStr">
        <is>
          <t>CLIENTES DIVERSOS</t>
        </is>
      </c>
      <c r="G195" s="2" t="inlineStr">
        <is>
          <t>504</t>
        </is>
      </c>
      <c r="H195">
        <f>IFERROR(VLOOKUP(G195&amp;"",PLANO!A:B,2,FALSE),"CONTA NAO EXISTE NO PLANO")</f>
        <v/>
      </c>
      <c r="I195" t="inlineStr">
        <is>
          <t>504</t>
        </is>
      </c>
      <c r="J195" t="inlineStr">
        <is>
          <t>SEM COSMOS</t>
        </is>
      </c>
      <c r="K195" t="inlineStr"/>
      <c r="L195" t="inlineStr"/>
      <c r="M195" t="inlineStr">
        <is>
          <t>TED 363.0001.RNX F M D R</t>
        </is>
      </c>
    </row>
    <row r="196">
      <c r="A196" t="n">
        <v>195</v>
      </c>
      <c r="B196" t="inlineStr">
        <is>
          <t>30/01/2026</t>
        </is>
      </c>
      <c r="C196" t="inlineStr">
        <is>
          <t>REF. A TED 363.0001.RNX F M D R</t>
        </is>
      </c>
      <c r="D196" s="7" t="n">
        <v>10064.18</v>
      </c>
      <c r="E196" t="inlineStr">
        <is>
          <t>504</t>
        </is>
      </c>
      <c r="F196" t="inlineStr">
        <is>
          <t>CLIENTES DIVERSOS</t>
        </is>
      </c>
      <c r="G196" s="2" t="inlineStr">
        <is>
          <t>504</t>
        </is>
      </c>
      <c r="H196">
        <f>IFERROR(VLOOKUP(G196&amp;"",PLANO!A:B,2,FALSE),"CONTA NAO EXISTE NO PLANO")</f>
        <v/>
      </c>
      <c r="I196" t="inlineStr">
        <is>
          <t>504</t>
        </is>
      </c>
      <c r="J196" t="inlineStr">
        <is>
          <t>SEM COSMOS</t>
        </is>
      </c>
      <c r="K196" t="inlineStr"/>
      <c r="L196" t="inlineStr"/>
      <c r="M196" t="inlineStr">
        <is>
          <t>TED 363.0001.RNX F M D R</t>
        </is>
      </c>
    </row>
    <row r="197">
      <c r="A197" t="n">
        <v>196</v>
      </c>
      <c r="B197" t="inlineStr">
        <is>
          <t>02/02/2026</t>
        </is>
      </c>
      <c r="C197" t="inlineStr">
        <is>
          <t>REF. A MOV TIT COB DISP 02/02S</t>
        </is>
      </c>
      <c r="D197" s="7" t="n">
        <v>8746.370000000001</v>
      </c>
      <c r="E197" t="inlineStr">
        <is>
          <t>504</t>
        </is>
      </c>
      <c r="F197" t="inlineStr">
        <is>
          <t>CLIENTES DIVERSOS</t>
        </is>
      </c>
      <c r="G197" s="2" t="inlineStr">
        <is>
          <t>504</t>
        </is>
      </c>
      <c r="H197">
        <f>IFERROR(VLOOKUP(G197&amp;"",PLANO!A:B,2,FALSE),"CONTA NAO EXISTE NO PLANO")</f>
        <v/>
      </c>
      <c r="I197" t="inlineStr">
        <is>
          <t>504</t>
        </is>
      </c>
      <c r="J197" t="inlineStr">
        <is>
          <t>SEM COSMOS</t>
        </is>
      </c>
      <c r="K197" t="inlineStr"/>
      <c r="L197" t="inlineStr"/>
      <c r="M197" t="inlineStr">
        <is>
          <t>MOV TIT COB DISP 02/02S</t>
        </is>
      </c>
    </row>
    <row r="198">
      <c r="A198" t="n">
        <v>197</v>
      </c>
      <c r="B198" t="inlineStr">
        <is>
          <t>02/02/2026</t>
        </is>
      </c>
      <c r="C198" t="inlineStr">
        <is>
          <t>REF. A REDE ELO AT0081996543</t>
        </is>
      </c>
      <c r="D198" s="7" t="n">
        <v>9476.780000000001</v>
      </c>
      <c r="E198" t="inlineStr">
        <is>
          <t>504</t>
        </is>
      </c>
      <c r="F198" t="inlineStr">
        <is>
          <t>CLIENTES DIVERSOS</t>
        </is>
      </c>
      <c r="G198" s="2" t="inlineStr">
        <is>
          <t>504</t>
        </is>
      </c>
      <c r="H198">
        <f>IFERROR(VLOOKUP(G198&amp;"",PLANO!A:B,2,FALSE),"CONTA NAO EXISTE NO PLANO")</f>
        <v/>
      </c>
      <c r="I198" t="inlineStr">
        <is>
          <t>504</t>
        </is>
      </c>
      <c r="J198" t="inlineStr">
        <is>
          <t>SEM COSMOS</t>
        </is>
      </c>
      <c r="K198" t="inlineStr"/>
      <c r="L198" t="inlineStr"/>
      <c r="M198" t="inlineStr">
        <is>
          <t>REDE ELO AT0081996543</t>
        </is>
      </c>
    </row>
    <row r="199">
      <c r="A199" t="n">
        <v>198</v>
      </c>
      <c r="B199" t="inlineStr">
        <is>
          <t>02/02/2026</t>
        </is>
      </c>
      <c r="C199" t="inlineStr">
        <is>
          <t>REF. A REDE MAST AT0081996543</t>
        </is>
      </c>
      <c r="D199" s="7" t="n">
        <v>3662.23</v>
      </c>
      <c r="E199" t="inlineStr">
        <is>
          <t>504</t>
        </is>
      </c>
      <c r="F199" t="inlineStr">
        <is>
          <t>CLIENTES DIVERSOS</t>
        </is>
      </c>
      <c r="G199" s="2" t="inlineStr">
        <is>
          <t>504</t>
        </is>
      </c>
      <c r="H199">
        <f>IFERROR(VLOOKUP(G199&amp;"",PLANO!A:B,2,FALSE),"CONTA NAO EXISTE NO PLANO")</f>
        <v/>
      </c>
      <c r="I199" t="inlineStr">
        <is>
          <t>504</t>
        </is>
      </c>
      <c r="J199" t="inlineStr">
        <is>
          <t>SEM COSMOS</t>
        </is>
      </c>
      <c r="K199" t="inlineStr"/>
      <c r="L199" t="inlineStr"/>
      <c r="M199" t="inlineStr">
        <is>
          <t>REDE MAST AT0081996543</t>
        </is>
      </c>
    </row>
    <row r="200">
      <c r="A200" t="n">
        <v>199</v>
      </c>
      <c r="B200" t="inlineStr">
        <is>
          <t>02/02/2026</t>
        </is>
      </c>
      <c r="C200" t="inlineStr">
        <is>
          <t>REF. A REDE VISA AT0081996543</t>
        </is>
      </c>
      <c r="D200" s="7" t="n">
        <v>14254.23</v>
      </c>
      <c r="E200" t="inlineStr">
        <is>
          <t>504</t>
        </is>
      </c>
      <c r="F200" t="inlineStr">
        <is>
          <t>CLIENTES DIVERSOS</t>
        </is>
      </c>
      <c r="G200" s="2" t="inlineStr">
        <is>
          <t>504</t>
        </is>
      </c>
      <c r="H200">
        <f>IFERROR(VLOOKUP(G200&amp;"",PLANO!A:B,2,FALSE),"CONTA NAO EXISTE NO PLANO")</f>
        <v/>
      </c>
      <c r="I200" t="inlineStr">
        <is>
          <t>504</t>
        </is>
      </c>
      <c r="J200" t="inlineStr">
        <is>
          <t>SEM COSMOS</t>
        </is>
      </c>
      <c r="K200" t="inlineStr"/>
      <c r="L200" t="inlineStr"/>
      <c r="M200" t="inlineStr">
        <is>
          <t>REDE VISA AT0081996543</t>
        </is>
      </c>
    </row>
    <row r="201">
      <c r="A201" t="n">
        <v>200</v>
      </c>
      <c r="B201" t="inlineStr">
        <is>
          <t>02/02/2026</t>
        </is>
      </c>
      <c r="C201" t="inlineStr">
        <is>
          <t>PIX ENVIADO ALINE DA SIL</t>
        </is>
      </c>
      <c r="D201" s="7" t="n">
        <v>-3259.85</v>
      </c>
      <c r="E201" t="inlineStr">
        <is>
          <t>506</t>
        </is>
      </c>
      <c r="F201" t="inlineStr">
        <is>
          <t>FORNECEDORES DIVERSOS</t>
        </is>
      </c>
      <c r="G201" s="2" t="inlineStr">
        <is>
          <t>506</t>
        </is>
      </c>
      <c r="H201">
        <f>IFERROR(VLOOKUP(G201&amp;"",PLANO!A:B,2,FALSE),"CONTA NAO EXISTE NO PLANO")</f>
        <v/>
      </c>
      <c r="I201" t="inlineStr">
        <is>
          <t>506</t>
        </is>
      </c>
      <c r="J201" t="inlineStr">
        <is>
          <t>SEM COSMOS</t>
        </is>
      </c>
      <c r="K201" t="inlineStr"/>
      <c r="L201" t="inlineStr"/>
      <c r="M201" t="inlineStr">
        <is>
          <t>PIX ENVIADO ALINE DA SIL</t>
        </is>
      </c>
    </row>
    <row r="202">
      <c r="A202" t="n">
        <v>201</v>
      </c>
      <c r="B202" t="inlineStr">
        <is>
          <t>02/02/2026</t>
        </is>
      </c>
      <c r="C202" t="inlineStr">
        <is>
          <t>REF. A PIX ENVIADO C - PACK CRE</t>
        </is>
      </c>
      <c r="D202" s="7" t="n">
        <v>-5807.5</v>
      </c>
      <c r="E202" t="inlineStr">
        <is>
          <t>506</t>
        </is>
      </c>
      <c r="F202" t="inlineStr">
        <is>
          <t>FORNECEDORES DIVERSOS</t>
        </is>
      </c>
      <c r="G202" s="2" t="inlineStr">
        <is>
          <t>506</t>
        </is>
      </c>
      <c r="H202">
        <f>IFERROR(VLOOKUP(G202&amp;"",PLANO!A:B,2,FALSE),"CONTA NAO EXISTE NO PLANO")</f>
        <v/>
      </c>
      <c r="I202" t="inlineStr">
        <is>
          <t>506</t>
        </is>
      </c>
      <c r="J202" t="inlineStr">
        <is>
          <t>SEM COSMOS</t>
        </is>
      </c>
      <c r="K202" t="inlineStr"/>
      <c r="L202" t="inlineStr"/>
      <c r="M202" t="inlineStr">
        <is>
          <t>PIX ENVIADO C - PACK CRE</t>
        </is>
      </c>
    </row>
    <row r="203">
      <c r="A203" t="n">
        <v>202</v>
      </c>
      <c r="B203" t="inlineStr">
        <is>
          <t>02/02/2026</t>
        </is>
      </c>
      <c r="C203" t="inlineStr">
        <is>
          <t>REF. A BOLETO PAGO ESTRE AMBIEN</t>
        </is>
      </c>
      <c r="D203" s="7" t="n">
        <v>-452.09</v>
      </c>
      <c r="E203" t="inlineStr">
        <is>
          <t>506</t>
        </is>
      </c>
      <c r="F203" t="inlineStr">
        <is>
          <t>FORNECEDORES DIVERSOS</t>
        </is>
      </c>
      <c r="G203" s="2" t="inlineStr">
        <is>
          <t>506</t>
        </is>
      </c>
      <c r="H203">
        <f>IFERROR(VLOOKUP(G203&amp;"",PLANO!A:B,2,FALSE),"CONTA NAO EXISTE NO PLANO")</f>
        <v/>
      </c>
      <c r="I203" t="inlineStr">
        <is>
          <t>506</t>
        </is>
      </c>
      <c r="J203" t="inlineStr">
        <is>
          <t>SEM COSMOS</t>
        </is>
      </c>
      <c r="K203" t="inlineStr"/>
      <c r="L203" t="inlineStr"/>
      <c r="M203" t="inlineStr">
        <is>
          <t>BOLETO PAGO ESTRE AMBIEN</t>
        </is>
      </c>
    </row>
    <row r="204">
      <c r="A204" t="n">
        <v>203</v>
      </c>
      <c r="B204" t="inlineStr">
        <is>
          <t>02/02/2026</t>
        </is>
      </c>
      <c r="C204" t="inlineStr">
        <is>
          <t>REF. A BOLETO PAGO GRAFICA E TR</t>
        </is>
      </c>
      <c r="D204" s="7" t="n">
        <v>-2399</v>
      </c>
      <c r="E204" t="inlineStr">
        <is>
          <t>506</t>
        </is>
      </c>
      <c r="F204" t="inlineStr">
        <is>
          <t>FORNECEDORES DIVERSOS</t>
        </is>
      </c>
      <c r="G204" s="2" t="inlineStr">
        <is>
          <t>506</t>
        </is>
      </c>
      <c r="H204">
        <f>IFERROR(VLOOKUP(G204&amp;"",PLANO!A:B,2,FALSE),"CONTA NAO EXISTE NO PLANO")</f>
        <v/>
      </c>
      <c r="I204" t="inlineStr">
        <is>
          <t>506</t>
        </is>
      </c>
      <c r="J204" t="inlineStr">
        <is>
          <t>SEM COSMOS</t>
        </is>
      </c>
      <c r="K204" t="inlineStr"/>
      <c r="L204" t="inlineStr"/>
      <c r="M204" t="inlineStr">
        <is>
          <t>BOLETO PAGO GRAFICA E TR</t>
        </is>
      </c>
    </row>
    <row r="205">
      <c r="A205" t="n">
        <v>204</v>
      </c>
      <c r="B205" t="inlineStr">
        <is>
          <t>02/02/2026</t>
        </is>
      </c>
      <c r="C205" t="inlineStr">
        <is>
          <t>REF. A BOLETO PAGO SAVATEC COME</t>
        </is>
      </c>
      <c r="D205" s="7" t="n">
        <v>-511.7</v>
      </c>
      <c r="E205" t="inlineStr">
        <is>
          <t>359</t>
        </is>
      </c>
      <c r="F205" t="inlineStr">
        <is>
          <t>MATERIAL DE ESCRITÓRIO</t>
        </is>
      </c>
      <c r="G205" s="2" t="inlineStr">
        <is>
          <t>359</t>
        </is>
      </c>
      <c r="H205">
        <f>IFERROR(VLOOKUP(G205&amp;"",PLANO!A:B,2,FALSE),"CONTA NAO EXISTE NO PLANO")</f>
        <v/>
      </c>
      <c r="I205" t="inlineStr">
        <is>
          <t>359</t>
        </is>
      </c>
      <c r="J205" t="inlineStr">
        <is>
          <t>SEM COSMOS</t>
        </is>
      </c>
      <c r="K205" t="inlineStr"/>
      <c r="L205" t="inlineStr"/>
      <c r="M205" t="inlineStr">
        <is>
          <t>BOLETO PAGO SAVATEC COME</t>
        </is>
      </c>
    </row>
    <row r="206">
      <c r="A206" t="n">
        <v>205</v>
      </c>
      <c r="B206" t="inlineStr">
        <is>
          <t>02/02/2026</t>
        </is>
      </c>
      <c r="C206" t="inlineStr">
        <is>
          <t>REF. A BOLETO PAGO SAVATEC COME</t>
        </is>
      </c>
      <c r="D206" s="7" t="n">
        <v>-861.4</v>
      </c>
      <c r="E206" t="inlineStr">
        <is>
          <t>359</t>
        </is>
      </c>
      <c r="F206" t="inlineStr">
        <is>
          <t>MATERIAL DE ESCRITÓRIO</t>
        </is>
      </c>
      <c r="G206" s="2" t="inlineStr">
        <is>
          <t>359</t>
        </is>
      </c>
      <c r="H206">
        <f>IFERROR(VLOOKUP(G206&amp;"",PLANO!A:B,2,FALSE),"CONTA NAO EXISTE NO PLANO")</f>
        <v/>
      </c>
      <c r="I206" t="inlineStr">
        <is>
          <t>359</t>
        </is>
      </c>
      <c r="J206" t="inlineStr">
        <is>
          <t>SEM COSMOS</t>
        </is>
      </c>
      <c r="K206" t="inlineStr"/>
      <c r="L206" t="inlineStr"/>
      <c r="M206" t="inlineStr">
        <is>
          <t>BOLETO PAGO SAVATEC COME</t>
        </is>
      </c>
    </row>
    <row r="207">
      <c r="A207" t="n">
        <v>206</v>
      </c>
      <c r="B207" t="inlineStr">
        <is>
          <t>02/02/2026</t>
        </is>
      </c>
      <c r="C207" t="inlineStr">
        <is>
          <t>REF. A BOLETO PAGO TABELIONATO</t>
        </is>
      </c>
      <c r="D207" s="7" t="n">
        <v>-2256.07</v>
      </c>
      <c r="E207" t="inlineStr">
        <is>
          <t>350</t>
        </is>
      </c>
      <c r="F207" t="inlineStr">
        <is>
          <t>TAXAS DIVERSAS</t>
        </is>
      </c>
      <c r="G207" s="2" t="inlineStr">
        <is>
          <t>350</t>
        </is>
      </c>
      <c r="H207">
        <f>IFERROR(VLOOKUP(G207&amp;"",PLANO!A:B,2,FALSE),"CONTA NAO EXISTE NO PLANO")</f>
        <v/>
      </c>
      <c r="I207" t="inlineStr">
        <is>
          <t>350</t>
        </is>
      </c>
      <c r="J207" t="inlineStr">
        <is>
          <t>SEM COSMOS</t>
        </is>
      </c>
      <c r="K207" t="inlineStr"/>
      <c r="L207" t="inlineStr"/>
      <c r="M207" t="inlineStr">
        <is>
          <t>BOLETO PAGO TABELIONATO</t>
        </is>
      </c>
    </row>
    <row r="208">
      <c r="A208" t="n">
        <v>207</v>
      </c>
      <c r="B208" t="inlineStr">
        <is>
          <t>03/02/2026</t>
        </is>
      </c>
      <c r="C208" t="inlineStr">
        <is>
          <t>REF. A REND PAGO APLIC AUT MAIS</t>
        </is>
      </c>
      <c r="D208" s="7" t="n">
        <v>0.02</v>
      </c>
      <c r="E208" t="inlineStr">
        <is>
          <t>432</t>
        </is>
      </c>
      <c r="F208" t="inlineStr">
        <is>
          <t>RENDIMENTOS DE APLICAÇÕES</t>
        </is>
      </c>
      <c r="G208" s="2" t="inlineStr">
        <is>
          <t>432</t>
        </is>
      </c>
      <c r="H208">
        <f>IFERROR(VLOOKUP(G208&amp;"",PLANO!A:B,2,FALSE),"CONTA NAO EXISTE NO PLANO")</f>
        <v/>
      </c>
      <c r="I208" t="inlineStr">
        <is>
          <t>432</t>
        </is>
      </c>
      <c r="J208" t="inlineStr">
        <is>
          <t>SEM COSMOS</t>
        </is>
      </c>
      <c r="K208" t="inlineStr"/>
      <c r="L208" t="inlineStr"/>
      <c r="M208" t="inlineStr">
        <is>
          <t>REND PAGO APLIC AUT MAIS</t>
        </is>
      </c>
    </row>
    <row r="209">
      <c r="A209" t="n">
        <v>208</v>
      </c>
      <c r="B209" t="inlineStr">
        <is>
          <t>03/02/2026</t>
        </is>
      </c>
      <c r="C209" t="inlineStr">
        <is>
          <t>IOF 8613.52508-1/ C/C</t>
        </is>
      </c>
      <c r="D209" s="7" t="n">
        <v>-139.81</v>
      </c>
      <c r="E209" t="inlineStr">
        <is>
          <t>625</t>
        </is>
      </c>
      <c r="F209" t="inlineStr">
        <is>
          <t>IOF</t>
        </is>
      </c>
      <c r="G209" s="2" t="inlineStr">
        <is>
          <t>625</t>
        </is>
      </c>
      <c r="H209">
        <f>IFERROR(VLOOKUP(G209&amp;"",PLANO!A:B,2,FALSE),"CONTA NAO EXISTE NO PLANO")</f>
        <v/>
      </c>
      <c r="I209" t="inlineStr">
        <is>
          <t>625</t>
        </is>
      </c>
      <c r="J209" t="inlineStr">
        <is>
          <t>SEM COSMOS</t>
        </is>
      </c>
      <c r="K209" t="inlineStr"/>
      <c r="L209" t="inlineStr"/>
      <c r="M209" t="inlineStr">
        <is>
          <t>IOF 8613.52508-1/ C/C</t>
        </is>
      </c>
    </row>
    <row r="210">
      <c r="A210" t="n">
        <v>209</v>
      </c>
      <c r="B210" t="inlineStr">
        <is>
          <t>03/02/2026</t>
        </is>
      </c>
      <c r="C210" t="inlineStr">
        <is>
          <t>REF. A SISPAG CONCESSIONARIA</t>
        </is>
      </c>
      <c r="D210" s="7" t="n">
        <v>-1231.1</v>
      </c>
      <c r="E210" t="inlineStr">
        <is>
          <t>354</t>
        </is>
      </c>
      <c r="F210" t="inlineStr">
        <is>
          <t>ENERGIA ELÉTRICA</t>
        </is>
      </c>
      <c r="G210" s="2" t="inlineStr">
        <is>
          <t>354</t>
        </is>
      </c>
      <c r="H210">
        <f>IFERROR(VLOOKUP(G210&amp;"",PLANO!A:B,2,FALSE),"CONTA NAO EXISTE NO PLANO")</f>
        <v/>
      </c>
      <c r="I210" t="inlineStr">
        <is>
          <t>354</t>
        </is>
      </c>
      <c r="J210" t="inlineStr">
        <is>
          <t>SEM COSMOS</t>
        </is>
      </c>
      <c r="K210" t="inlineStr"/>
      <c r="L210" t="inlineStr"/>
      <c r="M210" t="inlineStr">
        <is>
          <t>SISPAG CONCESSIONARIA</t>
        </is>
      </c>
    </row>
    <row r="211">
      <c r="A211" t="n">
        <v>210</v>
      </c>
      <c r="B211" t="inlineStr">
        <is>
          <t>03/02/2026</t>
        </is>
      </c>
      <c r="C211" t="inlineStr">
        <is>
          <t>REF. A SISPAG CONCESSIONARIA</t>
        </is>
      </c>
      <c r="D211" s="7" t="n">
        <v>-1470.9</v>
      </c>
      <c r="E211" t="inlineStr">
        <is>
          <t>354</t>
        </is>
      </c>
      <c r="F211" t="inlineStr">
        <is>
          <t>ENERGIA ELÉTRICA</t>
        </is>
      </c>
      <c r="G211" s="2" t="inlineStr">
        <is>
          <t>354</t>
        </is>
      </c>
      <c r="H211">
        <f>IFERROR(VLOOKUP(G211&amp;"",PLANO!A:B,2,FALSE),"CONTA NAO EXISTE NO PLANO")</f>
        <v/>
      </c>
      <c r="I211" t="inlineStr">
        <is>
          <t>354</t>
        </is>
      </c>
      <c r="J211" t="inlineStr">
        <is>
          <t>SEM COSMOS</t>
        </is>
      </c>
      <c r="K211" t="inlineStr"/>
      <c r="L211" t="inlineStr"/>
      <c r="M211" t="inlineStr">
        <is>
          <t>SISPAG CONCESSIONARIA</t>
        </is>
      </c>
    </row>
    <row r="212">
      <c r="A212" t="n">
        <v>211</v>
      </c>
      <c r="B212" t="inlineStr">
        <is>
          <t>03/02/2026</t>
        </is>
      </c>
      <c r="C212" t="inlineStr">
        <is>
          <t>REF. A SISPAG CONCESSIONARIA</t>
        </is>
      </c>
      <c r="D212" s="7" t="n">
        <v>-1482.9</v>
      </c>
      <c r="E212" t="inlineStr">
        <is>
          <t>354</t>
        </is>
      </c>
      <c r="F212" t="inlineStr">
        <is>
          <t>ENERGIA ELÉTRICA</t>
        </is>
      </c>
      <c r="G212" s="2" t="inlineStr">
        <is>
          <t>354</t>
        </is>
      </c>
      <c r="H212">
        <f>IFERROR(VLOOKUP(G212&amp;"",PLANO!A:B,2,FALSE),"CONTA NAO EXISTE NO PLANO")</f>
        <v/>
      </c>
      <c r="I212" t="inlineStr">
        <is>
          <t>354</t>
        </is>
      </c>
      <c r="J212" t="inlineStr">
        <is>
          <t>SEM COSMOS</t>
        </is>
      </c>
      <c r="K212" t="inlineStr"/>
      <c r="L212" t="inlineStr"/>
      <c r="M212" t="inlineStr">
        <is>
          <t>SISPAG CONCESSIONARIA</t>
        </is>
      </c>
    </row>
    <row r="213">
      <c r="A213" t="n">
        <v>212</v>
      </c>
      <c r="B213" t="inlineStr">
        <is>
          <t>03/02/2026</t>
        </is>
      </c>
      <c r="C213" t="inlineStr">
        <is>
          <t>IOF</t>
        </is>
      </c>
      <c r="D213" s="7" t="n">
        <v>-385.8</v>
      </c>
      <c r="E213" t="inlineStr">
        <is>
          <t>625</t>
        </is>
      </c>
      <c r="F213" t="inlineStr">
        <is>
          <t>IOF</t>
        </is>
      </c>
      <c r="G213" s="2" t="inlineStr">
        <is>
          <t>625</t>
        </is>
      </c>
      <c r="H213">
        <f>IFERROR(VLOOKUP(G213&amp;"",PLANO!A:B,2,FALSE),"CONTA NAO EXISTE NO PLANO")</f>
        <v/>
      </c>
      <c r="I213" t="inlineStr">
        <is>
          <t>625</t>
        </is>
      </c>
      <c r="J213" t="inlineStr">
        <is>
          <t>SEM COSMOS</t>
        </is>
      </c>
      <c r="K213" t="inlineStr"/>
      <c r="L213" t="inlineStr"/>
      <c r="M213" t="inlineStr">
        <is>
          <t>IOF</t>
        </is>
      </c>
    </row>
    <row r="214">
      <c r="A214" t="n">
        <v>213</v>
      </c>
      <c r="B214" t="inlineStr">
        <is>
          <t>03/02/2026</t>
        </is>
      </c>
      <c r="C214" t="inlineStr">
        <is>
          <t>REF. A PIX ENVIADO PROVITAL DO</t>
        </is>
      </c>
      <c r="D214" s="7" t="n">
        <v>-4658.16</v>
      </c>
      <c r="E214" t="inlineStr">
        <is>
          <t>506</t>
        </is>
      </c>
      <c r="F214" t="inlineStr">
        <is>
          <t>FORNECEDORES DIVERSOS</t>
        </is>
      </c>
      <c r="G214" s="2" t="inlineStr">
        <is>
          <t>506</t>
        </is>
      </c>
      <c r="H214">
        <f>IFERROR(VLOOKUP(G214&amp;"",PLANO!A:B,2,FALSE),"CONTA NAO EXISTE NO PLANO")</f>
        <v/>
      </c>
      <c r="I214" t="inlineStr">
        <is>
          <t>506</t>
        </is>
      </c>
      <c r="J214" t="inlineStr">
        <is>
          <t>SEM COSMOS</t>
        </is>
      </c>
      <c r="K214" t="inlineStr"/>
      <c r="L214" t="inlineStr"/>
      <c r="M214" t="inlineStr">
        <is>
          <t>PIX ENVIADO PROVITAL DO</t>
        </is>
      </c>
    </row>
    <row r="215">
      <c r="A215" t="n">
        <v>214</v>
      </c>
      <c r="B215" t="inlineStr">
        <is>
          <t>03/02/2026</t>
        </is>
      </c>
      <c r="C215" t="inlineStr">
        <is>
          <t>REF. A BOLETO PAGO M GRINGS E C</t>
        </is>
      </c>
      <c r="D215" s="7" t="n">
        <v>-1063</v>
      </c>
      <c r="E215" t="inlineStr">
        <is>
          <t>506</t>
        </is>
      </c>
      <c r="F215" t="inlineStr">
        <is>
          <t>FORNECEDORES DIVERSOS</t>
        </is>
      </c>
      <c r="G215" s="2" t="inlineStr">
        <is>
          <t>506</t>
        </is>
      </c>
      <c r="H215">
        <f>IFERROR(VLOOKUP(G215&amp;"",PLANO!A:B,2,FALSE),"CONTA NAO EXISTE NO PLANO")</f>
        <v/>
      </c>
      <c r="I215" t="inlineStr">
        <is>
          <t>506</t>
        </is>
      </c>
      <c r="J215" t="inlineStr">
        <is>
          <t>SEM COSMOS</t>
        </is>
      </c>
      <c r="K215" t="inlineStr"/>
      <c r="L215" t="inlineStr"/>
      <c r="M215" t="inlineStr">
        <is>
          <t>BOLETO PAGO M GRINGS E C</t>
        </is>
      </c>
    </row>
    <row r="216">
      <c r="A216" t="n">
        <v>215</v>
      </c>
      <c r="B216" t="inlineStr">
        <is>
          <t>03/02/2026</t>
        </is>
      </c>
      <c r="C216" t="inlineStr">
        <is>
          <t>REF. A BOLETO PAGO TEX COURIER</t>
        </is>
      </c>
      <c r="D216" s="7" t="n">
        <v>-190.14</v>
      </c>
      <c r="E216" t="inlineStr">
        <is>
          <t>312</t>
        </is>
      </c>
      <c r="F216" t="inlineStr">
        <is>
          <t>FRETES E CARRETOS</t>
        </is>
      </c>
      <c r="G216" s="2" t="inlineStr">
        <is>
          <t>312</t>
        </is>
      </c>
      <c r="H216">
        <f>IFERROR(VLOOKUP(G216&amp;"",PLANO!A:B,2,FALSE),"CONTA NAO EXISTE NO PLANO")</f>
        <v/>
      </c>
      <c r="I216" t="inlineStr">
        <is>
          <t>312</t>
        </is>
      </c>
      <c r="J216" t="inlineStr">
        <is>
          <t>SEM COSMOS</t>
        </is>
      </c>
      <c r="K216" t="inlineStr"/>
      <c r="L216" t="inlineStr"/>
      <c r="M216" t="inlineStr">
        <is>
          <t>BOLETO PAGO TEX COURIER</t>
        </is>
      </c>
    </row>
    <row r="217">
      <c r="A217" t="n">
        <v>216</v>
      </c>
      <c r="B217" t="inlineStr">
        <is>
          <t>03/02/2026</t>
        </is>
      </c>
      <c r="C217" t="inlineStr">
        <is>
          <t>REF. A TAR COBRANCA EXP</t>
        </is>
      </c>
      <c r="D217" s="7" t="n">
        <v>-122.1</v>
      </c>
      <c r="E217" t="inlineStr">
        <is>
          <t>626</t>
        </is>
      </c>
      <c r="F217" t="inlineStr">
        <is>
          <t>TARIFAS BANCARIAS</t>
        </is>
      </c>
      <c r="G217" s="2" t="inlineStr">
        <is>
          <t>626</t>
        </is>
      </c>
      <c r="H217">
        <f>IFERROR(VLOOKUP(G217&amp;"",PLANO!A:B,2,FALSE),"CONTA NAO EXISTE NO PLANO")</f>
        <v/>
      </c>
      <c r="I217" t="inlineStr">
        <is>
          <t>626</t>
        </is>
      </c>
      <c r="J217" t="inlineStr">
        <is>
          <t>SEM COSMOS</t>
        </is>
      </c>
      <c r="K217" t="inlineStr"/>
      <c r="L217" t="inlineStr"/>
      <c r="M217" t="inlineStr">
        <is>
          <t>TAR COBRANCA EXP</t>
        </is>
      </c>
    </row>
    <row r="218">
      <c r="A218" t="n">
        <v>217</v>
      </c>
      <c r="B218" t="inlineStr">
        <is>
          <t>03/02/2026</t>
        </is>
      </c>
      <c r="C218" t="inlineStr">
        <is>
          <t>REF. A TAR PIX PGTO TRANSF</t>
        </is>
      </c>
      <c r="D218" s="7" t="n">
        <v>-203.5</v>
      </c>
      <c r="E218" t="inlineStr">
        <is>
          <t>626</t>
        </is>
      </c>
      <c r="F218" t="inlineStr">
        <is>
          <t>TARIFAS BANCARIAS</t>
        </is>
      </c>
      <c r="G218" s="2" t="inlineStr">
        <is>
          <t>626</t>
        </is>
      </c>
      <c r="H218">
        <f>IFERROR(VLOOKUP(G218&amp;"",PLANO!A:B,2,FALSE),"CONTA NAO EXISTE NO PLANO")</f>
        <v/>
      </c>
      <c r="I218" t="inlineStr">
        <is>
          <t>626</t>
        </is>
      </c>
      <c r="J218" t="inlineStr">
        <is>
          <t>SEM COSMOS</t>
        </is>
      </c>
      <c r="K218" t="inlineStr"/>
      <c r="L218" t="inlineStr"/>
      <c r="M218" t="inlineStr">
        <is>
          <t>TAR PIX PGTO TRANSF</t>
        </is>
      </c>
    </row>
    <row r="219">
      <c r="A219" t="n">
        <v>218</v>
      </c>
      <c r="B219" t="inlineStr">
        <is>
          <t>04/02/2026</t>
        </is>
      </c>
      <c r="C219" t="inlineStr">
        <is>
          <t>REF. A MOV TIT COB DISP 04/02S</t>
        </is>
      </c>
      <c r="D219" s="7" t="n">
        <v>759.3</v>
      </c>
      <c r="E219" t="inlineStr">
        <is>
          <t>504</t>
        </is>
      </c>
      <c r="F219" t="inlineStr">
        <is>
          <t>CLIENTES DIVERSOS</t>
        </is>
      </c>
      <c r="G219" s="2" t="inlineStr">
        <is>
          <t>504</t>
        </is>
      </c>
      <c r="H219">
        <f>IFERROR(VLOOKUP(G219&amp;"",PLANO!A:B,2,FALSE),"CONTA NAO EXISTE NO PLANO")</f>
        <v/>
      </c>
      <c r="I219" t="inlineStr">
        <is>
          <t>504</t>
        </is>
      </c>
      <c r="J219" t="inlineStr">
        <is>
          <t>SEM COSMOS</t>
        </is>
      </c>
      <c r="K219" t="inlineStr"/>
      <c r="L219" t="inlineStr"/>
      <c r="M219" t="inlineStr">
        <is>
          <t>MOV TIT COB DISP 04/02S</t>
        </is>
      </c>
    </row>
    <row r="220">
      <c r="A220" t="n">
        <v>219</v>
      </c>
      <c r="B220" t="inlineStr">
        <is>
          <t>04/02/2026</t>
        </is>
      </c>
      <c r="C220" t="inlineStr">
        <is>
          <t>REF. A PIX TRANSF NUTRABE04/02</t>
        </is>
      </c>
      <c r="D220" s="7" t="n">
        <v>3048</v>
      </c>
      <c r="E220" t="inlineStr">
        <is>
          <t>504</t>
        </is>
      </c>
      <c r="F220" t="inlineStr">
        <is>
          <t>CLIENTES DIVERSOS</t>
        </is>
      </c>
      <c r="G220" s="2" t="inlineStr">
        <is>
          <t>504</t>
        </is>
      </c>
      <c r="H220">
        <f>IFERROR(VLOOKUP(G220&amp;"",PLANO!A:B,2,FALSE),"CONTA NAO EXISTE NO PLANO")</f>
        <v/>
      </c>
      <c r="I220" t="inlineStr">
        <is>
          <t>504</t>
        </is>
      </c>
      <c r="J220" t="inlineStr">
        <is>
          <t>SEM COSMOS</t>
        </is>
      </c>
      <c r="K220" t="inlineStr"/>
      <c r="L220" t="inlineStr"/>
      <c r="M220" t="inlineStr">
        <is>
          <t>PIX TRANSF NUTRABE04/02</t>
        </is>
      </c>
    </row>
    <row r="221">
      <c r="A221" t="n">
        <v>220</v>
      </c>
      <c r="B221" t="inlineStr">
        <is>
          <t>04/02/2026</t>
        </is>
      </c>
      <c r="C221" t="inlineStr">
        <is>
          <t>REF. A PIX TRANSF STYLEBA04/02</t>
        </is>
      </c>
      <c r="D221" s="7" t="n">
        <v>5347.27</v>
      </c>
      <c r="E221" t="inlineStr">
        <is>
          <t>504</t>
        </is>
      </c>
      <c r="F221" t="inlineStr">
        <is>
          <t>CLIENTES DIVERSOS</t>
        </is>
      </c>
      <c r="G221" s="2" t="inlineStr">
        <is>
          <t>504</t>
        </is>
      </c>
      <c r="H221">
        <f>IFERROR(VLOOKUP(G221&amp;"",PLANO!A:B,2,FALSE),"CONTA NAO EXISTE NO PLANO")</f>
        <v/>
      </c>
      <c r="I221" t="inlineStr">
        <is>
          <t>504</t>
        </is>
      </c>
      <c r="J221" t="inlineStr">
        <is>
          <t>SEM COSMOS</t>
        </is>
      </c>
      <c r="K221" t="inlineStr"/>
      <c r="L221" t="inlineStr"/>
      <c r="M221" t="inlineStr">
        <is>
          <t>PIX TRANSF STYLEBA04/02</t>
        </is>
      </c>
    </row>
    <row r="222">
      <c r="A222" t="n">
        <v>221</v>
      </c>
      <c r="B222" t="inlineStr">
        <is>
          <t>04/02/2026</t>
        </is>
      </c>
      <c r="C222" t="inlineStr">
        <is>
          <t>REF. A PIX ENVIADO DISTRIOL - I</t>
        </is>
      </c>
      <c r="D222" s="7" t="n">
        <v>-662</v>
      </c>
      <c r="E222" t="inlineStr">
        <is>
          <t>493</t>
        </is>
      </c>
      <c r="F222" t="inlineStr">
        <is>
          <t>DESPESAS DIVERSAS</t>
        </is>
      </c>
      <c r="G222" s="2" t="inlineStr">
        <is>
          <t>493</t>
        </is>
      </c>
      <c r="H222">
        <f>IFERROR(VLOOKUP(G222&amp;"",PLANO!A:B,2,FALSE),"CONTA NAO EXISTE NO PLANO")</f>
        <v/>
      </c>
      <c r="I222" t="inlineStr">
        <is>
          <t>493</t>
        </is>
      </c>
      <c r="J222" t="inlineStr">
        <is>
          <t>SEM COSMOS</t>
        </is>
      </c>
      <c r="K222" t="inlineStr"/>
      <c r="L222" t="inlineStr"/>
      <c r="M222" t="inlineStr">
        <is>
          <t>PIX ENVIADO DISTRIOL - I</t>
        </is>
      </c>
    </row>
    <row r="223">
      <c r="A223" t="n">
        <v>222</v>
      </c>
      <c r="B223" t="inlineStr">
        <is>
          <t>04/02/2026</t>
        </is>
      </c>
      <c r="C223" t="inlineStr">
        <is>
          <t>REF. A PIX ENVIADO UNIVAR SOLUT</t>
        </is>
      </c>
      <c r="D223" s="7" t="n">
        <v>-1439.4</v>
      </c>
      <c r="E223" t="inlineStr">
        <is>
          <t>506</t>
        </is>
      </c>
      <c r="F223" t="inlineStr">
        <is>
          <t>FORNECEDORES DIVERSOS</t>
        </is>
      </c>
      <c r="G223" s="2" t="inlineStr">
        <is>
          <t>506</t>
        </is>
      </c>
      <c r="H223">
        <f>IFERROR(VLOOKUP(G223&amp;"",PLANO!A:B,2,FALSE),"CONTA NAO EXISTE NO PLANO")</f>
        <v/>
      </c>
      <c r="I223" t="inlineStr">
        <is>
          <t>506</t>
        </is>
      </c>
      <c r="J223" t="inlineStr">
        <is>
          <t>SEM COSMOS</t>
        </is>
      </c>
      <c r="K223" t="inlineStr"/>
      <c r="L223" t="inlineStr"/>
      <c r="M223" t="inlineStr">
        <is>
          <t>PIX ENVIADO UNIVAR SOLUT</t>
        </is>
      </c>
    </row>
    <row r="224">
      <c r="A224" t="n">
        <v>223</v>
      </c>
      <c r="B224" t="inlineStr">
        <is>
          <t>04/02/2026</t>
        </is>
      </c>
      <c r="C224" t="inlineStr">
        <is>
          <t>BOLETO PAGO EXPRESSO SAO</t>
        </is>
      </c>
      <c r="D224" s="7" t="n">
        <v>-395.23</v>
      </c>
      <c r="E224" t="inlineStr">
        <is>
          <t>312</t>
        </is>
      </c>
      <c r="F224" t="inlineStr">
        <is>
          <t>FRETES E CARRETOS</t>
        </is>
      </c>
      <c r="G224" s="2" t="inlineStr">
        <is>
          <t>312</t>
        </is>
      </c>
      <c r="H224">
        <f>IFERROR(VLOOKUP(G224&amp;"",PLANO!A:B,2,FALSE),"CONTA NAO EXISTE NO PLANO")</f>
        <v/>
      </c>
      <c r="I224" t="inlineStr">
        <is>
          <t>312</t>
        </is>
      </c>
      <c r="J224" t="inlineStr">
        <is>
          <t>SEM COSMOS</t>
        </is>
      </c>
      <c r="K224" t="inlineStr"/>
      <c r="L224" t="inlineStr"/>
      <c r="M224" t="inlineStr">
        <is>
          <t>BOLETO PAGO EXPRESSO SAO</t>
        </is>
      </c>
    </row>
    <row r="225">
      <c r="A225" t="n">
        <v>224</v>
      </c>
      <c r="B225" t="inlineStr">
        <is>
          <t>04/02/2026</t>
        </is>
      </c>
      <c r="C225" t="inlineStr">
        <is>
          <t>REF. A BOLETO PAGO GRAFICA E TR</t>
        </is>
      </c>
      <c r="D225" s="7" t="n">
        <v>-78.59</v>
      </c>
      <c r="E225" t="inlineStr">
        <is>
          <t>506</t>
        </is>
      </c>
      <c r="F225" t="inlineStr">
        <is>
          <t>FORNECEDORES DIVERSOS</t>
        </is>
      </c>
      <c r="G225" s="2" t="inlineStr">
        <is>
          <t>506</t>
        </is>
      </c>
      <c r="H225">
        <f>IFERROR(VLOOKUP(G225&amp;"",PLANO!A:B,2,FALSE),"CONTA NAO EXISTE NO PLANO")</f>
        <v/>
      </c>
      <c r="I225" t="inlineStr">
        <is>
          <t>506</t>
        </is>
      </c>
      <c r="J225" t="inlineStr">
        <is>
          <t>SEM COSMOS</t>
        </is>
      </c>
      <c r="K225" t="inlineStr"/>
      <c r="L225" t="inlineStr"/>
      <c r="M225" t="inlineStr">
        <is>
          <t>BOLETO PAGO GRAFICA E TR</t>
        </is>
      </c>
    </row>
    <row r="226">
      <c r="A226" s="4" t="n">
        <v>225</v>
      </c>
      <c r="B226" s="4" t="inlineStr">
        <is>
          <t>04/02/2026</t>
        </is>
      </c>
      <c r="C226" s="4" t="inlineStr">
        <is>
          <t>REF. A BOLETO PAGO LINK BANK F</t>
        </is>
      </c>
      <c r="D226" s="5" t="n">
        <v>-2142</v>
      </c>
      <c r="E226" s="4" t="inlineStr">
        <is>
          <t>432</t>
        </is>
      </c>
      <c r="F226" s="4" t="inlineStr">
        <is>
          <t>RENDIMENTOS DE APLICAÇÕES</t>
        </is>
      </c>
      <c r="G226" s="6" t="inlineStr">
        <is>
          <t>506</t>
        </is>
      </c>
      <c r="H226" s="4">
        <f>IFERROR(VLOOKUP(G226&amp;"",PLANO!A:B,2,FALSE),"CONTA NAO EXISTE NO PLANO")</f>
        <v/>
      </c>
      <c r="I226" s="4" t="inlineStr">
        <is>
          <t>506</t>
        </is>
      </c>
      <c r="J226" s="4" t="inlineStr">
        <is>
          <t>AJUSTADO</t>
        </is>
      </c>
      <c r="K226" s="4" t="inlineStr">
        <is>
          <t>boleto LINK BANK = parcela AMONEX (materia-prima), Cosmos 18/02 2.142,00</t>
        </is>
      </c>
      <c r="L226" s="4" t="inlineStr"/>
      <c r="M226" s="4" t="inlineStr">
        <is>
          <t>BOLETO PAGO LINK BANK F</t>
        </is>
      </c>
    </row>
    <row r="227">
      <c r="A227" t="n">
        <v>226</v>
      </c>
      <c r="B227" t="inlineStr">
        <is>
          <t>04/02/2026</t>
        </is>
      </c>
      <c r="C227" t="inlineStr">
        <is>
          <t>REF. A BOLETO PAGO REAL TIME FI</t>
        </is>
      </c>
      <c r="D227" s="7" t="n">
        <v>-1510.3</v>
      </c>
      <c r="E227" t="inlineStr">
        <is>
          <t>493</t>
        </is>
      </c>
      <c r="F227" t="inlineStr">
        <is>
          <t>DESPESAS DIVERSAS</t>
        </is>
      </c>
      <c r="G227" s="2" t="inlineStr">
        <is>
          <t>493</t>
        </is>
      </c>
      <c r="H227">
        <f>IFERROR(VLOOKUP(G227&amp;"",PLANO!A:B,2,FALSE),"CONTA NAO EXISTE NO PLANO")</f>
        <v/>
      </c>
      <c r="I227" t="inlineStr">
        <is>
          <t>493</t>
        </is>
      </c>
      <c r="J227" t="inlineStr">
        <is>
          <t>SEM COSMOS</t>
        </is>
      </c>
      <c r="K227" t="inlineStr"/>
      <c r="L227" t="inlineStr"/>
      <c r="M227" t="inlineStr">
        <is>
          <t>BOLETO PAGO REAL TIME FI</t>
        </is>
      </c>
    </row>
    <row r="228">
      <c r="A228" t="n">
        <v>227</v>
      </c>
      <c r="B228" t="inlineStr">
        <is>
          <t>05/02/2026</t>
        </is>
      </c>
      <c r="C228" t="inlineStr">
        <is>
          <t>REF. A MOV TIT COB DISP 05/02S</t>
        </is>
      </c>
      <c r="D228" s="7" t="n">
        <v>1360.14</v>
      </c>
      <c r="E228" t="inlineStr">
        <is>
          <t>504</t>
        </is>
      </c>
      <c r="F228" t="inlineStr">
        <is>
          <t>CLIENTES DIVERSOS</t>
        </is>
      </c>
      <c r="G228" s="2" t="inlineStr">
        <is>
          <t>504</t>
        </is>
      </c>
      <c r="H228">
        <f>IFERROR(VLOOKUP(G228&amp;"",PLANO!A:B,2,FALSE),"CONTA NAO EXISTE NO PLANO")</f>
        <v/>
      </c>
      <c r="I228" t="inlineStr">
        <is>
          <t>504</t>
        </is>
      </c>
      <c r="J228" t="inlineStr">
        <is>
          <t>SEM COSMOS</t>
        </is>
      </c>
      <c r="K228" t="inlineStr"/>
      <c r="L228" t="inlineStr"/>
      <c r="M228" t="inlineStr">
        <is>
          <t>MOV TIT COB DISP 05/02S</t>
        </is>
      </c>
    </row>
    <row r="229">
      <c r="A229" t="n">
        <v>228</v>
      </c>
      <c r="B229" t="inlineStr">
        <is>
          <t>05/02/2026</t>
        </is>
      </c>
      <c r="C229" t="inlineStr">
        <is>
          <t>REF. A REND PAGO APLIC AUT MAIS</t>
        </is>
      </c>
      <c r="D229" s="7" t="n">
        <v>0.03</v>
      </c>
      <c r="E229" t="inlineStr">
        <is>
          <t>432</t>
        </is>
      </c>
      <c r="F229" t="inlineStr">
        <is>
          <t>RENDIMENTOS DE APLICAÇÕES</t>
        </is>
      </c>
      <c r="G229" s="2" t="inlineStr">
        <is>
          <t>432</t>
        </is>
      </c>
      <c r="H229">
        <f>IFERROR(VLOOKUP(G229&amp;"",PLANO!A:B,2,FALSE),"CONTA NAO EXISTE NO PLANO")</f>
        <v/>
      </c>
      <c r="I229" t="inlineStr">
        <is>
          <t>432</t>
        </is>
      </c>
      <c r="J229" t="inlineStr">
        <is>
          <t>SEM COSMOS</t>
        </is>
      </c>
      <c r="K229" t="inlineStr"/>
      <c r="L229" t="inlineStr"/>
      <c r="M229" t="inlineStr">
        <is>
          <t>REND PAGO APLIC AUT MAIS</t>
        </is>
      </c>
    </row>
    <row r="230">
      <c r="A230" t="n">
        <v>229</v>
      </c>
      <c r="B230" t="inlineStr">
        <is>
          <t>05/02/2026</t>
        </is>
      </c>
      <c r="C230" t="inlineStr">
        <is>
          <t>REF. A RENDIMENTO BRUTO PAGO</t>
        </is>
      </c>
      <c r="D230" s="7" t="n">
        <v>0.32</v>
      </c>
      <c r="E230" t="inlineStr">
        <is>
          <t>432</t>
        </is>
      </c>
      <c r="F230" t="inlineStr">
        <is>
          <t>RENDIMENTOS DE APLICAÇÕES</t>
        </is>
      </c>
      <c r="G230" s="2" t="inlineStr">
        <is>
          <t>432</t>
        </is>
      </c>
      <c r="H230">
        <f>IFERROR(VLOOKUP(G230&amp;"",PLANO!A:B,2,FALSE),"CONTA NAO EXISTE NO PLANO")</f>
        <v/>
      </c>
      <c r="I230" t="inlineStr">
        <is>
          <t>432</t>
        </is>
      </c>
      <c r="J230" t="inlineStr">
        <is>
          <t>SEM COSMOS</t>
        </is>
      </c>
      <c r="K230" t="inlineStr"/>
      <c r="L230" t="inlineStr"/>
      <c r="M230" t="inlineStr">
        <is>
          <t>RENDIMENTO BRUTO PAGO</t>
        </is>
      </c>
    </row>
    <row r="231">
      <c r="A231" t="n">
        <v>230</v>
      </c>
      <c r="B231" t="inlineStr">
        <is>
          <t>05/02/2026</t>
        </is>
      </c>
      <c r="C231" t="inlineStr">
        <is>
          <t>REF. A PIX ENVIADO PIZZA PACK C</t>
        </is>
      </c>
      <c r="D231" s="7" t="n">
        <v>-2854</v>
      </c>
      <c r="E231" t="inlineStr">
        <is>
          <t>493</t>
        </is>
      </c>
      <c r="F231" t="inlineStr">
        <is>
          <t>DESPESAS DIVERSAS</t>
        </is>
      </c>
      <c r="G231" s="2" t="inlineStr">
        <is>
          <t>493</t>
        </is>
      </c>
      <c r="H231">
        <f>IFERROR(VLOOKUP(G231&amp;"",PLANO!A:B,2,FALSE),"CONTA NAO EXISTE NO PLANO")</f>
        <v/>
      </c>
      <c r="I231" t="inlineStr">
        <is>
          <t>493</t>
        </is>
      </c>
      <c r="J231" t="inlineStr">
        <is>
          <t>SEM COSMOS</t>
        </is>
      </c>
      <c r="K231" t="inlineStr"/>
      <c r="L231" t="inlineStr"/>
      <c r="M231" t="inlineStr">
        <is>
          <t>PIX ENVIADO PIZZA PACK C</t>
        </is>
      </c>
    </row>
    <row r="232">
      <c r="A232" t="n">
        <v>231</v>
      </c>
      <c r="B232" t="inlineStr">
        <is>
          <t>05/02/2026</t>
        </is>
      </c>
      <c r="C232" t="inlineStr">
        <is>
          <t>PIX ENVIADO ALINE DA SIL</t>
        </is>
      </c>
      <c r="D232" s="7" t="n">
        <v>-3959.85</v>
      </c>
      <c r="E232" t="inlineStr">
        <is>
          <t>506</t>
        </is>
      </c>
      <c r="F232" t="inlineStr">
        <is>
          <t>FORNECEDORES DIVERSOS</t>
        </is>
      </c>
      <c r="G232" s="2" t="inlineStr">
        <is>
          <t>506</t>
        </is>
      </c>
      <c r="H232">
        <f>IFERROR(VLOOKUP(G232&amp;"",PLANO!A:B,2,FALSE),"CONTA NAO EXISTE NO PLANO")</f>
        <v/>
      </c>
      <c r="I232" t="inlineStr">
        <is>
          <t>506</t>
        </is>
      </c>
      <c r="J232" t="inlineStr">
        <is>
          <t>SEM COSMOS</t>
        </is>
      </c>
      <c r="K232" t="inlineStr"/>
      <c r="L232" t="inlineStr"/>
      <c r="M232" t="inlineStr">
        <is>
          <t>PIX ENVIADO ALINE DA SIL</t>
        </is>
      </c>
    </row>
    <row r="233">
      <c r="A233" t="n">
        <v>232</v>
      </c>
      <c r="B233" t="inlineStr">
        <is>
          <t>05/02/2026</t>
        </is>
      </c>
      <c r="C233" t="inlineStr">
        <is>
          <t>REF. A PIX ENVIADO AKG ADMINIST</t>
        </is>
      </c>
      <c r="D233" s="7" t="n">
        <v>-31321.88</v>
      </c>
      <c r="E233" t="inlineStr">
        <is>
          <t>320</t>
        </is>
      </c>
      <c r="F233" t="inlineStr">
        <is>
          <t>ALUGUÉIS</t>
        </is>
      </c>
      <c r="G233" s="2" t="inlineStr">
        <is>
          <t>320</t>
        </is>
      </c>
      <c r="H233">
        <f>IFERROR(VLOOKUP(G233&amp;"",PLANO!A:B,2,FALSE),"CONTA NAO EXISTE NO PLANO")</f>
        <v/>
      </c>
      <c r="I233" t="inlineStr">
        <is>
          <t>320</t>
        </is>
      </c>
      <c r="J233" t="inlineStr">
        <is>
          <t>SEM COSMOS</t>
        </is>
      </c>
      <c r="K233" t="inlineStr"/>
      <c r="L233" t="inlineStr"/>
      <c r="M233" t="inlineStr">
        <is>
          <t>PIX ENVIADO AKG ADMINIST</t>
        </is>
      </c>
    </row>
    <row r="234">
      <c r="A234" t="n">
        <v>233</v>
      </c>
      <c r="B234" t="inlineStr">
        <is>
          <t>05/02/2026</t>
        </is>
      </c>
      <c r="C234" t="inlineStr">
        <is>
          <t>BOLETO PAGO ANDRADE ENGE</t>
        </is>
      </c>
      <c r="D234" s="7" t="n">
        <v>-1124.56</v>
      </c>
      <c r="E234" t="inlineStr">
        <is>
          <t>362</t>
        </is>
      </c>
      <c r="F234" t="inlineStr">
        <is>
          <t>SERVIÇOS PRESTADOS POR TERCEIROS</t>
        </is>
      </c>
      <c r="G234" s="2" t="inlineStr">
        <is>
          <t>362</t>
        </is>
      </c>
      <c r="H234">
        <f>IFERROR(VLOOKUP(G234&amp;"",PLANO!A:B,2,FALSE),"CONTA NAO EXISTE NO PLANO")</f>
        <v/>
      </c>
      <c r="I234" t="inlineStr">
        <is>
          <t>362</t>
        </is>
      </c>
      <c r="J234" t="inlineStr">
        <is>
          <t>SEM COSMOS</t>
        </is>
      </c>
      <c r="K234" t="inlineStr"/>
      <c r="L234" t="inlineStr"/>
      <c r="M234" t="inlineStr">
        <is>
          <t>BOLETO PAGO ANDRADE ENGE</t>
        </is>
      </c>
    </row>
    <row r="235">
      <c r="A235" t="n">
        <v>234</v>
      </c>
      <c r="B235" t="inlineStr">
        <is>
          <t>05/02/2026</t>
        </is>
      </c>
      <c r="C235" t="inlineStr">
        <is>
          <t>REF. A BOLETO PAGO INSTITUTO AG</t>
        </is>
      </c>
      <c r="D235" s="7" t="n">
        <v>-295.32</v>
      </c>
      <c r="E235" t="inlineStr">
        <is>
          <t>493</t>
        </is>
      </c>
      <c r="F235" t="inlineStr">
        <is>
          <t>DESPESAS DIVERSAS</t>
        </is>
      </c>
      <c r="G235" s="2" t="inlineStr">
        <is>
          <t>493</t>
        </is>
      </c>
      <c r="H235">
        <f>IFERROR(VLOOKUP(G235&amp;"",PLANO!A:B,2,FALSE),"CONTA NAO EXISTE NO PLANO")</f>
        <v/>
      </c>
      <c r="I235" t="inlineStr">
        <is>
          <t>493</t>
        </is>
      </c>
      <c r="J235" t="inlineStr">
        <is>
          <t>SEM COSMOS</t>
        </is>
      </c>
      <c r="K235" t="inlineStr"/>
      <c r="L235" t="inlineStr"/>
      <c r="M235" t="inlineStr">
        <is>
          <t>BOLETO PAGO INSTITUTO AG</t>
        </is>
      </c>
    </row>
    <row r="236">
      <c r="A236" t="n">
        <v>235</v>
      </c>
      <c r="B236" t="inlineStr">
        <is>
          <t>05/02/2026</t>
        </is>
      </c>
      <c r="C236" t="inlineStr">
        <is>
          <t>REF. A BOLETO PAGO SINDICATO DA</t>
        </is>
      </c>
      <c r="D236" s="7" t="n">
        <v>-538</v>
      </c>
      <c r="E236" t="inlineStr">
        <is>
          <t>350</t>
        </is>
      </c>
      <c r="F236" t="inlineStr">
        <is>
          <t>TAXAS DIVERSAS</t>
        </is>
      </c>
      <c r="G236" s="2" t="inlineStr">
        <is>
          <t>350</t>
        </is>
      </c>
      <c r="H236">
        <f>IFERROR(VLOOKUP(G236&amp;"",PLANO!A:B,2,FALSE),"CONTA NAO EXISTE NO PLANO")</f>
        <v/>
      </c>
      <c r="I236" t="inlineStr">
        <is>
          <t>350</t>
        </is>
      </c>
      <c r="J236" t="inlineStr">
        <is>
          <t>SEM COSMOS</t>
        </is>
      </c>
      <c r="K236" t="inlineStr"/>
      <c r="L236" t="inlineStr"/>
      <c r="M236" t="inlineStr">
        <is>
          <t>BOLETO PAGO SINDICATO DA</t>
        </is>
      </c>
    </row>
    <row r="237">
      <c r="A237" t="n">
        <v>236</v>
      </c>
      <c r="B237" t="inlineStr">
        <is>
          <t>05/02/2026</t>
        </is>
      </c>
      <c r="C237" t="inlineStr">
        <is>
          <t>REF. A BOLETO PAGO TECNOPONTO T</t>
        </is>
      </c>
      <c r="D237" s="7" t="n">
        <v>-112.42</v>
      </c>
      <c r="E237" t="inlineStr">
        <is>
          <t>506</t>
        </is>
      </c>
      <c r="F237" t="inlineStr">
        <is>
          <t>FORNECEDORES DIVERSOS</t>
        </is>
      </c>
      <c r="G237" s="2" t="inlineStr">
        <is>
          <t>506</t>
        </is>
      </c>
      <c r="H237">
        <f>IFERROR(VLOOKUP(G237&amp;"",PLANO!A:B,2,FALSE),"CONTA NAO EXISTE NO PLANO")</f>
        <v/>
      </c>
      <c r="I237" t="inlineStr">
        <is>
          <t>506</t>
        </is>
      </c>
      <c r="J237" t="inlineStr">
        <is>
          <t>SEM COSMOS</t>
        </is>
      </c>
      <c r="K237" t="inlineStr"/>
      <c r="L237" t="inlineStr"/>
      <c r="M237" t="inlineStr">
        <is>
          <t>BOLETO PAGO TECNOPONTO T</t>
        </is>
      </c>
    </row>
    <row r="238">
      <c r="A238" t="n">
        <v>237</v>
      </c>
      <c r="B238" t="inlineStr">
        <is>
          <t>05/02/2026</t>
        </is>
      </c>
      <c r="C238" t="inlineStr">
        <is>
          <t>REF. A BOLETO PAGO TEX COURIER</t>
        </is>
      </c>
      <c r="D238" s="7" t="n">
        <v>-617.22</v>
      </c>
      <c r="E238" t="inlineStr">
        <is>
          <t>312</t>
        </is>
      </c>
      <c r="F238" t="inlineStr">
        <is>
          <t>FRETES E CARRETOS</t>
        </is>
      </c>
      <c r="G238" s="2" t="inlineStr">
        <is>
          <t>312</t>
        </is>
      </c>
      <c r="H238">
        <f>IFERROR(VLOOKUP(G238&amp;"",PLANO!A:B,2,FALSE),"CONTA NAO EXISTE NO PLANO")</f>
        <v/>
      </c>
      <c r="I238" t="inlineStr">
        <is>
          <t>312</t>
        </is>
      </c>
      <c r="J238" t="inlineStr">
        <is>
          <t>SEM COSMOS</t>
        </is>
      </c>
      <c r="K238" t="inlineStr"/>
      <c r="L238" t="inlineStr"/>
      <c r="M238" t="inlineStr">
        <is>
          <t>BOLETO PAGO TEX COURIER</t>
        </is>
      </c>
    </row>
    <row r="239">
      <c r="A239" t="n">
        <v>238</v>
      </c>
      <c r="B239" t="inlineStr">
        <is>
          <t>05/02/2026</t>
        </is>
      </c>
      <c r="C239" t="inlineStr">
        <is>
          <t>REF. A BOLETO PAGO URBANO SA SO</t>
        </is>
      </c>
      <c r="D239" s="7" t="n">
        <v>-127.82</v>
      </c>
      <c r="E239" t="inlineStr">
        <is>
          <t>350</t>
        </is>
      </c>
      <c r="F239" t="inlineStr">
        <is>
          <t>TAXAS DIVERSAS</t>
        </is>
      </c>
      <c r="G239" s="2" t="inlineStr">
        <is>
          <t>350</t>
        </is>
      </c>
      <c r="H239">
        <f>IFERROR(VLOOKUP(G239&amp;"",PLANO!A:B,2,FALSE),"CONTA NAO EXISTE NO PLANO")</f>
        <v/>
      </c>
      <c r="I239" t="inlineStr">
        <is>
          <t>350</t>
        </is>
      </c>
      <c r="J239" t="inlineStr">
        <is>
          <t>SEM COSMOS</t>
        </is>
      </c>
      <c r="K239" t="inlineStr"/>
      <c r="L239" t="inlineStr"/>
      <c r="M239" t="inlineStr">
        <is>
          <t>BOLETO PAGO URBANO SA SO</t>
        </is>
      </c>
    </row>
    <row r="240">
      <c r="A240" t="n">
        <v>239</v>
      </c>
      <c r="B240" t="inlineStr">
        <is>
          <t>05/02/2026</t>
        </is>
      </c>
      <c r="C240" t="inlineStr">
        <is>
          <t>REF. A JUROS LIMITE DA CONTA</t>
        </is>
      </c>
      <c r="D240" s="7" t="n">
        <v>-5312.94</v>
      </c>
      <c r="E240" t="inlineStr">
        <is>
          <t>375</t>
        </is>
      </c>
      <c r="F240" t="inlineStr">
        <is>
          <t>JUROS SOBRE EMPRÉSTIMOS E FINANCIAMENTOS</t>
        </is>
      </c>
      <c r="G240" s="2" t="inlineStr">
        <is>
          <t>375</t>
        </is>
      </c>
      <c r="H240">
        <f>IFERROR(VLOOKUP(G240&amp;"",PLANO!A:B,2,FALSE),"CONTA NAO EXISTE NO PLANO")</f>
        <v/>
      </c>
      <c r="I240" t="inlineStr">
        <is>
          <t>375</t>
        </is>
      </c>
      <c r="J240" t="inlineStr">
        <is>
          <t>SEM COSMOS</t>
        </is>
      </c>
      <c r="K240" t="inlineStr"/>
      <c r="L240" t="inlineStr"/>
      <c r="M240" t="inlineStr">
        <is>
          <t>JUROS LIMITE DA CONTA</t>
        </is>
      </c>
    </row>
    <row r="241">
      <c r="A241" t="n">
        <v>240</v>
      </c>
      <c r="B241" t="inlineStr">
        <is>
          <t>05/02/2026</t>
        </is>
      </c>
      <c r="C241" t="inlineStr">
        <is>
          <t>IOF RETIDO</t>
        </is>
      </c>
      <c r="D241" s="7" t="n">
        <v>-0.28</v>
      </c>
      <c r="E241" t="inlineStr">
        <is>
          <t>625</t>
        </is>
      </c>
      <c r="F241" t="inlineStr">
        <is>
          <t>IOF</t>
        </is>
      </c>
      <c r="G241" s="2" t="inlineStr">
        <is>
          <t>625</t>
        </is>
      </c>
      <c r="H241">
        <f>IFERROR(VLOOKUP(G241&amp;"",PLANO!A:B,2,FALSE),"CONTA NAO EXISTE NO PLANO")</f>
        <v/>
      </c>
      <c r="I241" t="inlineStr">
        <is>
          <t>625</t>
        </is>
      </c>
      <c r="J241" t="inlineStr">
        <is>
          <t>SEM COSMOS</t>
        </is>
      </c>
      <c r="K241" t="inlineStr"/>
      <c r="L241" t="inlineStr"/>
      <c r="M241" t="inlineStr">
        <is>
          <t>IOF RETIDO</t>
        </is>
      </c>
    </row>
    <row r="242">
      <c r="A242" t="n">
        <v>241</v>
      </c>
      <c r="B242" t="inlineStr">
        <is>
          <t>05/02/2026</t>
        </is>
      </c>
      <c r="C242" t="inlineStr">
        <is>
          <t>REF. A RENDIMENTO BRUTO PAGO</t>
        </is>
      </c>
      <c r="D242" s="7" t="n">
        <v>-0.04</v>
      </c>
      <c r="E242" t="inlineStr">
        <is>
          <t>432</t>
        </is>
      </c>
      <c r="F242" t="inlineStr">
        <is>
          <t>RENDIMENTOS DE APLICAÇÕES</t>
        </is>
      </c>
      <c r="G242" s="2" t="inlineStr">
        <is>
          <t>432</t>
        </is>
      </c>
      <c r="H242">
        <f>IFERROR(VLOOKUP(G242&amp;"",PLANO!A:B,2,FALSE),"CONTA NAO EXISTE NO PLANO")</f>
        <v/>
      </c>
      <c r="I242" t="inlineStr">
        <is>
          <t>432</t>
        </is>
      </c>
      <c r="J242" t="inlineStr">
        <is>
          <t>SEM COSMOS</t>
        </is>
      </c>
      <c r="K242" t="inlineStr"/>
      <c r="L242" t="inlineStr"/>
      <c r="M242" t="inlineStr">
        <is>
          <t>RENDIMENTO BRUTO PAGO</t>
        </is>
      </c>
    </row>
    <row r="243">
      <c r="A243" t="n">
        <v>242</v>
      </c>
      <c r="B243" t="inlineStr">
        <is>
          <t>06/02/2026</t>
        </is>
      </c>
      <c r="C243" t="inlineStr">
        <is>
          <t>REF. A PIX TRANSF WALDIR 06/02</t>
        </is>
      </c>
      <c r="D243" s="7" t="n">
        <v>1754</v>
      </c>
      <c r="E243" t="inlineStr">
        <is>
          <t>504</t>
        </is>
      </c>
      <c r="F243" t="inlineStr">
        <is>
          <t>CLIENTES DIVERSOS</t>
        </is>
      </c>
      <c r="G243" s="2" t="inlineStr">
        <is>
          <t>504</t>
        </is>
      </c>
      <c r="H243">
        <f>IFERROR(VLOOKUP(G243&amp;"",PLANO!A:B,2,FALSE),"CONTA NAO EXISTE NO PLANO")</f>
        <v/>
      </c>
      <c r="I243" t="inlineStr">
        <is>
          <t>504</t>
        </is>
      </c>
      <c r="J243" t="inlineStr">
        <is>
          <t>SEM COSMOS</t>
        </is>
      </c>
      <c r="K243" t="inlineStr"/>
      <c r="L243" t="inlineStr"/>
      <c r="M243" t="inlineStr">
        <is>
          <t>PIX TRANSF WALDIR 06/02</t>
        </is>
      </c>
    </row>
    <row r="244">
      <c r="A244" t="n">
        <v>243</v>
      </c>
      <c r="B244" t="inlineStr">
        <is>
          <t>06/02/2026</t>
        </is>
      </c>
      <c r="C244" t="inlineStr">
        <is>
          <t>REF. A PIX ENVIADO L ESSENCE IN</t>
        </is>
      </c>
      <c r="D244" s="7" t="n">
        <v>-2276</v>
      </c>
      <c r="E244" t="inlineStr">
        <is>
          <t>506</t>
        </is>
      </c>
      <c r="F244" t="inlineStr">
        <is>
          <t>FORNECEDORES DIVERSOS</t>
        </is>
      </c>
      <c r="G244" s="2" t="inlineStr">
        <is>
          <t>506</t>
        </is>
      </c>
      <c r="H244">
        <f>IFERROR(VLOOKUP(G244&amp;"",PLANO!A:B,2,FALSE),"CONTA NAO EXISTE NO PLANO")</f>
        <v/>
      </c>
      <c r="I244" t="inlineStr">
        <is>
          <t>506</t>
        </is>
      </c>
      <c r="J244" t="inlineStr">
        <is>
          <t>SEM COSMOS</t>
        </is>
      </c>
      <c r="K244" t="inlineStr"/>
      <c r="L244" t="inlineStr"/>
      <c r="M244" t="inlineStr">
        <is>
          <t>PIX ENVIADO L ESSENCE IN</t>
        </is>
      </c>
    </row>
    <row r="245">
      <c r="A245" t="n">
        <v>244</v>
      </c>
      <c r="B245" t="inlineStr">
        <is>
          <t>06/02/2026</t>
        </is>
      </c>
      <c r="C245" t="inlineStr">
        <is>
          <t>REF. A BOLETO PAGO AGENCIA NACI</t>
        </is>
      </c>
      <c r="D245" s="7" t="n">
        <v>-175.72</v>
      </c>
      <c r="E245" t="inlineStr">
        <is>
          <t>350</t>
        </is>
      </c>
      <c r="F245" t="inlineStr">
        <is>
          <t>TAXAS DIVERSAS</t>
        </is>
      </c>
      <c r="G245" s="2" t="inlineStr">
        <is>
          <t>350</t>
        </is>
      </c>
      <c r="H245">
        <f>IFERROR(VLOOKUP(G245&amp;"",PLANO!A:B,2,FALSE),"CONTA NAO EXISTE NO PLANO")</f>
        <v/>
      </c>
      <c r="I245" t="inlineStr">
        <is>
          <t>350</t>
        </is>
      </c>
      <c r="J245" t="inlineStr">
        <is>
          <t>SEM COSMOS</t>
        </is>
      </c>
      <c r="K245" t="inlineStr"/>
      <c r="L245" t="inlineStr"/>
      <c r="M245" t="inlineStr">
        <is>
          <t>BOLETO PAGO AGENCIA NACI</t>
        </is>
      </c>
    </row>
    <row r="246">
      <c r="A246" t="n">
        <v>245</v>
      </c>
      <c r="B246" t="inlineStr">
        <is>
          <t>06/02/2026</t>
        </is>
      </c>
      <c r="C246" t="inlineStr">
        <is>
          <t>REF. A BOLETO PAGO TRANS TOMAZ</t>
        </is>
      </c>
      <c r="D246" s="7" t="n">
        <v>-207.74</v>
      </c>
      <c r="E246" t="inlineStr">
        <is>
          <t>312</t>
        </is>
      </c>
      <c r="F246" t="inlineStr">
        <is>
          <t>FRETES E CARRETOS</t>
        </is>
      </c>
      <c r="G246" s="2" t="inlineStr">
        <is>
          <t>312</t>
        </is>
      </c>
      <c r="H246">
        <f>IFERROR(VLOOKUP(G246&amp;"",PLANO!A:B,2,FALSE),"CONTA NAO EXISTE NO PLANO")</f>
        <v/>
      </c>
      <c r="I246" t="inlineStr">
        <is>
          <t>312</t>
        </is>
      </c>
      <c r="J246" t="inlineStr">
        <is>
          <t>SEM COSMOS</t>
        </is>
      </c>
      <c r="K246" t="inlineStr"/>
      <c r="L246" t="inlineStr"/>
      <c r="M246" t="inlineStr">
        <is>
          <t>BOLETO PAGO TRANS TOMAZ</t>
        </is>
      </c>
    </row>
    <row r="247">
      <c r="A247" t="n">
        <v>246</v>
      </c>
      <c r="B247" t="inlineStr">
        <is>
          <t>06/02/2026</t>
        </is>
      </c>
      <c r="C247" t="inlineStr">
        <is>
          <t>REF. A BOLETO PAGO TRANSAL</t>
        </is>
      </c>
      <c r="D247" s="7" t="n">
        <v>-1076.81</v>
      </c>
      <c r="E247" t="inlineStr">
        <is>
          <t>312</t>
        </is>
      </c>
      <c r="F247" t="inlineStr">
        <is>
          <t>FRETES E CARRETOS</t>
        </is>
      </c>
      <c r="G247" s="2" t="inlineStr">
        <is>
          <t>312</t>
        </is>
      </c>
      <c r="H247">
        <f>IFERROR(VLOOKUP(G247&amp;"",PLANO!A:B,2,FALSE),"CONTA NAO EXISTE NO PLANO")</f>
        <v/>
      </c>
      <c r="I247" t="inlineStr">
        <is>
          <t>312</t>
        </is>
      </c>
      <c r="J247" t="inlineStr">
        <is>
          <t>SEM COSMOS</t>
        </is>
      </c>
      <c r="K247" t="inlineStr"/>
      <c r="L247" t="inlineStr"/>
      <c r="M247" t="inlineStr">
        <is>
          <t>BOLETO PAGO TRANSAL</t>
        </is>
      </c>
    </row>
    <row r="248">
      <c r="A248" t="n">
        <v>247</v>
      </c>
      <c r="B248" t="inlineStr">
        <is>
          <t>06/02/2026</t>
        </is>
      </c>
      <c r="C248" t="inlineStr">
        <is>
          <t>REF. A BOLETO PAGO 60512435 ALT</t>
        </is>
      </c>
      <c r="D248" s="7" t="n">
        <v>-520</v>
      </c>
      <c r="E248" t="inlineStr">
        <is>
          <t>506</t>
        </is>
      </c>
      <c r="F248" t="inlineStr">
        <is>
          <t>FORNECEDORES DIVERSOS</t>
        </is>
      </c>
      <c r="G248" s="2" t="inlineStr">
        <is>
          <t>506</t>
        </is>
      </c>
      <c r="H248">
        <f>IFERROR(VLOOKUP(G248&amp;"",PLANO!A:B,2,FALSE),"CONTA NAO EXISTE NO PLANO")</f>
        <v/>
      </c>
      <c r="I248" t="inlineStr">
        <is>
          <t>506</t>
        </is>
      </c>
      <c r="J248" t="inlineStr">
        <is>
          <t>SEM COSMOS</t>
        </is>
      </c>
      <c r="K248" t="inlineStr"/>
      <c r="L248" t="inlineStr"/>
      <c r="M248" t="inlineStr">
        <is>
          <t>BOLETO PAGO 60512435 ALT</t>
        </is>
      </c>
    </row>
    <row r="249">
      <c r="A249" t="n">
        <v>248</v>
      </c>
      <c r="B249" t="inlineStr">
        <is>
          <t>09/02/2026</t>
        </is>
      </c>
      <c r="C249" t="inlineStr">
        <is>
          <t>REF. A REDE ELO AT0081996543</t>
        </is>
      </c>
      <c r="D249" s="7" t="n">
        <v>787.89</v>
      </c>
      <c r="E249" t="inlineStr">
        <is>
          <t>504</t>
        </is>
      </c>
      <c r="F249" t="inlineStr">
        <is>
          <t>CLIENTES DIVERSOS</t>
        </is>
      </c>
      <c r="G249" s="2" t="inlineStr">
        <is>
          <t>504</t>
        </is>
      </c>
      <c r="H249">
        <f>IFERROR(VLOOKUP(G249&amp;"",PLANO!A:B,2,FALSE),"CONTA NAO EXISTE NO PLANO")</f>
        <v/>
      </c>
      <c r="I249" t="inlineStr">
        <is>
          <t>504</t>
        </is>
      </c>
      <c r="J249" t="inlineStr">
        <is>
          <t>SEM COSMOS</t>
        </is>
      </c>
      <c r="K249" t="inlineStr"/>
      <c r="L249" t="inlineStr"/>
      <c r="M249" t="inlineStr">
        <is>
          <t>REDE ELO AT0081996543</t>
        </is>
      </c>
    </row>
    <row r="250">
      <c r="A250" t="n">
        <v>249</v>
      </c>
      <c r="B250" t="inlineStr">
        <is>
          <t>09/02/2026</t>
        </is>
      </c>
      <c r="C250" t="inlineStr">
        <is>
          <t>REF. A REDE MAST AT0081996543</t>
        </is>
      </c>
      <c r="D250" s="7" t="n">
        <v>12714.62</v>
      </c>
      <c r="E250" t="inlineStr">
        <is>
          <t>504</t>
        </is>
      </c>
      <c r="F250" t="inlineStr">
        <is>
          <t>CLIENTES DIVERSOS</t>
        </is>
      </c>
      <c r="G250" s="2" t="inlineStr">
        <is>
          <t>504</t>
        </is>
      </c>
      <c r="H250">
        <f>IFERROR(VLOOKUP(G250&amp;"",PLANO!A:B,2,FALSE),"CONTA NAO EXISTE NO PLANO")</f>
        <v/>
      </c>
      <c r="I250" t="inlineStr">
        <is>
          <t>504</t>
        </is>
      </c>
      <c r="J250" t="inlineStr">
        <is>
          <t>SEM COSMOS</t>
        </is>
      </c>
      <c r="K250" t="inlineStr"/>
      <c r="L250" t="inlineStr"/>
      <c r="M250" t="inlineStr">
        <is>
          <t>REDE MAST AT0081996543</t>
        </is>
      </c>
    </row>
    <row r="251">
      <c r="A251" t="n">
        <v>250</v>
      </c>
      <c r="B251" t="inlineStr">
        <is>
          <t>09/02/2026</t>
        </is>
      </c>
      <c r="C251" t="inlineStr">
        <is>
          <t>REF. A REDE VISA AT0081996543</t>
        </is>
      </c>
      <c r="D251" s="7" t="n">
        <v>7228.74</v>
      </c>
      <c r="E251" t="inlineStr">
        <is>
          <t>504</t>
        </is>
      </c>
      <c r="F251" t="inlineStr">
        <is>
          <t>CLIENTES DIVERSOS</t>
        </is>
      </c>
      <c r="G251" s="2" t="inlineStr">
        <is>
          <t>504</t>
        </is>
      </c>
      <c r="H251">
        <f>IFERROR(VLOOKUP(G251&amp;"",PLANO!A:B,2,FALSE),"CONTA NAO EXISTE NO PLANO")</f>
        <v/>
      </c>
      <c r="I251" t="inlineStr">
        <is>
          <t>504</t>
        </is>
      </c>
      <c r="J251" t="inlineStr">
        <is>
          <t>SEM COSMOS</t>
        </is>
      </c>
      <c r="K251" t="inlineStr"/>
      <c r="L251" t="inlineStr"/>
      <c r="M251" t="inlineStr">
        <is>
          <t>REDE VISA AT0081996543</t>
        </is>
      </c>
    </row>
    <row r="252">
      <c r="A252" t="n">
        <v>251</v>
      </c>
      <c r="B252" t="inlineStr">
        <is>
          <t>09/02/2026</t>
        </is>
      </c>
      <c r="C252" t="inlineStr">
        <is>
          <t>PIX ENVIADO ALINE DA SIL</t>
        </is>
      </c>
      <c r="D252" s="7" t="n">
        <v>-3259.85</v>
      </c>
      <c r="E252" t="inlineStr">
        <is>
          <t>506</t>
        </is>
      </c>
      <c r="F252" t="inlineStr">
        <is>
          <t>FORNECEDORES DIVERSOS</t>
        </is>
      </c>
      <c r="G252" s="2" t="inlineStr">
        <is>
          <t>506</t>
        </is>
      </c>
      <c r="H252">
        <f>IFERROR(VLOOKUP(G252&amp;"",PLANO!A:B,2,FALSE),"CONTA NAO EXISTE NO PLANO")</f>
        <v/>
      </c>
      <c r="I252" t="inlineStr">
        <is>
          <t>506</t>
        </is>
      </c>
      <c r="J252" t="inlineStr">
        <is>
          <t>SEM COSMOS</t>
        </is>
      </c>
      <c r="K252" t="inlineStr"/>
      <c r="L252" t="inlineStr"/>
      <c r="M252" t="inlineStr">
        <is>
          <t>PIX ENVIADO ALINE DA SIL</t>
        </is>
      </c>
    </row>
    <row r="253">
      <c r="A253" t="n">
        <v>252</v>
      </c>
      <c r="B253" t="inlineStr">
        <is>
          <t>09/02/2026</t>
        </is>
      </c>
      <c r="C253" t="inlineStr">
        <is>
          <t>PIX ENVIADO SUZAN CRISTI</t>
        </is>
      </c>
      <c r="D253" s="7" t="n">
        <v>-7426.37</v>
      </c>
      <c r="E253" t="inlineStr">
        <is>
          <t>362</t>
        </is>
      </c>
      <c r="F253" t="inlineStr">
        <is>
          <t>SERVIÇOS PRESTADOS POR TERCEIROS</t>
        </is>
      </c>
      <c r="G253" s="2" t="inlineStr">
        <is>
          <t>362</t>
        </is>
      </c>
      <c r="H253">
        <f>IFERROR(VLOOKUP(G253&amp;"",PLANO!A:B,2,FALSE),"CONTA NAO EXISTE NO PLANO")</f>
        <v/>
      </c>
      <c r="I253" t="inlineStr">
        <is>
          <t>362</t>
        </is>
      </c>
      <c r="J253" t="inlineStr">
        <is>
          <t>SEM COSMOS</t>
        </is>
      </c>
      <c r="K253" t="inlineStr"/>
      <c r="L253" t="inlineStr"/>
      <c r="M253" t="inlineStr">
        <is>
          <t>PIX ENVIADO SUZAN CRISTI</t>
        </is>
      </c>
    </row>
    <row r="254">
      <c r="A254" t="n">
        <v>253</v>
      </c>
      <c r="B254" t="inlineStr">
        <is>
          <t>09/02/2026</t>
        </is>
      </c>
      <c r="C254" t="inlineStr">
        <is>
          <t>REF. A BOLETO PAGO CRM TECNOLOG</t>
        </is>
      </c>
      <c r="D254" s="7" t="n">
        <v>-600</v>
      </c>
      <c r="E254" t="inlineStr">
        <is>
          <t>640</t>
        </is>
      </c>
      <c r="F254" t="inlineStr">
        <is>
          <t>SOFTWARE/SISTEMA</t>
        </is>
      </c>
      <c r="G254" s="2" t="inlineStr">
        <is>
          <t>640</t>
        </is>
      </c>
      <c r="H254">
        <f>IFERROR(VLOOKUP(G254&amp;"",PLANO!A:B,2,FALSE),"CONTA NAO EXISTE NO PLANO")</f>
        <v/>
      </c>
      <c r="I254" t="inlineStr">
        <is>
          <t>640</t>
        </is>
      </c>
      <c r="J254" t="inlineStr">
        <is>
          <t>SEM COSMOS</t>
        </is>
      </c>
      <c r="K254" t="inlineStr"/>
      <c r="L254" t="inlineStr"/>
      <c r="M254" t="inlineStr">
        <is>
          <t>BOLETO PAGO CRM TECNOLOG</t>
        </is>
      </c>
    </row>
    <row r="255">
      <c r="A255" t="n">
        <v>254</v>
      </c>
      <c r="B255" t="inlineStr">
        <is>
          <t>09/02/2026</t>
        </is>
      </c>
      <c r="C255" t="inlineStr">
        <is>
          <t>REF. A BOLETO PAGO DINACO IMPOR</t>
        </is>
      </c>
      <c r="D255" s="7" t="n">
        <v>-5252.55</v>
      </c>
      <c r="E255" t="inlineStr">
        <is>
          <t>506</t>
        </is>
      </c>
      <c r="F255" t="inlineStr">
        <is>
          <t>FORNECEDORES DIVERSOS</t>
        </is>
      </c>
      <c r="G255" s="2" t="inlineStr">
        <is>
          <t>506</t>
        </is>
      </c>
      <c r="H255">
        <f>IFERROR(VLOOKUP(G255&amp;"",PLANO!A:B,2,FALSE),"CONTA NAO EXISTE NO PLANO")</f>
        <v/>
      </c>
      <c r="I255" t="inlineStr">
        <is>
          <t>506</t>
        </is>
      </c>
      <c r="J255" t="inlineStr">
        <is>
          <t>SEM COSMOS</t>
        </is>
      </c>
      <c r="K255" t="inlineStr"/>
      <c r="L255" t="inlineStr"/>
      <c r="M255" t="inlineStr">
        <is>
          <t>BOLETO PAGO DINACO IMPOR</t>
        </is>
      </c>
    </row>
    <row r="256">
      <c r="A256" t="n">
        <v>255</v>
      </c>
      <c r="B256" t="inlineStr">
        <is>
          <t>09/02/2026</t>
        </is>
      </c>
      <c r="C256" t="inlineStr">
        <is>
          <t>REF. A BOLETO PAGO FLEXOPLAST C</t>
        </is>
      </c>
      <c r="D256" s="7" t="n">
        <v>-1954.13</v>
      </c>
      <c r="E256" t="inlineStr">
        <is>
          <t>506</t>
        </is>
      </c>
      <c r="F256" t="inlineStr">
        <is>
          <t>FORNECEDORES DIVERSOS</t>
        </is>
      </c>
      <c r="G256" s="2" t="inlineStr">
        <is>
          <t>506</t>
        </is>
      </c>
      <c r="H256">
        <f>IFERROR(VLOOKUP(G256&amp;"",PLANO!A:B,2,FALSE),"CONTA NAO EXISTE NO PLANO")</f>
        <v/>
      </c>
      <c r="I256" t="inlineStr">
        <is>
          <t>506</t>
        </is>
      </c>
      <c r="J256" t="inlineStr">
        <is>
          <t>SEM COSMOS</t>
        </is>
      </c>
      <c r="K256" t="inlineStr"/>
      <c r="L256" t="inlineStr"/>
      <c r="M256" t="inlineStr">
        <is>
          <t>BOLETO PAGO FLEXOPLAST C</t>
        </is>
      </c>
    </row>
    <row r="257">
      <c r="A257" t="n">
        <v>256</v>
      </c>
      <c r="B257" t="inlineStr">
        <is>
          <t>09/02/2026</t>
        </is>
      </c>
      <c r="C257" t="inlineStr">
        <is>
          <t>REF. A BOLETO PAGO INSETCONTROL</t>
        </is>
      </c>
      <c r="D257" s="7" t="n">
        <v>-660</v>
      </c>
      <c r="E257" t="inlineStr">
        <is>
          <t>506</t>
        </is>
      </c>
      <c r="F257" t="inlineStr">
        <is>
          <t>FORNECEDORES DIVERSOS</t>
        </is>
      </c>
      <c r="G257" s="2" t="inlineStr">
        <is>
          <t>506</t>
        </is>
      </c>
      <c r="H257">
        <f>IFERROR(VLOOKUP(G257&amp;"",PLANO!A:B,2,FALSE),"CONTA NAO EXISTE NO PLANO")</f>
        <v/>
      </c>
      <c r="I257" t="inlineStr">
        <is>
          <t>506</t>
        </is>
      </c>
      <c r="J257" t="inlineStr">
        <is>
          <t>SEM COSMOS</t>
        </is>
      </c>
      <c r="K257" t="inlineStr"/>
      <c r="L257" t="inlineStr"/>
      <c r="M257" t="inlineStr">
        <is>
          <t>BOLETO PAGO INSETCONTROL</t>
        </is>
      </c>
    </row>
    <row r="258">
      <c r="A258" t="n">
        <v>257</v>
      </c>
      <c r="B258" t="inlineStr">
        <is>
          <t>09/02/2026</t>
        </is>
      </c>
      <c r="C258" t="inlineStr">
        <is>
          <t>REF. A BOLETO PAGO SINDICATO DO</t>
        </is>
      </c>
      <c r="D258" s="7" t="n">
        <v>-285</v>
      </c>
      <c r="E258" t="inlineStr">
        <is>
          <t>350</t>
        </is>
      </c>
      <c r="F258" t="inlineStr">
        <is>
          <t>TAXAS DIVERSAS</t>
        </is>
      </c>
      <c r="G258" s="2" t="inlineStr">
        <is>
          <t>350</t>
        </is>
      </c>
      <c r="H258">
        <f>IFERROR(VLOOKUP(G258&amp;"",PLANO!A:B,2,FALSE),"CONTA NAO EXISTE NO PLANO")</f>
        <v/>
      </c>
      <c r="I258" t="inlineStr">
        <is>
          <t>350</t>
        </is>
      </c>
      <c r="J258" t="inlineStr">
        <is>
          <t>SEM COSMOS</t>
        </is>
      </c>
      <c r="K258" t="inlineStr"/>
      <c r="L258" t="inlineStr"/>
      <c r="M258" t="inlineStr">
        <is>
          <t>BOLETO PAGO SINDICATO DO</t>
        </is>
      </c>
    </row>
    <row r="259">
      <c r="A259" t="n">
        <v>258</v>
      </c>
      <c r="B259" t="inlineStr">
        <is>
          <t>09/02/2026</t>
        </is>
      </c>
      <c r="C259" t="inlineStr">
        <is>
          <t>REF. A BOLETO PAGO TABELIONATO</t>
        </is>
      </c>
      <c r="D259" s="7" t="n">
        <v>-4187.46</v>
      </c>
      <c r="E259" t="inlineStr">
        <is>
          <t>350</t>
        </is>
      </c>
      <c r="F259" t="inlineStr">
        <is>
          <t>TAXAS DIVERSAS</t>
        </is>
      </c>
      <c r="G259" s="2" t="inlineStr">
        <is>
          <t>350</t>
        </is>
      </c>
      <c r="H259">
        <f>IFERROR(VLOOKUP(G259&amp;"",PLANO!A:B,2,FALSE),"CONTA NAO EXISTE NO PLANO")</f>
        <v/>
      </c>
      <c r="I259" t="inlineStr">
        <is>
          <t>350</t>
        </is>
      </c>
      <c r="J259" t="inlineStr">
        <is>
          <t>SEM COSMOS</t>
        </is>
      </c>
      <c r="K259" t="inlineStr"/>
      <c r="L259" t="inlineStr"/>
      <c r="M259" t="inlineStr">
        <is>
          <t>BOLETO PAGO TABELIONATO</t>
        </is>
      </c>
    </row>
    <row r="260">
      <c r="A260" t="n">
        <v>259</v>
      </c>
      <c r="B260" t="inlineStr">
        <is>
          <t>09/02/2026</t>
        </is>
      </c>
      <c r="C260" t="inlineStr">
        <is>
          <t>REF. A BOLETO PAGO TRANSAL</t>
        </is>
      </c>
      <c r="D260" s="7" t="n">
        <v>-183.07</v>
      </c>
      <c r="E260" t="inlineStr">
        <is>
          <t>312</t>
        </is>
      </c>
      <c r="F260" t="inlineStr">
        <is>
          <t>FRETES E CARRETOS</t>
        </is>
      </c>
      <c r="G260" s="2" t="inlineStr">
        <is>
          <t>312</t>
        </is>
      </c>
      <c r="H260">
        <f>IFERROR(VLOOKUP(G260&amp;"",PLANO!A:B,2,FALSE),"CONTA NAO EXISTE NO PLANO")</f>
        <v/>
      </c>
      <c r="I260" t="inlineStr">
        <is>
          <t>312</t>
        </is>
      </c>
      <c r="J260" t="inlineStr">
        <is>
          <t>SEM COSMOS</t>
        </is>
      </c>
      <c r="K260" t="inlineStr"/>
      <c r="L260" t="inlineStr"/>
      <c r="M260" t="inlineStr">
        <is>
          <t>BOLETO PAGO TRANSAL</t>
        </is>
      </c>
    </row>
    <row r="261">
      <c r="A261" t="n">
        <v>260</v>
      </c>
      <c r="B261" t="inlineStr">
        <is>
          <t>10/02/2026</t>
        </is>
      </c>
      <c r="C261" t="inlineStr">
        <is>
          <t>REF. A REDE MAST AT0081996543</t>
        </is>
      </c>
      <c r="D261" s="7" t="n">
        <v>392.36</v>
      </c>
      <c r="E261" t="inlineStr">
        <is>
          <t>504</t>
        </is>
      </c>
      <c r="F261" t="inlineStr">
        <is>
          <t>CLIENTES DIVERSOS</t>
        </is>
      </c>
      <c r="G261" s="2" t="inlineStr">
        <is>
          <t>504</t>
        </is>
      </c>
      <c r="H261">
        <f>IFERROR(VLOOKUP(G261&amp;"",PLANO!A:B,2,FALSE),"CONTA NAO EXISTE NO PLANO")</f>
        <v/>
      </c>
      <c r="I261" t="inlineStr">
        <is>
          <t>504</t>
        </is>
      </c>
      <c r="J261" t="inlineStr">
        <is>
          <t>SEM COSMOS</t>
        </is>
      </c>
      <c r="K261" t="inlineStr"/>
      <c r="L261" t="inlineStr"/>
      <c r="M261" t="inlineStr">
        <is>
          <t>REDE MAST AT0081996543</t>
        </is>
      </c>
    </row>
    <row r="262">
      <c r="A262" t="n">
        <v>261</v>
      </c>
      <c r="B262" t="inlineStr">
        <is>
          <t>10/02/2026</t>
        </is>
      </c>
      <c r="C262" t="inlineStr">
        <is>
          <t>REF. A REDE VISA AT0081996543</t>
        </is>
      </c>
      <c r="D262" s="7" t="n">
        <v>9348.35</v>
      </c>
      <c r="E262" t="inlineStr">
        <is>
          <t>504</t>
        </is>
      </c>
      <c r="F262" t="inlineStr">
        <is>
          <t>CLIENTES DIVERSOS</t>
        </is>
      </c>
      <c r="G262" s="2" t="inlineStr">
        <is>
          <t>504</t>
        </is>
      </c>
      <c r="H262">
        <f>IFERROR(VLOOKUP(G262&amp;"",PLANO!A:B,2,FALSE),"CONTA NAO EXISTE NO PLANO")</f>
        <v/>
      </c>
      <c r="I262" t="inlineStr">
        <is>
          <t>504</t>
        </is>
      </c>
      <c r="J262" t="inlineStr">
        <is>
          <t>SEM COSMOS</t>
        </is>
      </c>
      <c r="K262" t="inlineStr"/>
      <c r="L262" t="inlineStr"/>
      <c r="M262" t="inlineStr">
        <is>
          <t>REDE VISA AT0081996543</t>
        </is>
      </c>
    </row>
    <row r="263">
      <c r="A263" t="n">
        <v>262</v>
      </c>
      <c r="B263" t="inlineStr">
        <is>
          <t>10/02/2026</t>
        </is>
      </c>
      <c r="C263" t="inlineStr">
        <is>
          <t>REF. A TED 363.0001.RNX F M D R</t>
        </is>
      </c>
      <c r="D263" s="7" t="n">
        <v>25600.58</v>
      </c>
      <c r="E263" t="inlineStr">
        <is>
          <t>504</t>
        </is>
      </c>
      <c r="F263" t="inlineStr">
        <is>
          <t>CLIENTES DIVERSOS</t>
        </is>
      </c>
      <c r="G263" s="2" t="inlineStr">
        <is>
          <t>504</t>
        </is>
      </c>
      <c r="H263">
        <f>IFERROR(VLOOKUP(G263&amp;"",PLANO!A:B,2,FALSE),"CONTA NAO EXISTE NO PLANO")</f>
        <v/>
      </c>
      <c r="I263" t="inlineStr">
        <is>
          <t>504</t>
        </is>
      </c>
      <c r="J263" t="inlineStr">
        <is>
          <t>SEM COSMOS</t>
        </is>
      </c>
      <c r="K263" t="inlineStr"/>
      <c r="L263" t="inlineStr"/>
      <c r="M263" t="inlineStr">
        <is>
          <t>TED 363.0001.RNX F M D R</t>
        </is>
      </c>
    </row>
    <row r="264">
      <c r="A264" t="n">
        <v>263</v>
      </c>
      <c r="B264" t="inlineStr">
        <is>
          <t>10/02/2026</t>
        </is>
      </c>
      <c r="C264" t="inlineStr">
        <is>
          <t>PIX ENVIADO ALINE DA SIL</t>
        </is>
      </c>
      <c r="D264" s="7" t="n">
        <v>-700</v>
      </c>
      <c r="E264" t="inlineStr">
        <is>
          <t>506</t>
        </is>
      </c>
      <c r="F264" t="inlineStr">
        <is>
          <t>FORNECEDORES DIVERSOS</t>
        </is>
      </c>
      <c r="G264" s="2" t="inlineStr">
        <is>
          <t>506</t>
        </is>
      </c>
      <c r="H264">
        <f>IFERROR(VLOOKUP(G264&amp;"",PLANO!A:B,2,FALSE),"CONTA NAO EXISTE NO PLANO")</f>
        <v/>
      </c>
      <c r="I264" t="inlineStr">
        <is>
          <t>506</t>
        </is>
      </c>
      <c r="J264" t="inlineStr">
        <is>
          <t>SEM COSMOS</t>
        </is>
      </c>
      <c r="K264" t="inlineStr"/>
      <c r="L264" t="inlineStr"/>
      <c r="M264" t="inlineStr">
        <is>
          <t>PIX ENVIADO ALINE DA SIL</t>
        </is>
      </c>
    </row>
    <row r="265">
      <c r="A265" t="n">
        <v>264</v>
      </c>
      <c r="B265" t="inlineStr">
        <is>
          <t>10/02/2026</t>
        </is>
      </c>
      <c r="C265" t="inlineStr">
        <is>
          <t>REF. A PIX ENVIADO PIZZA PACK C</t>
        </is>
      </c>
      <c r="D265" s="7" t="n">
        <v>-77.06999999999999</v>
      </c>
      <c r="E265" t="inlineStr">
        <is>
          <t>493</t>
        </is>
      </c>
      <c r="F265" t="inlineStr">
        <is>
          <t>DESPESAS DIVERSAS</t>
        </is>
      </c>
      <c r="G265" s="2" t="inlineStr">
        <is>
          <t>493</t>
        </is>
      </c>
      <c r="H265">
        <f>IFERROR(VLOOKUP(G265&amp;"",PLANO!A:B,2,FALSE),"CONTA NAO EXISTE NO PLANO")</f>
        <v/>
      </c>
      <c r="I265" t="inlineStr">
        <is>
          <t>493</t>
        </is>
      </c>
      <c r="J265" t="inlineStr">
        <is>
          <t>SEM COSMOS</t>
        </is>
      </c>
      <c r="K265" t="inlineStr"/>
      <c r="L265" t="inlineStr"/>
      <c r="M265" t="inlineStr">
        <is>
          <t>PIX ENVIADO PIZZA PACK C</t>
        </is>
      </c>
    </row>
    <row r="266">
      <c r="A266" s="4" t="n">
        <v>265</v>
      </c>
      <c r="B266" s="4" t="inlineStr">
        <is>
          <t>10/02/2026</t>
        </is>
      </c>
      <c r="C266" s="4" t="inlineStr">
        <is>
          <t>REF. A PIX ENVIADO GULA COSMETI</t>
        </is>
      </c>
      <c r="D266" s="5" t="n">
        <v>-20000</v>
      </c>
      <c r="E266" s="4" t="inlineStr">
        <is>
          <t>506</t>
        </is>
      </c>
      <c r="F266" s="4" t="inlineStr">
        <is>
          <t>FORNECEDORES DIVERSOS</t>
        </is>
      </c>
      <c r="G266" s="6" t="inlineStr">
        <is>
          <t>366</t>
        </is>
      </c>
      <c r="H266" s="4">
        <f>IFERROR(VLOOKUP(G266&amp;"",PLANO!A:B,2,FALSE),"CONTA NAO EXISTE NO PLANO")</f>
        <v/>
      </c>
      <c r="I266" s="4" t="inlineStr">
        <is>
          <t>672</t>
        </is>
      </c>
      <c r="J266" s="4" t="inlineStr">
        <is>
          <t>AJUSTADO</t>
        </is>
      </c>
      <c r="K266" s="4" t="inlineStr">
        <is>
          <t>GULA/FIQUE BEM (mesmo CNPJ, empresa do grupo) - mutuo em EMPRESTIMOS A TERCEIROS (366); nao e fornecedor</t>
        </is>
      </c>
      <c r="L266" s="4" t="inlineStr"/>
      <c r="M266" s="4" t="inlineStr">
        <is>
          <t>PIX ENVIADO GULA COSMETI</t>
        </is>
      </c>
    </row>
    <row r="267">
      <c r="A267" t="n">
        <v>266</v>
      </c>
      <c r="B267" t="inlineStr">
        <is>
          <t>10/02/2026</t>
        </is>
      </c>
      <c r="C267" t="inlineStr">
        <is>
          <t>REF. A BOLETO PAGO CMS CONS EM</t>
        </is>
      </c>
      <c r="D267" s="7" t="n">
        <v>-230.71</v>
      </c>
      <c r="E267" t="inlineStr">
        <is>
          <t>493</t>
        </is>
      </c>
      <c r="F267" t="inlineStr">
        <is>
          <t>DESPESAS DIVERSAS</t>
        </is>
      </c>
      <c r="G267" s="2" t="inlineStr">
        <is>
          <t>493</t>
        </is>
      </c>
      <c r="H267">
        <f>IFERROR(VLOOKUP(G267&amp;"",PLANO!A:B,2,FALSE),"CONTA NAO EXISTE NO PLANO")</f>
        <v/>
      </c>
      <c r="I267" t="inlineStr">
        <is>
          <t>493</t>
        </is>
      </c>
      <c r="J267" t="inlineStr">
        <is>
          <t>SEM COSMOS</t>
        </is>
      </c>
      <c r="K267" t="inlineStr"/>
      <c r="L267" t="inlineStr"/>
      <c r="M267" t="inlineStr">
        <is>
          <t>BOLETO PAGO CMS CONS EM</t>
        </is>
      </c>
    </row>
    <row r="268">
      <c r="A268" t="n">
        <v>267</v>
      </c>
      <c r="B268" t="inlineStr">
        <is>
          <t>10/02/2026</t>
        </is>
      </c>
      <c r="C268" t="inlineStr">
        <is>
          <t>REF. A BOLETO PAGO EFITRANS TRA</t>
        </is>
      </c>
      <c r="D268" s="7" t="n">
        <v>-320.42</v>
      </c>
      <c r="E268" t="inlineStr">
        <is>
          <t>312</t>
        </is>
      </c>
      <c r="F268" t="inlineStr">
        <is>
          <t>FRETES E CARRETOS</t>
        </is>
      </c>
      <c r="G268" s="2" t="inlineStr">
        <is>
          <t>312</t>
        </is>
      </c>
      <c r="H268">
        <f>IFERROR(VLOOKUP(G268&amp;"",PLANO!A:B,2,FALSE),"CONTA NAO EXISTE NO PLANO")</f>
        <v/>
      </c>
      <c r="I268" t="inlineStr">
        <is>
          <t>312</t>
        </is>
      </c>
      <c r="J268" t="inlineStr">
        <is>
          <t>SEM COSMOS</t>
        </is>
      </c>
      <c r="K268" t="inlineStr"/>
      <c r="L268" t="inlineStr"/>
      <c r="M268" t="inlineStr">
        <is>
          <t>BOLETO PAGO EFITRANS TRA</t>
        </is>
      </c>
    </row>
    <row r="269">
      <c r="A269" t="n">
        <v>268</v>
      </c>
      <c r="B269" t="inlineStr">
        <is>
          <t>10/02/2026</t>
        </is>
      </c>
      <c r="C269" t="inlineStr">
        <is>
          <t>REF. A BOLETO PAGO LOVIZ ENTRET</t>
        </is>
      </c>
      <c r="D269" s="7" t="n">
        <v>-199.99</v>
      </c>
      <c r="E269" t="inlineStr">
        <is>
          <t>555</t>
        </is>
      </c>
      <c r="F269" t="inlineStr">
        <is>
          <t>INTERNET</t>
        </is>
      </c>
      <c r="G269" s="2" t="inlineStr">
        <is>
          <t>555</t>
        </is>
      </c>
      <c r="H269">
        <f>IFERROR(VLOOKUP(G269&amp;"",PLANO!A:B,2,FALSE),"CONTA NAO EXISTE NO PLANO")</f>
        <v/>
      </c>
      <c r="I269" t="inlineStr">
        <is>
          <t>555</t>
        </is>
      </c>
      <c r="J269" t="inlineStr">
        <is>
          <t>SEM COSMOS</t>
        </is>
      </c>
      <c r="K269" t="inlineStr"/>
      <c r="L269" t="inlineStr"/>
      <c r="M269" t="inlineStr">
        <is>
          <t>BOLETO PAGO LOVIZ ENTRET</t>
        </is>
      </c>
    </row>
    <row r="270">
      <c r="A270" t="n">
        <v>269</v>
      </c>
      <c r="B270" t="inlineStr">
        <is>
          <t>10/02/2026</t>
        </is>
      </c>
      <c r="C270" t="inlineStr">
        <is>
          <t>REF. A BOLETO PAGO PLUS SANTE E</t>
        </is>
      </c>
      <c r="D270" s="7" t="n">
        <v>-342.3</v>
      </c>
      <c r="E270" t="inlineStr">
        <is>
          <t>653</t>
        </is>
      </c>
      <c r="F270" t="inlineStr">
        <is>
          <t>PLANO DE SAÚDE EMPREGADO</t>
        </is>
      </c>
      <c r="G270" s="2" t="inlineStr">
        <is>
          <t>653</t>
        </is>
      </c>
      <c r="H270">
        <f>IFERROR(VLOOKUP(G270&amp;"",PLANO!A:B,2,FALSE),"CONTA NAO EXISTE NO PLANO")</f>
        <v/>
      </c>
      <c r="I270" t="inlineStr">
        <is>
          <t>653</t>
        </is>
      </c>
      <c r="J270" t="inlineStr">
        <is>
          <t>SEM COSMOS</t>
        </is>
      </c>
      <c r="K270" t="inlineStr"/>
      <c r="L270" t="inlineStr"/>
      <c r="M270" t="inlineStr">
        <is>
          <t>BOLETO PAGO PLUS SANTE E</t>
        </is>
      </c>
    </row>
    <row r="271">
      <c r="A271" t="n">
        <v>270</v>
      </c>
      <c r="B271" t="inlineStr">
        <is>
          <t>10/02/2026</t>
        </is>
      </c>
      <c r="C271" t="inlineStr">
        <is>
          <t>REF. A BOLETO PAGO SINDICATO DA</t>
        </is>
      </c>
      <c r="D271" s="7" t="n">
        <v>-171.9</v>
      </c>
      <c r="E271" t="inlineStr">
        <is>
          <t>350</t>
        </is>
      </c>
      <c r="F271" t="inlineStr">
        <is>
          <t>TAXAS DIVERSAS</t>
        </is>
      </c>
      <c r="G271" s="2" t="inlineStr">
        <is>
          <t>350</t>
        </is>
      </c>
      <c r="H271">
        <f>IFERROR(VLOOKUP(G271&amp;"",PLANO!A:B,2,FALSE),"CONTA NAO EXISTE NO PLANO")</f>
        <v/>
      </c>
      <c r="I271" t="inlineStr">
        <is>
          <t>350</t>
        </is>
      </c>
      <c r="J271" t="inlineStr">
        <is>
          <t>SEM COSMOS</t>
        </is>
      </c>
      <c r="K271" t="inlineStr"/>
      <c r="L271" t="inlineStr"/>
      <c r="M271" t="inlineStr">
        <is>
          <t>BOLETO PAGO SINDICATO DA</t>
        </is>
      </c>
    </row>
    <row r="272">
      <c r="A272" t="n">
        <v>271</v>
      </c>
      <c r="B272" t="inlineStr">
        <is>
          <t>11/02/2026</t>
        </is>
      </c>
      <c r="C272" t="inlineStr">
        <is>
          <t>REF. A MOV TIT COB DISP 11/02S</t>
        </is>
      </c>
      <c r="D272" s="7" t="n">
        <v>1983.9</v>
      </c>
      <c r="E272" t="inlineStr">
        <is>
          <t>504</t>
        </is>
      </c>
      <c r="F272" t="inlineStr">
        <is>
          <t>CLIENTES DIVERSOS</t>
        </is>
      </c>
      <c r="G272" s="2" t="inlineStr">
        <is>
          <t>504</t>
        </is>
      </c>
      <c r="H272">
        <f>IFERROR(VLOOKUP(G272&amp;"",PLANO!A:B,2,FALSE),"CONTA NAO EXISTE NO PLANO")</f>
        <v/>
      </c>
      <c r="I272" t="inlineStr">
        <is>
          <t>504</t>
        </is>
      </c>
      <c r="J272" t="inlineStr">
        <is>
          <t>SEM COSMOS</t>
        </is>
      </c>
      <c r="K272" t="inlineStr"/>
      <c r="L272" t="inlineStr"/>
      <c r="M272" t="inlineStr">
        <is>
          <t>MOV TIT COB DISP 11/02S</t>
        </is>
      </c>
    </row>
    <row r="273">
      <c r="A273" t="n">
        <v>272</v>
      </c>
      <c r="B273" t="inlineStr">
        <is>
          <t>11/02/2026</t>
        </is>
      </c>
      <c r="C273" t="inlineStr">
        <is>
          <t>PIX ENVIADO ALINE DA SIL</t>
        </is>
      </c>
      <c r="D273" s="7" t="n">
        <v>-3959.85</v>
      </c>
      <c r="E273" t="inlineStr">
        <is>
          <t>506</t>
        </is>
      </c>
      <c r="F273" t="inlineStr">
        <is>
          <t>FORNECEDORES DIVERSOS</t>
        </is>
      </c>
      <c r="G273" s="2" t="inlineStr">
        <is>
          <t>506</t>
        </is>
      </c>
      <c r="H273">
        <f>IFERROR(VLOOKUP(G273&amp;"",PLANO!A:B,2,FALSE),"CONTA NAO EXISTE NO PLANO")</f>
        <v/>
      </c>
      <c r="I273" t="inlineStr">
        <is>
          <t>506</t>
        </is>
      </c>
      <c r="J273" t="inlineStr">
        <is>
          <t>SEM COSMOS</t>
        </is>
      </c>
      <c r="K273" t="inlineStr"/>
      <c r="L273" t="inlineStr"/>
      <c r="M273" t="inlineStr">
        <is>
          <t>PIX ENVIADO ALINE DA SIL</t>
        </is>
      </c>
    </row>
    <row r="274">
      <c r="A274" t="n">
        <v>273</v>
      </c>
      <c r="B274" t="inlineStr">
        <is>
          <t>11/02/2026</t>
        </is>
      </c>
      <c r="C274" t="inlineStr">
        <is>
          <t>REF. A PIX ENVIADO KOSMOSCIENCE</t>
        </is>
      </c>
      <c r="D274" s="7" t="n">
        <v>-300</v>
      </c>
      <c r="E274" t="inlineStr">
        <is>
          <t>506</t>
        </is>
      </c>
      <c r="F274" t="inlineStr">
        <is>
          <t>FORNECEDORES DIVERSOS</t>
        </is>
      </c>
      <c r="G274" s="2" t="inlineStr">
        <is>
          <t>506</t>
        </is>
      </c>
      <c r="H274">
        <f>IFERROR(VLOOKUP(G274&amp;"",PLANO!A:B,2,FALSE),"CONTA NAO EXISTE NO PLANO")</f>
        <v/>
      </c>
      <c r="I274" t="inlineStr">
        <is>
          <t>506</t>
        </is>
      </c>
      <c r="J274" t="inlineStr">
        <is>
          <t>SEM COSMOS</t>
        </is>
      </c>
      <c r="K274" t="inlineStr"/>
      <c r="L274" t="inlineStr"/>
      <c r="M274" t="inlineStr">
        <is>
          <t>PIX ENVIADO KOSMOSCIENCE</t>
        </is>
      </c>
    </row>
    <row r="275">
      <c r="A275" t="n">
        <v>274</v>
      </c>
      <c r="B275" t="inlineStr">
        <is>
          <t>11/02/2026</t>
        </is>
      </c>
      <c r="C275" t="inlineStr">
        <is>
          <t>REF. A BOLETO PAGO GRAFICA E TR</t>
        </is>
      </c>
      <c r="D275" s="7" t="n">
        <v>-92.2</v>
      </c>
      <c r="E275" t="inlineStr">
        <is>
          <t>506</t>
        </is>
      </c>
      <c r="F275" t="inlineStr">
        <is>
          <t>FORNECEDORES DIVERSOS</t>
        </is>
      </c>
      <c r="G275" s="2" t="inlineStr">
        <is>
          <t>506</t>
        </is>
      </c>
      <c r="H275">
        <f>IFERROR(VLOOKUP(G275&amp;"",PLANO!A:B,2,FALSE),"CONTA NAO EXISTE NO PLANO")</f>
        <v/>
      </c>
      <c r="I275" t="inlineStr">
        <is>
          <t>506</t>
        </is>
      </c>
      <c r="J275" t="inlineStr">
        <is>
          <t>SEM COSMOS</t>
        </is>
      </c>
      <c r="K275" t="inlineStr"/>
      <c r="L275" t="inlineStr"/>
      <c r="M275" t="inlineStr">
        <is>
          <t>BOLETO PAGO GRAFICA E TR</t>
        </is>
      </c>
    </row>
    <row r="276">
      <c r="A276" s="4" t="n">
        <v>275</v>
      </c>
      <c r="B276" s="4" t="inlineStr">
        <is>
          <t>11/02/2026</t>
        </is>
      </c>
      <c r="C276" s="4" t="inlineStr">
        <is>
          <t>REF. A BOLETO PAGO LINK BANK F</t>
        </is>
      </c>
      <c r="D276" s="5" t="n">
        <v>-2142</v>
      </c>
      <c r="E276" s="4" t="inlineStr">
        <is>
          <t>432</t>
        </is>
      </c>
      <c r="F276" s="4" t="inlineStr">
        <is>
          <t>RENDIMENTOS DE APLICAÇÕES</t>
        </is>
      </c>
      <c r="G276" s="6" t="inlineStr">
        <is>
          <t>506</t>
        </is>
      </c>
      <c r="H276" s="4">
        <f>IFERROR(VLOOKUP(G276&amp;"",PLANO!A:B,2,FALSE),"CONTA NAO EXISTE NO PLANO")</f>
        <v/>
      </c>
      <c r="I276" s="4" t="inlineStr">
        <is>
          <t>506</t>
        </is>
      </c>
      <c r="J276" s="4" t="inlineStr">
        <is>
          <t>AJUSTADO</t>
        </is>
      </c>
      <c r="K276" s="4" t="inlineStr">
        <is>
          <t>boleto LINK BANK = parcela AMONEX (materia-prima), Cosmos 18/02 2.142,00</t>
        </is>
      </c>
      <c r="L276" s="4" t="inlineStr"/>
      <c r="M276" s="4" t="inlineStr">
        <is>
          <t>BOLETO PAGO LINK BANK F</t>
        </is>
      </c>
    </row>
    <row r="277">
      <c r="A277" t="n">
        <v>276</v>
      </c>
      <c r="B277" t="inlineStr">
        <is>
          <t>11/02/2026</t>
        </is>
      </c>
      <c r="C277" t="inlineStr">
        <is>
          <t>REF. A BOLETO PAGO MACROFINANCE</t>
        </is>
      </c>
      <c r="D277" s="7" t="n">
        <v>-624.8</v>
      </c>
      <c r="E277" t="inlineStr">
        <is>
          <t>506</t>
        </is>
      </c>
      <c r="F277" t="inlineStr">
        <is>
          <t>FORNECEDORES DIVERSOS</t>
        </is>
      </c>
      <c r="G277" s="2" t="inlineStr">
        <is>
          <t>506</t>
        </is>
      </c>
      <c r="H277">
        <f>IFERROR(VLOOKUP(G277&amp;"",PLANO!A:B,2,FALSE),"CONTA NAO EXISTE NO PLANO")</f>
        <v/>
      </c>
      <c r="I277" t="inlineStr">
        <is>
          <t>506</t>
        </is>
      </c>
      <c r="J277" t="inlineStr">
        <is>
          <t>SEM COSMOS</t>
        </is>
      </c>
      <c r="K277" t="inlineStr"/>
      <c r="L277" t="inlineStr"/>
      <c r="M277" t="inlineStr">
        <is>
          <t>BOLETO PAGO MACROFINANCE</t>
        </is>
      </c>
    </row>
    <row r="278">
      <c r="A278" t="n">
        <v>277</v>
      </c>
      <c r="B278" t="inlineStr">
        <is>
          <t>11/02/2026</t>
        </is>
      </c>
      <c r="C278" t="inlineStr">
        <is>
          <t>REF. A BOLETO PAGO QUIMIFORMULA</t>
        </is>
      </c>
      <c r="D278" s="7" t="n">
        <v>-907.54</v>
      </c>
      <c r="E278" t="inlineStr">
        <is>
          <t>506</t>
        </is>
      </c>
      <c r="F278" t="inlineStr">
        <is>
          <t>FORNECEDORES DIVERSOS</t>
        </is>
      </c>
      <c r="G278" s="2" t="inlineStr">
        <is>
          <t>506</t>
        </is>
      </c>
      <c r="H278">
        <f>IFERROR(VLOOKUP(G278&amp;"",PLANO!A:B,2,FALSE),"CONTA NAO EXISTE NO PLANO")</f>
        <v/>
      </c>
      <c r="I278" t="inlineStr">
        <is>
          <t>506</t>
        </is>
      </c>
      <c r="J278" t="inlineStr">
        <is>
          <t>SEM COSMOS</t>
        </is>
      </c>
      <c r="K278" t="inlineStr"/>
      <c r="L278" t="inlineStr"/>
      <c r="M278" t="inlineStr">
        <is>
          <t>BOLETO PAGO QUIMIFORMULA</t>
        </is>
      </c>
    </row>
    <row r="279">
      <c r="A279" t="n">
        <v>278</v>
      </c>
      <c r="B279" t="inlineStr">
        <is>
          <t>11/02/2026</t>
        </is>
      </c>
      <c r="C279" t="inlineStr">
        <is>
          <t>REF. A BOLETO PAGO REAL TIME FI</t>
        </is>
      </c>
      <c r="D279" s="7" t="n">
        <v>-1510.31</v>
      </c>
      <c r="E279" t="inlineStr">
        <is>
          <t>493</t>
        </is>
      </c>
      <c r="F279" t="inlineStr">
        <is>
          <t>DESPESAS DIVERSAS</t>
        </is>
      </c>
      <c r="G279" s="2" t="inlineStr">
        <is>
          <t>493</t>
        </is>
      </c>
      <c r="H279">
        <f>IFERROR(VLOOKUP(G279&amp;"",PLANO!A:B,2,FALSE),"CONTA NAO EXISTE NO PLANO")</f>
        <v/>
      </c>
      <c r="I279" t="inlineStr">
        <is>
          <t>493</t>
        </is>
      </c>
      <c r="J279" t="inlineStr">
        <is>
          <t>SEM COSMOS</t>
        </is>
      </c>
      <c r="K279" t="inlineStr"/>
      <c r="L279" t="inlineStr"/>
      <c r="M279" t="inlineStr">
        <is>
          <t>BOLETO PAGO REAL TIME FI</t>
        </is>
      </c>
    </row>
    <row r="280">
      <c r="A280" t="n">
        <v>279</v>
      </c>
      <c r="B280" t="inlineStr">
        <is>
          <t>11/02/2026</t>
        </is>
      </c>
      <c r="C280" t="inlineStr">
        <is>
          <t>REF. A BOLETO PAGO SUPER BRILHO</t>
        </is>
      </c>
      <c r="D280" s="7" t="n">
        <v>-722.36</v>
      </c>
      <c r="E280" t="inlineStr">
        <is>
          <t>506</t>
        </is>
      </c>
      <c r="F280" t="inlineStr">
        <is>
          <t>FORNECEDORES DIVERSOS</t>
        </is>
      </c>
      <c r="G280" s="2" t="inlineStr">
        <is>
          <t>506</t>
        </is>
      </c>
      <c r="H280">
        <f>IFERROR(VLOOKUP(G280&amp;"",PLANO!A:B,2,FALSE),"CONTA NAO EXISTE NO PLANO")</f>
        <v/>
      </c>
      <c r="I280" t="inlineStr">
        <is>
          <t>506</t>
        </is>
      </c>
      <c r="J280" t="inlineStr">
        <is>
          <t>SEM COSMOS</t>
        </is>
      </c>
      <c r="K280" t="inlineStr"/>
      <c r="L280" t="inlineStr"/>
      <c r="M280" t="inlineStr">
        <is>
          <t>BOLETO PAGO SUPER BRILHO</t>
        </is>
      </c>
    </row>
    <row r="281">
      <c r="A281" t="n">
        <v>280</v>
      </c>
      <c r="B281" t="inlineStr">
        <is>
          <t>11/02/2026</t>
        </is>
      </c>
      <c r="C281" t="inlineStr">
        <is>
          <t>REF. A BOLETO PAGO YAHWEH PRINT</t>
        </is>
      </c>
      <c r="D281" s="7" t="n">
        <v>-1119.12</v>
      </c>
      <c r="E281" t="inlineStr">
        <is>
          <t>506</t>
        </is>
      </c>
      <c r="F281" t="inlineStr">
        <is>
          <t>FORNECEDORES DIVERSOS</t>
        </is>
      </c>
      <c r="G281" s="2" t="inlineStr">
        <is>
          <t>506</t>
        </is>
      </c>
      <c r="H281">
        <f>IFERROR(VLOOKUP(G281&amp;"",PLANO!A:B,2,FALSE),"CONTA NAO EXISTE NO PLANO")</f>
        <v/>
      </c>
      <c r="I281" t="inlineStr">
        <is>
          <t>506</t>
        </is>
      </c>
      <c r="J281" t="inlineStr">
        <is>
          <t>SEM COSMOS</t>
        </is>
      </c>
      <c r="K281" t="inlineStr"/>
      <c r="L281" t="inlineStr"/>
      <c r="M281" t="inlineStr">
        <is>
          <t>BOLETO PAGO YAHWEH PRINT</t>
        </is>
      </c>
    </row>
    <row r="282">
      <c r="A282" s="4" t="n">
        <v>281</v>
      </c>
      <c r="B282" s="4" t="inlineStr">
        <is>
          <t>12/02/2026</t>
        </is>
      </c>
      <c r="C282" s="4" t="inlineStr">
        <is>
          <t>REF. A SISPAG COSMETICON COMER</t>
        </is>
      </c>
      <c r="D282" s="5" t="n">
        <v>10000</v>
      </c>
      <c r="E282" s="4" t="inlineStr">
        <is>
          <t>663</t>
        </is>
      </c>
      <c r="F282" s="4" t="inlineStr">
        <is>
          <t>EMPRESTIMO COSMETICON COMERCIO (31.494.732/0001-09)</t>
        </is>
      </c>
      <c r="G282" s="6" t="inlineStr">
        <is>
          <t>663</t>
        </is>
      </c>
      <c r="H282" s="4">
        <f>IFERROR(VLOOKUP(G282&amp;"",PLANO!A:B,2,FALSE),"CONTA NAO EXISTE NO PLANO")</f>
        <v/>
      </c>
      <c r="I282" s="4" t="inlineStr">
        <is>
          <t>663</t>
        </is>
      </c>
      <c r="J282" s="4" t="inlineStr">
        <is>
          <t>AJUSTADO</t>
        </is>
      </c>
      <c r="K282" s="4" t="inlineStr">
        <is>
          <t>COSMETICON - conta-corrente unica de mutuo (663)</t>
        </is>
      </c>
      <c r="L282" s="4" t="inlineStr"/>
      <c r="M282" s="4" t="inlineStr">
        <is>
          <t>SISPAG COSMETICON COMER</t>
        </is>
      </c>
    </row>
    <row r="283">
      <c r="A283" t="n">
        <v>282</v>
      </c>
      <c r="B283" t="inlineStr">
        <is>
          <t>12/02/2026</t>
        </is>
      </c>
      <c r="C283" t="inlineStr">
        <is>
          <t>REF. A REDE VISA AT0081996543</t>
        </is>
      </c>
      <c r="D283" s="7" t="n">
        <v>6610.56</v>
      </c>
      <c r="E283" t="inlineStr">
        <is>
          <t>504</t>
        </is>
      </c>
      <c r="F283" t="inlineStr">
        <is>
          <t>CLIENTES DIVERSOS</t>
        </is>
      </c>
      <c r="G283" s="2" t="inlineStr">
        <is>
          <t>504</t>
        </is>
      </c>
      <c r="H283">
        <f>IFERROR(VLOOKUP(G283&amp;"",PLANO!A:B,2,FALSE),"CONTA NAO EXISTE NO PLANO")</f>
        <v/>
      </c>
      <c r="I283" t="inlineStr">
        <is>
          <t>504</t>
        </is>
      </c>
      <c r="J283" t="inlineStr">
        <is>
          <t>SEM COSMOS</t>
        </is>
      </c>
      <c r="K283" t="inlineStr"/>
      <c r="L283" t="inlineStr"/>
      <c r="M283" t="inlineStr">
        <is>
          <t>REDE VISA AT0081996543</t>
        </is>
      </c>
    </row>
    <row r="284">
      <c r="A284" t="n">
        <v>283</v>
      </c>
      <c r="B284" t="inlineStr">
        <is>
          <t>12/02/2026</t>
        </is>
      </c>
      <c r="C284" t="inlineStr">
        <is>
          <t>REF. A PIX TRANSF ONIXSUL12/02</t>
        </is>
      </c>
      <c r="D284" s="7" t="n">
        <v>1656</v>
      </c>
      <c r="E284" t="inlineStr">
        <is>
          <t>504</t>
        </is>
      </c>
      <c r="F284" t="inlineStr">
        <is>
          <t>CLIENTES DIVERSOS</t>
        </is>
      </c>
      <c r="G284" s="2" t="inlineStr">
        <is>
          <t>504</t>
        </is>
      </c>
      <c r="H284">
        <f>IFERROR(VLOOKUP(G284&amp;"",PLANO!A:B,2,FALSE),"CONTA NAO EXISTE NO PLANO")</f>
        <v/>
      </c>
      <c r="I284" t="inlineStr">
        <is>
          <t>504</t>
        </is>
      </c>
      <c r="J284" t="inlineStr">
        <is>
          <t>SEM COSMOS</t>
        </is>
      </c>
      <c r="K284" t="inlineStr"/>
      <c r="L284" t="inlineStr"/>
      <c r="M284" t="inlineStr">
        <is>
          <t>PIX TRANSF ONIXSUL12/02</t>
        </is>
      </c>
    </row>
    <row r="285">
      <c r="A285" t="n">
        <v>284</v>
      </c>
      <c r="B285" t="inlineStr">
        <is>
          <t>12/02/2026</t>
        </is>
      </c>
      <c r="C285" t="inlineStr">
        <is>
          <t>REF. A PIX TRANSF R E S C12/02</t>
        </is>
      </c>
      <c r="D285" s="7" t="n">
        <v>4116</v>
      </c>
      <c r="E285" t="inlineStr">
        <is>
          <t>504</t>
        </is>
      </c>
      <c r="F285" t="inlineStr">
        <is>
          <t>CLIENTES DIVERSOS</t>
        </is>
      </c>
      <c r="G285" s="2" t="inlineStr">
        <is>
          <t>504</t>
        </is>
      </c>
      <c r="H285">
        <f>IFERROR(VLOOKUP(G285&amp;"",PLANO!A:B,2,FALSE),"CONTA NAO EXISTE NO PLANO")</f>
        <v/>
      </c>
      <c r="I285" t="inlineStr">
        <is>
          <t>504</t>
        </is>
      </c>
      <c r="J285" t="inlineStr">
        <is>
          <t>SEM COSMOS</t>
        </is>
      </c>
      <c r="K285" t="inlineStr"/>
      <c r="L285" t="inlineStr"/>
      <c r="M285" t="inlineStr">
        <is>
          <t>PIX TRANSF R E S C12/02</t>
        </is>
      </c>
    </row>
    <row r="286">
      <c r="A286" t="n">
        <v>285</v>
      </c>
      <c r="B286" t="inlineStr">
        <is>
          <t>12/02/2026</t>
        </is>
      </c>
      <c r="C286" t="inlineStr">
        <is>
          <t>REF. A SISPAG PIX QR-CODE</t>
        </is>
      </c>
      <c r="D286" s="7" t="n">
        <v>-2339.57</v>
      </c>
      <c r="E286" t="inlineStr">
        <is>
          <t>555</t>
        </is>
      </c>
      <c r="F286" t="inlineStr">
        <is>
          <t>INTERNET</t>
        </is>
      </c>
      <c r="G286" s="2" t="inlineStr">
        <is>
          <t>555</t>
        </is>
      </c>
      <c r="H286">
        <f>IFERROR(VLOOKUP(G286&amp;"",PLANO!A:B,2,FALSE),"CONTA NAO EXISTE NO PLANO")</f>
        <v/>
      </c>
      <c r="I286" t="inlineStr">
        <is>
          <t>555</t>
        </is>
      </c>
      <c r="J286" t="inlineStr">
        <is>
          <t>SEM COSMOS</t>
        </is>
      </c>
      <c r="K286" t="inlineStr"/>
      <c r="L286" t="inlineStr"/>
      <c r="M286" t="inlineStr">
        <is>
          <t>SISPAG PIX QR-CODE</t>
        </is>
      </c>
    </row>
    <row r="287">
      <c r="A287" t="n">
        <v>286</v>
      </c>
      <c r="B287" t="inlineStr">
        <is>
          <t>12/02/2026</t>
        </is>
      </c>
      <c r="C287" t="inlineStr">
        <is>
          <t>REF. A PIX ENVIADO MARIA FERNAN</t>
        </is>
      </c>
      <c r="D287" s="7" t="n">
        <v>-2765.45</v>
      </c>
      <c r="E287" t="inlineStr">
        <is>
          <t>25</t>
        </is>
      </c>
      <c r="F287" t="inlineStr">
        <is>
          <t>ADIANTAMENTO DE SALÁRIO</t>
        </is>
      </c>
      <c r="G287" s="2" t="inlineStr">
        <is>
          <t>25</t>
        </is>
      </c>
      <c r="H287">
        <f>IFERROR(VLOOKUP(G287&amp;"",PLANO!A:B,2,FALSE),"CONTA NAO EXISTE NO PLANO")</f>
        <v/>
      </c>
      <c r="I287" t="inlineStr">
        <is>
          <t>25</t>
        </is>
      </c>
      <c r="J287" t="inlineStr">
        <is>
          <t>SEM COSMOS</t>
        </is>
      </c>
      <c r="K287" t="inlineStr"/>
      <c r="L287" t="inlineStr"/>
      <c r="M287" t="inlineStr">
        <is>
          <t>PIX ENVIADO MARIA FERNAN</t>
        </is>
      </c>
    </row>
    <row r="288">
      <c r="A288" t="n">
        <v>287</v>
      </c>
      <c r="B288" t="inlineStr">
        <is>
          <t>12/02/2026</t>
        </is>
      </c>
      <c r="C288" t="inlineStr">
        <is>
          <t>REF. A PIX ENVIADO AQIA QUIMICA</t>
        </is>
      </c>
      <c r="D288" s="7" t="n">
        <v>-416.52</v>
      </c>
      <c r="E288" t="inlineStr">
        <is>
          <t>506</t>
        </is>
      </c>
      <c r="F288" t="inlineStr">
        <is>
          <t>FORNECEDORES DIVERSOS</t>
        </is>
      </c>
      <c r="G288" s="2" t="inlineStr">
        <is>
          <t>506</t>
        </is>
      </c>
      <c r="H288">
        <f>IFERROR(VLOOKUP(G288&amp;"",PLANO!A:B,2,FALSE),"CONTA NAO EXISTE NO PLANO")</f>
        <v/>
      </c>
      <c r="I288" t="inlineStr">
        <is>
          <t>506</t>
        </is>
      </c>
      <c r="J288" t="inlineStr">
        <is>
          <t>SEM COSMOS</t>
        </is>
      </c>
      <c r="K288" t="inlineStr"/>
      <c r="L288" t="inlineStr"/>
      <c r="M288" t="inlineStr">
        <is>
          <t>PIX ENVIADO AQIA QUIMICA</t>
        </is>
      </c>
    </row>
    <row r="289">
      <c r="A289" t="n">
        <v>288</v>
      </c>
      <c r="B289" t="inlineStr">
        <is>
          <t>12/02/2026</t>
        </is>
      </c>
      <c r="C289" t="inlineStr">
        <is>
          <t>REF. A PIX ENVIADO OFICINA DO I</t>
        </is>
      </c>
      <c r="D289" s="7" t="n">
        <v>-1700</v>
      </c>
      <c r="E289" t="inlineStr">
        <is>
          <t>506</t>
        </is>
      </c>
      <c r="F289" t="inlineStr">
        <is>
          <t>FORNECEDORES DIVERSOS</t>
        </is>
      </c>
      <c r="G289" s="2" t="inlineStr">
        <is>
          <t>506</t>
        </is>
      </c>
      <c r="H289">
        <f>IFERROR(VLOOKUP(G289&amp;"",PLANO!A:B,2,FALSE),"CONTA NAO EXISTE NO PLANO")</f>
        <v/>
      </c>
      <c r="I289" t="inlineStr">
        <is>
          <t>506</t>
        </is>
      </c>
      <c r="J289" t="inlineStr">
        <is>
          <t>SEM COSMOS</t>
        </is>
      </c>
      <c r="K289" t="inlineStr"/>
      <c r="L289" t="inlineStr"/>
      <c r="M289" t="inlineStr">
        <is>
          <t>PIX ENVIADO OFICINA DO I</t>
        </is>
      </c>
    </row>
    <row r="290">
      <c r="A290" t="n">
        <v>289</v>
      </c>
      <c r="B290" t="inlineStr">
        <is>
          <t>12/02/2026</t>
        </is>
      </c>
      <c r="C290" t="inlineStr">
        <is>
          <t>REF. A PIX ENVIADO BRENNTAG SPE</t>
        </is>
      </c>
      <c r="D290" s="7" t="n">
        <v>-5138.37</v>
      </c>
      <c r="E290" t="inlineStr">
        <is>
          <t>506</t>
        </is>
      </c>
      <c r="F290" t="inlineStr">
        <is>
          <t>FORNECEDORES DIVERSOS</t>
        </is>
      </c>
      <c r="G290" s="2" t="inlineStr">
        <is>
          <t>506</t>
        </is>
      </c>
      <c r="H290">
        <f>IFERROR(VLOOKUP(G290&amp;"",PLANO!A:B,2,FALSE),"CONTA NAO EXISTE NO PLANO")</f>
        <v/>
      </c>
      <c r="I290" t="inlineStr">
        <is>
          <t>506</t>
        </is>
      </c>
      <c r="J290" t="inlineStr">
        <is>
          <t>SEM COSMOS</t>
        </is>
      </c>
      <c r="K290" t="inlineStr"/>
      <c r="L290" t="inlineStr"/>
      <c r="M290" t="inlineStr">
        <is>
          <t>PIX ENVIADO BRENNTAG SPE</t>
        </is>
      </c>
    </row>
    <row r="291">
      <c r="A291" t="n">
        <v>290</v>
      </c>
      <c r="B291" t="inlineStr">
        <is>
          <t>12/02/2026</t>
        </is>
      </c>
      <c r="C291" t="inlineStr">
        <is>
          <t>REF. A PIX ENVIADO ALPHA QUIMIC</t>
        </is>
      </c>
      <c r="D291" s="7" t="n">
        <v>-1087.93</v>
      </c>
      <c r="E291" t="inlineStr">
        <is>
          <t>506</t>
        </is>
      </c>
      <c r="F291" t="inlineStr">
        <is>
          <t>FORNECEDORES DIVERSOS</t>
        </is>
      </c>
      <c r="G291" s="2" t="inlineStr">
        <is>
          <t>506</t>
        </is>
      </c>
      <c r="H291">
        <f>IFERROR(VLOOKUP(G291&amp;"",PLANO!A:B,2,FALSE),"CONTA NAO EXISTE NO PLANO")</f>
        <v/>
      </c>
      <c r="I291" t="inlineStr">
        <is>
          <t>506</t>
        </is>
      </c>
      <c r="J291" t="inlineStr">
        <is>
          <t>SEM COSMOS</t>
        </is>
      </c>
      <c r="K291" t="inlineStr"/>
      <c r="L291" t="inlineStr"/>
      <c r="M291" t="inlineStr">
        <is>
          <t>PIX ENVIADO ALPHA QUIMIC</t>
        </is>
      </c>
    </row>
    <row r="292">
      <c r="A292" t="n">
        <v>291</v>
      </c>
      <c r="B292" t="inlineStr">
        <is>
          <t>12/02/2026</t>
        </is>
      </c>
      <c r="C292" t="inlineStr">
        <is>
          <t>REF. A PIX ENVIADO M CASSAB COM</t>
        </is>
      </c>
      <c r="D292" s="7" t="n">
        <v>-3094</v>
      </c>
      <c r="E292" t="inlineStr">
        <is>
          <t>506</t>
        </is>
      </c>
      <c r="F292" t="inlineStr">
        <is>
          <t>FORNECEDORES DIVERSOS</t>
        </is>
      </c>
      <c r="G292" s="2" t="inlineStr">
        <is>
          <t>506</t>
        </is>
      </c>
      <c r="H292">
        <f>IFERROR(VLOOKUP(G292&amp;"",PLANO!A:B,2,FALSE),"CONTA NAO EXISTE NO PLANO")</f>
        <v/>
      </c>
      <c r="I292" t="inlineStr">
        <is>
          <t>506</t>
        </is>
      </c>
      <c r="J292" t="inlineStr">
        <is>
          <t>SEM COSMOS</t>
        </is>
      </c>
      <c r="K292" t="inlineStr"/>
      <c r="L292" t="inlineStr"/>
      <c r="M292" t="inlineStr">
        <is>
          <t>PIX ENVIADO M CASSAB COM</t>
        </is>
      </c>
    </row>
    <row r="293">
      <c r="A293" t="n">
        <v>292</v>
      </c>
      <c r="B293" t="inlineStr">
        <is>
          <t>12/02/2026</t>
        </is>
      </c>
      <c r="C293" t="inlineStr">
        <is>
          <t>REF. A PIX ENVIADO MARCOS PAULO</t>
        </is>
      </c>
      <c r="D293" s="7" t="n">
        <v>-6774.93</v>
      </c>
      <c r="E293" t="inlineStr">
        <is>
          <t>511</t>
        </is>
      </c>
      <c r="F293" t="inlineStr">
        <is>
          <t>FÉRIAS A PAGAR</t>
        </is>
      </c>
      <c r="G293" s="2" t="inlineStr">
        <is>
          <t>511</t>
        </is>
      </c>
      <c r="H293">
        <f>IFERROR(VLOOKUP(G293&amp;"",PLANO!A:B,2,FALSE),"CONTA NAO EXISTE NO PLANO")</f>
        <v/>
      </c>
      <c r="I293" t="inlineStr">
        <is>
          <t>511</t>
        </is>
      </c>
      <c r="J293" t="inlineStr">
        <is>
          <t>SEM COSMOS</t>
        </is>
      </c>
      <c r="K293" t="inlineStr"/>
      <c r="L293" t="inlineStr"/>
      <c r="M293" t="inlineStr">
        <is>
          <t>PIX ENVIADO MARCOS PAULO</t>
        </is>
      </c>
    </row>
    <row r="294">
      <c r="A294" t="n">
        <v>293</v>
      </c>
      <c r="B294" t="inlineStr">
        <is>
          <t>12/02/2026</t>
        </is>
      </c>
      <c r="C294" t="inlineStr">
        <is>
          <t>REF. A PIX ENVIADO DISTRIOL - I</t>
        </is>
      </c>
      <c r="D294" s="7" t="n">
        <v>-1647</v>
      </c>
      <c r="E294" t="inlineStr">
        <is>
          <t>493</t>
        </is>
      </c>
      <c r="F294" t="inlineStr">
        <is>
          <t>DESPESAS DIVERSAS</t>
        </is>
      </c>
      <c r="G294" s="2" t="inlineStr">
        <is>
          <t>493</t>
        </is>
      </c>
      <c r="H294">
        <f>IFERROR(VLOOKUP(G294&amp;"",PLANO!A:B,2,FALSE),"CONTA NAO EXISTE NO PLANO")</f>
        <v/>
      </c>
      <c r="I294" t="inlineStr">
        <is>
          <t>493</t>
        </is>
      </c>
      <c r="J294" t="inlineStr">
        <is>
          <t>SEM COSMOS</t>
        </is>
      </c>
      <c r="K294" t="inlineStr"/>
      <c r="L294" t="inlineStr"/>
      <c r="M294" t="inlineStr">
        <is>
          <t>PIX ENVIADO DISTRIOL - I</t>
        </is>
      </c>
    </row>
    <row r="295">
      <c r="A295" t="n">
        <v>294</v>
      </c>
      <c r="B295" t="inlineStr">
        <is>
          <t>12/02/2026</t>
        </is>
      </c>
      <c r="C295" t="inlineStr">
        <is>
          <t>REF. A BOLETO PAGO ILS - TECNOL</t>
        </is>
      </c>
      <c r="D295" s="7" t="n">
        <v>-1133.68</v>
      </c>
      <c r="E295" t="inlineStr">
        <is>
          <t>506</t>
        </is>
      </c>
      <c r="F295" t="inlineStr">
        <is>
          <t>FORNECEDORES DIVERSOS</t>
        </is>
      </c>
      <c r="G295" s="2" t="inlineStr">
        <is>
          <t>506</t>
        </is>
      </c>
      <c r="H295">
        <f>IFERROR(VLOOKUP(G295&amp;"",PLANO!A:B,2,FALSE),"CONTA NAO EXISTE NO PLANO")</f>
        <v/>
      </c>
      <c r="I295" t="inlineStr">
        <is>
          <t>506</t>
        </is>
      </c>
      <c r="J295" t="inlineStr">
        <is>
          <t>SEM COSMOS</t>
        </is>
      </c>
      <c r="K295" t="inlineStr"/>
      <c r="L295" t="inlineStr"/>
      <c r="M295" t="inlineStr">
        <is>
          <t>BOLETO PAGO ILS - TECNOL</t>
        </is>
      </c>
    </row>
    <row r="296">
      <c r="A296" t="n">
        <v>295</v>
      </c>
      <c r="B296" t="inlineStr">
        <is>
          <t>12/02/2026</t>
        </is>
      </c>
      <c r="C296" t="inlineStr">
        <is>
          <t>REF. A BOLETO PAGO MASTER PUMPS</t>
        </is>
      </c>
      <c r="D296" s="7" t="n">
        <v>-1903.18</v>
      </c>
      <c r="E296" t="inlineStr">
        <is>
          <t>506</t>
        </is>
      </c>
      <c r="F296" t="inlineStr">
        <is>
          <t>FORNECEDORES DIVERSOS</t>
        </is>
      </c>
      <c r="G296" s="2" t="inlineStr">
        <is>
          <t>506</t>
        </is>
      </c>
      <c r="H296">
        <f>IFERROR(VLOOKUP(G296&amp;"",PLANO!A:B,2,FALSE),"CONTA NAO EXISTE NO PLANO")</f>
        <v/>
      </c>
      <c r="I296" t="inlineStr">
        <is>
          <t>506</t>
        </is>
      </c>
      <c r="J296" t="inlineStr">
        <is>
          <t>SEM COSMOS</t>
        </is>
      </c>
      <c r="K296" t="inlineStr"/>
      <c r="L296" t="inlineStr"/>
      <c r="M296" t="inlineStr">
        <is>
          <t>BOLETO PAGO MASTER PUMPS</t>
        </is>
      </c>
    </row>
    <row r="297">
      <c r="A297" t="n">
        <v>296</v>
      </c>
      <c r="B297" t="inlineStr">
        <is>
          <t>12/02/2026</t>
        </is>
      </c>
      <c r="C297" t="inlineStr">
        <is>
          <t>REF. A BOLETO PAGO MASTER PUMPS</t>
        </is>
      </c>
      <c r="D297" s="7" t="n">
        <v>-1191.9</v>
      </c>
      <c r="E297" t="inlineStr">
        <is>
          <t>506</t>
        </is>
      </c>
      <c r="F297" t="inlineStr">
        <is>
          <t>FORNECEDORES DIVERSOS</t>
        </is>
      </c>
      <c r="G297" s="2" t="inlineStr">
        <is>
          <t>506</t>
        </is>
      </c>
      <c r="H297">
        <f>IFERROR(VLOOKUP(G297&amp;"",PLANO!A:B,2,FALSE),"CONTA NAO EXISTE NO PLANO")</f>
        <v/>
      </c>
      <c r="I297" t="inlineStr">
        <is>
          <t>506</t>
        </is>
      </c>
      <c r="J297" t="inlineStr">
        <is>
          <t>SEM COSMOS</t>
        </is>
      </c>
      <c r="K297" t="inlineStr"/>
      <c r="L297" t="inlineStr"/>
      <c r="M297" t="inlineStr">
        <is>
          <t>BOLETO PAGO MASTER PUMPS</t>
        </is>
      </c>
    </row>
    <row r="298">
      <c r="A298" t="n">
        <v>297</v>
      </c>
      <c r="B298" t="inlineStr">
        <is>
          <t>13/02/2026</t>
        </is>
      </c>
      <c r="C298" t="inlineStr">
        <is>
          <t>REF. A MOV TIT COB DISP 13/02S</t>
        </is>
      </c>
      <c r="D298" s="7" t="n">
        <v>2520.21</v>
      </c>
      <c r="E298" t="inlineStr">
        <is>
          <t>504</t>
        </is>
      </c>
      <c r="F298" t="inlineStr">
        <is>
          <t>CLIENTES DIVERSOS</t>
        </is>
      </c>
      <c r="G298" s="2" t="inlineStr">
        <is>
          <t>504</t>
        </is>
      </c>
      <c r="H298">
        <f>IFERROR(VLOOKUP(G298&amp;"",PLANO!A:B,2,FALSE),"CONTA NAO EXISTE NO PLANO")</f>
        <v/>
      </c>
      <c r="I298" t="inlineStr">
        <is>
          <t>504</t>
        </is>
      </c>
      <c r="J298" t="inlineStr">
        <is>
          <t>SEM COSMOS</t>
        </is>
      </c>
      <c r="K298" t="inlineStr"/>
      <c r="L298" t="inlineStr"/>
      <c r="M298" t="inlineStr">
        <is>
          <t>MOV TIT COB DISP 13/02S</t>
        </is>
      </c>
    </row>
    <row r="299">
      <c r="A299" t="n">
        <v>298</v>
      </c>
      <c r="B299" t="inlineStr">
        <is>
          <t>13/02/2026</t>
        </is>
      </c>
      <c r="C299" t="inlineStr">
        <is>
          <t>REF. A TED 363.0001.RNX F M D R</t>
        </is>
      </c>
      <c r="D299" s="7" t="n">
        <v>17428.36</v>
      </c>
      <c r="E299" t="inlineStr">
        <is>
          <t>504</t>
        </is>
      </c>
      <c r="F299" t="inlineStr">
        <is>
          <t>CLIENTES DIVERSOS</t>
        </is>
      </c>
      <c r="G299" s="2" t="inlineStr">
        <is>
          <t>504</t>
        </is>
      </c>
      <c r="H299">
        <f>IFERROR(VLOOKUP(G299&amp;"",PLANO!A:B,2,FALSE),"CONTA NAO EXISTE NO PLANO")</f>
        <v/>
      </c>
      <c r="I299" t="inlineStr">
        <is>
          <t>504</t>
        </is>
      </c>
      <c r="J299" t="inlineStr">
        <is>
          <t>SEM COSMOS</t>
        </is>
      </c>
      <c r="K299" t="inlineStr"/>
      <c r="L299" t="inlineStr"/>
      <c r="M299" t="inlineStr">
        <is>
          <t>TED 363.0001.RNX F M D R</t>
        </is>
      </c>
    </row>
    <row r="300">
      <c r="A300" t="n">
        <v>299</v>
      </c>
      <c r="B300" t="inlineStr">
        <is>
          <t>13/02/2026</t>
        </is>
      </c>
      <c r="C300" t="inlineStr">
        <is>
          <t>FGTSPGTO REF.40% MULTA S/RESCISÃOD E ADRIA FAGUNDES EBRUNA SOARES</t>
        </is>
      </c>
      <c r="D300" s="7" t="n">
        <v>-2255.01</v>
      </c>
      <c r="E300" t="inlineStr">
        <is>
          <t>192</t>
        </is>
      </c>
      <c r="F300" t="inlineStr">
        <is>
          <t>FGTS A RECOLHER</t>
        </is>
      </c>
      <c r="G300" s="2" t="inlineStr">
        <is>
          <t>192</t>
        </is>
      </c>
      <c r="H300">
        <f>IFERROR(VLOOKUP(G300&amp;"",PLANO!A:B,2,FALSE),"CONTA NAO EXISTE NO PLANO")</f>
        <v/>
      </c>
      <c r="I300" t="inlineStr">
        <is>
          <t>192</t>
        </is>
      </c>
      <c r="J300" t="inlineStr">
        <is>
          <t>OK</t>
        </is>
      </c>
      <c r="K300" t="inlineStr">
        <is>
          <t>categoria Cosmos 39</t>
        </is>
      </c>
      <c r="L300" t="inlineStr">
        <is>
          <t>FGTS | 115/39 | PGTO REF.40% MULTA S/RESCISÃOD E ADRIA FAGUNDES E BRUNA SOARES</t>
        </is>
      </c>
      <c r="M300" t="inlineStr">
        <is>
          <t>FGTS - PGTO REF.40% MULTA S/RESCISÃOD E ADRIA FAGUNDES E BRUNA SOARES</t>
        </is>
      </c>
    </row>
    <row r="301">
      <c r="A301" t="n">
        <v>300</v>
      </c>
      <c r="B301" t="inlineStr">
        <is>
          <t>13/02/2026</t>
        </is>
      </c>
      <c r="C301" t="inlineStr">
        <is>
          <t>BRUNA SOARES DA FONSECAPGTO REF.RESCISÃO DE CONTRATO</t>
        </is>
      </c>
      <c r="D301" s="7" t="n">
        <v>-4135.5</v>
      </c>
      <c r="E301" t="inlineStr">
        <is>
          <t>512</t>
        </is>
      </c>
      <c r="F301" t="inlineStr">
        <is>
          <t>RESCISÕES A PAGAR</t>
        </is>
      </c>
      <c r="G301" s="2" t="inlineStr">
        <is>
          <t>512</t>
        </is>
      </c>
      <c r="H301">
        <f>IFERROR(VLOOKUP(G301&amp;"",PLANO!A:B,2,FALSE),"CONTA NAO EXISTE NO PLANO")</f>
        <v/>
      </c>
      <c r="I301" t="inlineStr">
        <is>
          <t>512</t>
        </is>
      </c>
      <c r="J301" t="inlineStr">
        <is>
          <t>OK</t>
        </is>
      </c>
      <c r="K301" t="inlineStr">
        <is>
          <t>categoria Cosmos 31</t>
        </is>
      </c>
      <c r="L301" t="inlineStr">
        <is>
          <t>BRUNA SOARES DA FONSECA | 115/31 | PGTO REF.RESCISÃO DE CONTRATO</t>
        </is>
      </c>
      <c r="M301" t="inlineStr">
        <is>
          <t>BRUNA SOARES DA FONSECA - PGTO REF.RESCISÃO DE CONTRATO</t>
        </is>
      </c>
    </row>
    <row r="302">
      <c r="A302" t="n">
        <v>301</v>
      </c>
      <c r="B302" t="inlineStr">
        <is>
          <t>13/02/2026</t>
        </is>
      </c>
      <c r="C302" t="inlineStr">
        <is>
          <t>MZK FERRAMENTARIA LTDAPAGAMENTO REFERENTE A USINAGEM DE PEÇAS PARAMANUTENÇAO</t>
        </is>
      </c>
      <c r="D302" s="7" t="n">
        <v>-905</v>
      </c>
      <c r="E302" t="inlineStr">
        <is>
          <t>506</t>
        </is>
      </c>
      <c r="F302" t="inlineStr">
        <is>
          <t>FORNECEDORES DIVERSOS</t>
        </is>
      </c>
      <c r="G302" s="2" t="inlineStr">
        <is>
          <t>506</t>
        </is>
      </c>
      <c r="H302">
        <f>IFERROR(VLOOKUP(G302&amp;"",PLANO!A:B,2,FALSE),"CONTA NAO EXISTE NO PLANO")</f>
        <v/>
      </c>
      <c r="I302" t="inlineStr">
        <is>
          <t>506</t>
        </is>
      </c>
      <c r="J302" t="inlineStr">
        <is>
          <t>OK</t>
        </is>
      </c>
      <c r="K302" t="inlineStr">
        <is>
          <t>fornecedor com NF</t>
        </is>
      </c>
      <c r="L302" t="inlineStr">
        <is>
          <t>MZK FERRAMENTARIA LTDA | 115/133 | PAGAMENTO REFERENTE A USINAGEM DE PEÇAS PARA MANUTENÇAO</t>
        </is>
      </c>
      <c r="M302" t="inlineStr">
        <is>
          <t>MZK FERRAMENTARIA LTDA - PAGAMENTO REFERENTE A USINAGEM DE PEÇAS PARA MANUTENÇAO</t>
        </is>
      </c>
    </row>
    <row r="303">
      <c r="A303" t="n">
        <v>302</v>
      </c>
      <c r="B303" t="inlineStr">
        <is>
          <t>13/02/2026</t>
        </is>
      </c>
      <c r="C303" t="inlineStr">
        <is>
          <t>ADRIA FAGUNDES DA SILVAPGTO REF.RESCISÃO DE CONTRATO</t>
        </is>
      </c>
      <c r="D303" s="7" t="n">
        <v>-4316.9</v>
      </c>
      <c r="E303" t="inlineStr">
        <is>
          <t>512</t>
        </is>
      </c>
      <c r="F303" t="inlineStr">
        <is>
          <t>RESCISÕES A PAGAR</t>
        </is>
      </c>
      <c r="G303" s="2" t="inlineStr">
        <is>
          <t>512</t>
        </is>
      </c>
      <c r="H303">
        <f>IFERROR(VLOOKUP(G303&amp;"",PLANO!A:B,2,FALSE),"CONTA NAO EXISTE NO PLANO")</f>
        <v/>
      </c>
      <c r="I303" t="inlineStr">
        <is>
          <t>512</t>
        </is>
      </c>
      <c r="J303" t="inlineStr">
        <is>
          <t>OK</t>
        </is>
      </c>
      <c r="K303" t="inlineStr">
        <is>
          <t>categoria Cosmos 31</t>
        </is>
      </c>
      <c r="L303" t="inlineStr">
        <is>
          <t>ADRIA FAGUNDES DA SILVA | 115/31 | PGTO REF.RESCISÃO DE CONTRATO</t>
        </is>
      </c>
      <c r="M303" t="inlineStr">
        <is>
          <t>ADRIA FAGUNDES DA SILVA - PGTO REF.RESCISÃO DE CONTRATO</t>
        </is>
      </c>
    </row>
    <row r="304">
      <c r="A304" t="n">
        <v>303</v>
      </c>
      <c r="B304" t="inlineStr">
        <is>
          <t>13/02/2026</t>
        </is>
      </c>
      <c r="C304" t="inlineStr">
        <is>
          <t>SKIN LAB INDUSTRIA E COMERCIO DE COSMETICOS LTDA PAGAMENTO REFERENTE A COMPRA DE MATERIA PRIMA,POLAWAX 125KG, MPDS 25KG</t>
        </is>
      </c>
      <c r="D304" s="7" t="n">
        <v>-3959.85</v>
      </c>
      <c r="E304" t="inlineStr">
        <is>
          <t>506</t>
        </is>
      </c>
      <c r="F304" t="inlineStr">
        <is>
          <t>FORNECEDORES DIVERSOS</t>
        </is>
      </c>
      <c r="G304" s="2" t="inlineStr">
        <is>
          <t>506</t>
        </is>
      </c>
      <c r="H304">
        <f>IFERROR(VLOOKUP(G304&amp;"",PLANO!A:B,2,FALSE),"CONTA NAO EXISTE NO PLANO")</f>
        <v/>
      </c>
      <c r="I304" t="inlineStr">
        <is>
          <t>506</t>
        </is>
      </c>
      <c r="J304" t="inlineStr">
        <is>
          <t>OK</t>
        </is>
      </c>
      <c r="K304" t="inlineStr">
        <is>
          <t>fornecedor com NF</t>
        </is>
      </c>
      <c r="L304" t="inlineStr">
        <is>
          <t>SKIN LAB INDUSTRIA E COMERCIO DE COSMETICOS LTDA | 115/6 | PAGAMENTO REFERENTE A COMPRA DE MATERIA PRIMA, POLAWAX 125KG, MPDS 25KG</t>
        </is>
      </c>
      <c r="M304" t="inlineStr">
        <is>
          <t>SKIN LAB INDUSTRIA E COMERCIO DE COSMETICOS LTDA - PAGAMENTO REFERENTE A COMPRA DE MATERIA PRIMA, POLAWAX 125KG, MPDS 25KG</t>
        </is>
      </c>
    </row>
    <row r="305">
      <c r="A305" t="n">
        <v>304</v>
      </c>
      <c r="B305" t="inlineStr">
        <is>
          <t>13/02/2026</t>
        </is>
      </c>
      <c r="C305" t="inlineStr">
        <is>
          <t>AGENCIA NACIONAL DE VIGILANCIA SANITARIA PGTO REF.REGISTRO DE MÁCARA VITA FRUITS</t>
        </is>
      </c>
      <c r="D305" s="7" t="n">
        <v>-175.72</v>
      </c>
      <c r="E305" t="inlineStr">
        <is>
          <t>350</t>
        </is>
      </c>
      <c r="F305" t="inlineStr">
        <is>
          <t>TAXAS DIVERSAS</t>
        </is>
      </c>
      <c r="G305" s="2" t="inlineStr">
        <is>
          <t>350</t>
        </is>
      </c>
      <c r="H305">
        <f>IFERROR(VLOOKUP(G305&amp;"",PLANO!A:B,2,FALSE),"CONTA NAO EXISTE NO PLANO")</f>
        <v/>
      </c>
      <c r="I305" t="inlineStr">
        <is>
          <t>350</t>
        </is>
      </c>
      <c r="J305" t="inlineStr">
        <is>
          <t>OK</t>
        </is>
      </c>
      <c r="K305" t="inlineStr">
        <is>
          <t>categoria Cosmos 128</t>
        </is>
      </c>
      <c r="L305" t="inlineStr">
        <is>
          <t>AGENCIA NACIONAL DE VIGILANCIA SANITARIA | 115/128 | PGTO REF.REGISTRO DE MÁCARA VITA FRUITS</t>
        </is>
      </c>
      <c r="M305" t="inlineStr">
        <is>
          <t>AGENCIA NACIONAL DE VIGILANCIA SANITARIA - PGTO REF.REGISTRO DE MÁCARA VITA FRUITS</t>
        </is>
      </c>
    </row>
    <row r="306">
      <c r="A306" t="n">
        <v>305</v>
      </c>
      <c r="B306" t="inlineStr">
        <is>
          <t>13/02/2026</t>
        </is>
      </c>
      <c r="C306" t="inlineStr">
        <is>
          <t>TRANS TOMAZ - TRANSPORTES RODOVIARIOS DE CARGAS EIRELI PAGAMENTO REFERENTE A FRETE SOBRE COMPRA</t>
        </is>
      </c>
      <c r="D306" s="7" t="n">
        <v>-2536.66</v>
      </c>
      <c r="E306" t="inlineStr">
        <is>
          <t>312</t>
        </is>
      </c>
      <c r="F306" t="inlineStr">
        <is>
          <t>FRETES E CARRETOS</t>
        </is>
      </c>
      <c r="G306" s="2" t="inlineStr">
        <is>
          <t>312</t>
        </is>
      </c>
      <c r="H306">
        <f>IFERROR(VLOOKUP(G306&amp;"",PLANO!A:B,2,FALSE),"CONTA NAO EXISTE NO PLANO")</f>
        <v/>
      </c>
      <c r="I306" t="inlineStr">
        <is>
          <t>312</t>
        </is>
      </c>
      <c r="J306" t="inlineStr">
        <is>
          <t>OK</t>
        </is>
      </c>
      <c r="K306" t="inlineStr">
        <is>
          <t>categoria Cosmos 4</t>
        </is>
      </c>
      <c r="L306" t="inlineStr">
        <is>
          <t>TRANS TOMAZ TRANSPORTES RODOVIARIOS DE CARGAS EIRELI | 115/4 | PAGAMENTO REFERENTE A FRETE SOBRE COMPRA</t>
        </is>
      </c>
      <c r="M306" t="inlineStr">
        <is>
          <t>TRANS TOMAZ TRANSPORTES RODOVIARIOS DE CARGAS EIRELI - PAGAMENTO REFERENTE A FRETE SOBRE COMPRA</t>
        </is>
      </c>
    </row>
    <row r="307">
      <c r="A307" t="n">
        <v>306</v>
      </c>
      <c r="B307" t="inlineStr">
        <is>
          <t>18/02/2026</t>
        </is>
      </c>
      <c r="C307" t="inlineStr">
        <is>
          <t>REF. A MOV TIT COB DISP 16/02S</t>
        </is>
      </c>
      <c r="D307" s="7" t="n">
        <v>1141.86</v>
      </c>
      <c r="E307" t="inlineStr">
        <is>
          <t>504</t>
        </is>
      </c>
      <c r="F307" t="inlineStr">
        <is>
          <t>CLIENTES DIVERSOS</t>
        </is>
      </c>
      <c r="G307" s="2" t="inlineStr">
        <is>
          <t>504</t>
        </is>
      </c>
      <c r="H307">
        <f>IFERROR(VLOOKUP(G307&amp;"",PLANO!A:B,2,FALSE),"CONTA NAO EXISTE NO PLANO")</f>
        <v/>
      </c>
      <c r="I307" t="inlineStr">
        <is>
          <t>504</t>
        </is>
      </c>
      <c r="J307" t="inlineStr">
        <is>
          <t>SEM COSMOS</t>
        </is>
      </c>
      <c r="K307" t="inlineStr"/>
      <c r="L307" t="inlineStr"/>
      <c r="M307" t="inlineStr">
        <is>
          <t>MOV TIT COB DISP 16/02S</t>
        </is>
      </c>
    </row>
    <row r="308">
      <c r="A308" t="n">
        <v>307</v>
      </c>
      <c r="B308" t="inlineStr">
        <is>
          <t>18/02/2026</t>
        </is>
      </c>
      <c r="C308" t="inlineStr">
        <is>
          <t>REF. A MOV TIT COB DISP 18/02S</t>
        </is>
      </c>
      <c r="D308" s="7" t="n">
        <v>1649.84</v>
      </c>
      <c r="E308" t="inlineStr">
        <is>
          <t>504</t>
        </is>
      </c>
      <c r="F308" t="inlineStr">
        <is>
          <t>CLIENTES DIVERSOS</t>
        </is>
      </c>
      <c r="G308" s="2" t="inlineStr">
        <is>
          <t>504</t>
        </is>
      </c>
      <c r="H308">
        <f>IFERROR(VLOOKUP(G308&amp;"",PLANO!A:B,2,FALSE),"CONTA NAO EXISTE NO PLANO")</f>
        <v/>
      </c>
      <c r="I308" t="inlineStr">
        <is>
          <t>504</t>
        </is>
      </c>
      <c r="J308" t="inlineStr">
        <is>
          <t>SEM COSMOS</t>
        </is>
      </c>
      <c r="K308" t="inlineStr"/>
      <c r="L308" t="inlineStr"/>
      <c r="M308" t="inlineStr">
        <is>
          <t>MOV TIT COB DISP 18/02S</t>
        </is>
      </c>
    </row>
    <row r="309">
      <c r="A309" t="n">
        <v>308</v>
      </c>
      <c r="B309" t="inlineStr">
        <is>
          <t>18/02/2026</t>
        </is>
      </c>
      <c r="C309" t="inlineStr">
        <is>
          <t>REF. A REDE MAST AT0081996543</t>
        </is>
      </c>
      <c r="D309" s="7" t="n">
        <v>125.66</v>
      </c>
      <c r="E309" t="inlineStr">
        <is>
          <t>504</t>
        </is>
      </c>
      <c r="F309" t="inlineStr">
        <is>
          <t>CLIENTES DIVERSOS</t>
        </is>
      </c>
      <c r="G309" s="2" t="inlineStr">
        <is>
          <t>504</t>
        </is>
      </c>
      <c r="H309">
        <f>IFERROR(VLOOKUP(G309&amp;"",PLANO!A:B,2,FALSE),"CONTA NAO EXISTE NO PLANO")</f>
        <v/>
      </c>
      <c r="I309" t="inlineStr">
        <is>
          <t>504</t>
        </is>
      </c>
      <c r="J309" t="inlineStr">
        <is>
          <t>SEM COSMOS</t>
        </is>
      </c>
      <c r="K309" t="inlineStr"/>
      <c r="L309" t="inlineStr"/>
      <c r="M309" t="inlineStr">
        <is>
          <t>REDE MAST AT0081996543</t>
        </is>
      </c>
    </row>
    <row r="310">
      <c r="A310" t="n">
        <v>309</v>
      </c>
      <c r="B310" t="inlineStr">
        <is>
          <t>18/02/2026</t>
        </is>
      </c>
      <c r="C310" t="inlineStr">
        <is>
          <t>REF. A REDE VISA AT0081996543</t>
        </is>
      </c>
      <c r="D310" s="7" t="n">
        <v>2205.6</v>
      </c>
      <c r="E310" t="inlineStr">
        <is>
          <t>504</t>
        </is>
      </c>
      <c r="F310" t="inlineStr">
        <is>
          <t>CLIENTES DIVERSOS</t>
        </is>
      </c>
      <c r="G310" s="2" t="inlineStr">
        <is>
          <t>504</t>
        </is>
      </c>
      <c r="H310">
        <f>IFERROR(VLOOKUP(G310&amp;"",PLANO!A:B,2,FALSE),"CONTA NAO EXISTE NO PLANO")</f>
        <v/>
      </c>
      <c r="I310" t="inlineStr">
        <is>
          <t>504</t>
        </is>
      </c>
      <c r="J310" t="inlineStr">
        <is>
          <t>SEM COSMOS</t>
        </is>
      </c>
      <c r="K310" t="inlineStr"/>
      <c r="L310" t="inlineStr"/>
      <c r="M310" t="inlineStr">
        <is>
          <t>REDE VISA AT0081996543</t>
        </is>
      </c>
    </row>
    <row r="311">
      <c r="A311" t="n">
        <v>310</v>
      </c>
      <c r="B311" t="inlineStr">
        <is>
          <t>18/02/2026</t>
        </is>
      </c>
      <c r="C311" t="inlineStr">
        <is>
          <t>REF. A TED 363.0001.RNX F M D R</t>
        </is>
      </c>
      <c r="D311" s="7" t="n">
        <v>12898.59</v>
      </c>
      <c r="E311" t="inlineStr">
        <is>
          <t>504</t>
        </is>
      </c>
      <c r="F311" t="inlineStr">
        <is>
          <t>CLIENTES DIVERSOS</t>
        </is>
      </c>
      <c r="G311" s="2" t="inlineStr">
        <is>
          <t>504</t>
        </is>
      </c>
      <c r="H311">
        <f>IFERROR(VLOOKUP(G311&amp;"",PLANO!A:B,2,FALSE),"CONTA NAO EXISTE NO PLANO")</f>
        <v/>
      </c>
      <c r="I311" t="inlineStr">
        <is>
          <t>504</t>
        </is>
      </c>
      <c r="J311" t="inlineStr">
        <is>
          <t>SEM COSMOS</t>
        </is>
      </c>
      <c r="K311" t="inlineStr"/>
      <c r="L311" t="inlineStr"/>
      <c r="M311" t="inlineStr">
        <is>
          <t>TED 363.0001.RNX F M D R</t>
        </is>
      </c>
    </row>
    <row r="312">
      <c r="A312" t="n">
        <v>311</v>
      </c>
      <c r="B312" t="inlineStr">
        <is>
          <t>18/02/2026</t>
        </is>
      </c>
      <c r="C312" t="inlineStr">
        <is>
          <t>REF. A TED 363.0001.RNX F M D R</t>
        </is>
      </c>
      <c r="D312" s="7" t="n">
        <v>16189.56</v>
      </c>
      <c r="E312" t="inlineStr">
        <is>
          <t>504</t>
        </is>
      </c>
      <c r="F312" t="inlineStr">
        <is>
          <t>CLIENTES DIVERSOS</t>
        </is>
      </c>
      <c r="G312" s="2" t="inlineStr">
        <is>
          <t>504</t>
        </is>
      </c>
      <c r="H312">
        <f>IFERROR(VLOOKUP(G312&amp;"",PLANO!A:B,2,FALSE),"CONTA NAO EXISTE NO PLANO")</f>
        <v/>
      </c>
      <c r="I312" t="inlineStr">
        <is>
          <t>504</t>
        </is>
      </c>
      <c r="J312" t="inlineStr">
        <is>
          <t>SEM COSMOS</t>
        </is>
      </c>
      <c r="K312" t="inlineStr"/>
      <c r="L312" t="inlineStr"/>
      <c r="M312" t="inlineStr">
        <is>
          <t>TED 363.0001.RNX F M D R</t>
        </is>
      </c>
    </row>
    <row r="313">
      <c r="A313" s="4" t="n">
        <v>312</v>
      </c>
      <c r="B313" s="4" t="inlineStr">
        <is>
          <t>18/02/2026</t>
        </is>
      </c>
      <c r="C313" s="4" t="inlineStr">
        <is>
          <t>REF. A PIX ENVIADO COSMETICON C</t>
        </is>
      </c>
      <c r="D313" s="5" t="n">
        <v>-2000</v>
      </c>
      <c r="E313" s="4" t="inlineStr">
        <is>
          <t>664</t>
        </is>
      </c>
      <c r="F313" s="4" t="inlineStr">
        <is>
          <t>COSMETICON COMERCIO DE COSMETICOS LTDA</t>
        </is>
      </c>
      <c r="G313" s="6" t="inlineStr">
        <is>
          <t>663</t>
        </is>
      </c>
      <c r="H313" s="4">
        <f>IFERROR(VLOOKUP(G313&amp;"",PLANO!A:B,2,FALSE),"CONTA NAO EXISTE NO PLANO")</f>
        <v/>
      </c>
      <c r="I313" s="4" t="inlineStr">
        <is>
          <t>663</t>
        </is>
      </c>
      <c r="J313" s="4" t="inlineStr">
        <is>
          <t>AJUSTADO</t>
        </is>
      </c>
      <c r="K313" s="4" t="inlineStr">
        <is>
          <t>COSMETICON - conta-corrente unica de mutuo (663)</t>
        </is>
      </c>
      <c r="L313" s="4" t="inlineStr">
        <is>
          <t xml:space="preserve">OUTRAS SAIDAS | 123/71 | </t>
        </is>
      </c>
      <c r="M313" s="4" t="inlineStr">
        <is>
          <t>PIX ENVIADO COSMETICON C</t>
        </is>
      </c>
    </row>
    <row r="314">
      <c r="A314" s="8" t="n">
        <v>313</v>
      </c>
      <c r="B314" s="8" t="inlineStr">
        <is>
          <t>18/02/2026</t>
        </is>
      </c>
      <c r="C314" s="8" t="inlineStr">
        <is>
          <t>ACINFAZ PGTO REF.ASSOCIAÇÃO ACINFAZ</t>
        </is>
      </c>
      <c r="D314" s="9" t="n">
        <v>-99</v>
      </c>
      <c r="E314" s="8" t="inlineStr">
        <is>
          <t>364</t>
        </is>
      </c>
      <c r="F314" s="8" t="inlineStr">
        <is>
          <t>DESPESAS ADMINISTRATIVAS</t>
        </is>
      </c>
      <c r="G314" s="10" t="inlineStr">
        <is>
          <t>350</t>
        </is>
      </c>
      <c r="H314" s="8">
        <f>IFERROR(VLOOKUP(G314&amp;"",PLANO!A:B,2,FALSE),"CONTA NAO EXISTE NO PLANO")</f>
        <v/>
      </c>
      <c r="I314" s="8" t="inlineStr">
        <is>
          <t>350</t>
        </is>
      </c>
      <c r="J314" s="8" t="inlineStr">
        <is>
          <t>CORRIGIR</t>
        </is>
      </c>
      <c r="K314" s="8" t="inlineStr">
        <is>
          <t>categoria Cosmos 124</t>
        </is>
      </c>
      <c r="L314" s="8" t="inlineStr">
        <is>
          <t>ACINFAZ | 115/124 | PGTO REF.ASSOCIAÇÃO ACINFAZ</t>
        </is>
      </c>
      <c r="M314" s="8" t="inlineStr">
        <is>
          <t>ACINFAZ - PGTO REF.ASSOCIAÇÃO ACINFAZ</t>
        </is>
      </c>
    </row>
    <row r="315">
      <c r="A315" t="n">
        <v>314</v>
      </c>
      <c r="B315" t="inlineStr">
        <is>
          <t>18/02/2026</t>
        </is>
      </c>
      <c r="C315" t="inlineStr">
        <is>
          <t>AZUL LINHAS AEREAS BRASILEIRAS S.APAG REF A FRETE SOBRE VENDAS</t>
        </is>
      </c>
      <c r="D315" s="7" t="n">
        <v>-252.41</v>
      </c>
      <c r="E315" t="inlineStr">
        <is>
          <t>312</t>
        </is>
      </c>
      <c r="F315" t="inlineStr">
        <is>
          <t>FRETES E CARRETOS</t>
        </is>
      </c>
      <c r="G315" s="2" t="inlineStr">
        <is>
          <t>312</t>
        </is>
      </c>
      <c r="H315">
        <f>IFERROR(VLOOKUP(G315&amp;"",PLANO!A:B,2,FALSE),"CONTA NAO EXISTE NO PLANO")</f>
        <v/>
      </c>
      <c r="I315" t="inlineStr">
        <is>
          <t>312</t>
        </is>
      </c>
      <c r="J315" t="inlineStr">
        <is>
          <t>OK</t>
        </is>
      </c>
      <c r="K315" t="inlineStr">
        <is>
          <t>categoria Cosmos 97</t>
        </is>
      </c>
      <c r="L315" t="inlineStr">
        <is>
          <t>AZUL LINHAS AEREAS BRASILEIRAS S.A. | 115/97 | PAG REF A FRETE SOBRE VENDAS</t>
        </is>
      </c>
      <c r="M315" t="inlineStr">
        <is>
          <t>AZUL LINHAS AEREAS BRASILEIRAS S.A. - PAG REF A FRETE SOBRE VENDAS</t>
        </is>
      </c>
    </row>
    <row r="316">
      <c r="A316" s="4" t="n">
        <v>315</v>
      </c>
      <c r="B316" s="4" t="inlineStr">
        <is>
          <t>18/02/2026</t>
        </is>
      </c>
      <c r="C316" s="4" t="inlineStr">
        <is>
          <t>CRMTECH SISTEMAS DE INFORMACAO LTDA PGTO REF.SERVIÇOS PRESTADOS DE UTILIZAÇÃO SISTEMASCOSMOS</t>
        </is>
      </c>
      <c r="D316" s="5" t="n">
        <v>-2859.58</v>
      </c>
      <c r="E316" s="4" t="inlineStr">
        <is>
          <t>640</t>
        </is>
      </c>
      <c r="F316" s="4" t="inlineStr">
        <is>
          <t>SOFTWARE/SISTEMA</t>
        </is>
      </c>
      <c r="G316" s="6" t="inlineStr">
        <is>
          <t>640</t>
        </is>
      </c>
      <c r="H316" s="4">
        <f>IFERROR(VLOOKUP(G316&amp;"",PLANO!A:B,2,FALSE),"CONTA NAO EXISTE NO PLANO")</f>
        <v/>
      </c>
      <c r="I316" s="4" t="inlineStr">
        <is>
          <t>640</t>
        </is>
      </c>
      <c r="J316" s="4" t="inlineStr">
        <is>
          <t>AJUSTADO</t>
        </is>
      </c>
      <c r="K316" s="4" t="inlineStr">
        <is>
          <t>software/sistema (Cosmos cat. 47)</t>
        </is>
      </c>
      <c r="L316" s="4" t="inlineStr">
        <is>
          <t>CRMTECH SISTEMAS DE INFORMACAO LTDA | 115/47 | PGTO REF.SERVIÇOS PRESTADOS DE UTILIZAÇÃO SISTEMAS COSMOS</t>
        </is>
      </c>
      <c r="M316" s="4" t="inlineStr">
        <is>
          <t>CRMTECH SISTEMAS DE INFORMACAO LTDA - PGTO REF.SERVIÇOS PRESTADOS DE UTILIZAÇÃO SISTEMAS COSMOS</t>
        </is>
      </c>
    </row>
    <row r="317">
      <c r="A317" s="4" t="n">
        <v>316</v>
      </c>
      <c r="B317" s="4" t="inlineStr">
        <is>
          <t>18/02/2026</t>
        </is>
      </c>
      <c r="C317" s="4" t="inlineStr">
        <is>
          <t>DENTAL UNI COOPERATIVA ODONTOLOGICAPGTO REF.SERVIÇOS PRESTADOS DE ODONTOLOGIA</t>
        </is>
      </c>
      <c r="D317" s="5" t="n">
        <v>-244.51</v>
      </c>
      <c r="E317" s="4" t="inlineStr">
        <is>
          <t>628</t>
        </is>
      </c>
      <c r="F317" s="4" t="inlineStr">
        <is>
          <t>PLANO ODONTOLOGICO</t>
        </is>
      </c>
      <c r="G317" s="6" t="inlineStr">
        <is>
          <t>628</t>
        </is>
      </c>
      <c r="H317" s="4">
        <f>IFERROR(VLOOKUP(G317&amp;"",PLANO!A:B,2,FALSE),"CONTA NAO EXISTE NO PLANO")</f>
        <v/>
      </c>
      <c r="I317" s="4" t="inlineStr">
        <is>
          <t>628</t>
        </is>
      </c>
      <c r="J317" s="4" t="inlineStr">
        <is>
          <t>AJUSTADO</t>
        </is>
      </c>
      <c r="K317" s="4" t="inlineStr">
        <is>
          <t>plano odontologico</t>
        </is>
      </c>
      <c r="L317" s="4" t="inlineStr">
        <is>
          <t>DENTAL UNI COOPERATIVA ODONTOLOGICA | 115/45 | PGTO REF.SERVIÇOS PRESTADOS DE ODONTOLOGIA</t>
        </is>
      </c>
      <c r="M317" s="4" t="inlineStr">
        <is>
          <t>DENTAL UNI COOPERATIVA ODONTOLOGICA - PGTO REF.SERVIÇOS PRESTADOS DE ODONTOLOGIA</t>
        </is>
      </c>
    </row>
    <row r="318">
      <c r="A318" t="n">
        <v>317</v>
      </c>
      <c r="B318" t="inlineStr">
        <is>
          <t>18/02/2026</t>
        </is>
      </c>
      <c r="C318" t="inlineStr">
        <is>
          <t>DINACO IMPORTACAO, COMERCIO LTDA. PGTO REF. A COMPRA DE MATERIA PRIMA (PAGAR BOLETOPARA REMAZZO)</t>
        </is>
      </c>
      <c r="D318" s="7" t="n">
        <v>-5252.54</v>
      </c>
      <c r="E318" t="inlineStr">
        <is>
          <t>506</t>
        </is>
      </c>
      <c r="F318" t="inlineStr">
        <is>
          <t>FORNECEDORES DIVERSOS</t>
        </is>
      </c>
      <c r="G318" s="2" t="inlineStr">
        <is>
          <t>506</t>
        </is>
      </c>
      <c r="H318">
        <f>IFERROR(VLOOKUP(G318&amp;"",PLANO!A:B,2,FALSE),"CONTA NAO EXISTE NO PLANO")</f>
        <v/>
      </c>
      <c r="I318" t="inlineStr">
        <is>
          <t>506</t>
        </is>
      </c>
      <c r="J318" t="inlineStr">
        <is>
          <t>OK</t>
        </is>
      </c>
      <c r="K318" t="inlineStr">
        <is>
          <t>fornecedor com NF</t>
        </is>
      </c>
      <c r="L318" t="inlineStr">
        <is>
          <t>DINACO IMPORTACAO, COMERCIO LTDA. | 115/6 | PGTO REF. A COMPRA DE MATERIA PRIMA (PAGAR BOLETO PARA REMAZZO)</t>
        </is>
      </c>
      <c r="M318" t="inlineStr">
        <is>
          <t>DINACO IMPORTACAO, COMERCIO LTDA. - PGTO REF. A COMPRA DE MATERIA PRIMA (PAGAR BOLETO PARA REMAZZO)</t>
        </is>
      </c>
    </row>
    <row r="319">
      <c r="A319" s="11" t="n">
        <v>318</v>
      </c>
      <c r="B319" s="11" t="inlineStr">
        <is>
          <t>18/02/2026</t>
        </is>
      </c>
      <c r="C319" s="11" t="inlineStr">
        <is>
          <t>ECOPLUS - LAVANDERIA INDUSTRIAL - EIRELI PAGAMENTO REFERENTE A LOCAÇAO DE TOALHASINDUSTRIAIS</t>
        </is>
      </c>
      <c r="D319" s="12" t="n">
        <v>-672</v>
      </c>
      <c r="E319" s="11" t="inlineStr">
        <is>
          <t>506</t>
        </is>
      </c>
      <c r="F319" s="11" t="inlineStr">
        <is>
          <t>FORNECEDORES DIVERSOS</t>
        </is>
      </c>
      <c r="G319" s="13" t="inlineStr">
        <is>
          <t>506</t>
        </is>
      </c>
      <c r="H319" s="11">
        <f>IFERROR(VLOOKUP(G319&amp;"",PLANO!A:B,2,FALSE),"CONTA NAO EXISTE NO PLANO")</f>
        <v/>
      </c>
      <c r="I319" s="11" t="inlineStr">
        <is>
          <t>506</t>
        </is>
      </c>
      <c r="J319" s="11" t="inlineStr">
        <is>
          <t>MANTIDO</t>
        </is>
      </c>
      <c r="K319" s="11" t="inlineStr">
        <is>
          <t>servicos diversos (lavanderia, dedetizacao, contabilidade, Plus Sante) | mantida a conta atual (sem informacao que justifique troca)</t>
        </is>
      </c>
      <c r="L319" s="11" t="inlineStr">
        <is>
          <t>ECOPLUS LAVANDERIA INDUSTRIAL EIRELI | 115/45 | PAGAMENTO REFERENTE A LOCAÇAO DE TOALHAS INDUSTRIAIS</t>
        </is>
      </c>
      <c r="M319" s="11" t="inlineStr">
        <is>
          <t>ECOPLUS LAVANDERIA INDUSTRIAL EIRELI - PAGAMENTO REFERENTE A LOCAÇAO DE TOALHAS INDUSTRIAIS</t>
        </is>
      </c>
    </row>
    <row r="320">
      <c r="A320" s="11" t="n">
        <v>319</v>
      </c>
      <c r="B320" s="11" t="inlineStr">
        <is>
          <t>18/02/2026</t>
        </is>
      </c>
      <c r="C320" s="11" t="inlineStr">
        <is>
          <t>ESGOFOSSA DESENTUPIDORA LTDAPAGAMENTO REFERENTE A COLETA DE RESIDUOSINDUSTRIAIS</t>
        </is>
      </c>
      <c r="D320" s="12" t="n">
        <v>-1425</v>
      </c>
      <c r="E320" s="11" t="inlineStr">
        <is>
          <t>493</t>
        </is>
      </c>
      <c r="F320" s="11" t="inlineStr">
        <is>
          <t>DESPESAS DIVERSAS</t>
        </is>
      </c>
      <c r="G320" s="13" t="inlineStr">
        <is>
          <t>493</t>
        </is>
      </c>
      <c r="H320" s="11">
        <f>IFERROR(VLOOKUP(G320&amp;"",PLANO!A:B,2,FALSE),"CONTA NAO EXISTE NO PLANO")</f>
        <v/>
      </c>
      <c r="I320" s="11" t="inlineStr">
        <is>
          <t>493</t>
        </is>
      </c>
      <c r="J320" s="11" t="inlineStr">
        <is>
          <t>MANTIDO</t>
        </is>
      </c>
      <c r="K320" s="11" t="inlineStr">
        <is>
          <t>servicos diversos (lavanderia, dedetizacao, contabilidade, Plus Sante) | mantida a conta atual (sem informacao que justifique troca)</t>
        </is>
      </c>
      <c r="L320" s="11" t="inlineStr">
        <is>
          <t>ESGOFOSSA DESENTUPIDORA LTDA | 115/45 | PAGAMENTO REFERENTE A COLETA DE RESIDUOS INDUSTRIAIS</t>
        </is>
      </c>
      <c r="M320" s="11" t="inlineStr">
        <is>
          <t>ESGOFOSSA DESENTUPIDORA LTDA - PAGAMENTO REFERENTE A COLETA DE RESIDUOS INDUSTRIAIS</t>
        </is>
      </c>
    </row>
    <row r="321">
      <c r="A321" t="n">
        <v>320</v>
      </c>
      <c r="B321" t="inlineStr">
        <is>
          <t>18/02/2026</t>
        </is>
      </c>
      <c r="C321" t="inlineStr">
        <is>
          <t>EXPRESSO SAO MIGUEL LTDA PAG REF A FRETE SOBRE VENDAS NF 7604, 7620, 7619,</t>
        </is>
      </c>
      <c r="D321" s="7" t="n">
        <v>-1070.77</v>
      </c>
      <c r="E321" t="inlineStr">
        <is>
          <t>312</t>
        </is>
      </c>
      <c r="F321" t="inlineStr">
        <is>
          <t>FRETES E CARRETOS</t>
        </is>
      </c>
      <c r="G321" s="2" t="inlineStr">
        <is>
          <t>312</t>
        </is>
      </c>
      <c r="H321">
        <f>IFERROR(VLOOKUP(G321&amp;"",PLANO!A:B,2,FALSE),"CONTA NAO EXISTE NO PLANO")</f>
        <v/>
      </c>
      <c r="I321" t="inlineStr">
        <is>
          <t>312</t>
        </is>
      </c>
      <c r="J321" t="inlineStr">
        <is>
          <t>OK</t>
        </is>
      </c>
      <c r="K321" t="inlineStr">
        <is>
          <t>categoria Cosmos 97</t>
        </is>
      </c>
      <c r="L321" t="inlineStr">
        <is>
          <t>EXPRESSO SAO MIGUEL LTDA | 115/97 | PAG REF A FRETE SOBRE VENDAS NF 7604, 7620, 7619, 7621, 7622, 7626, 7629 E 7624</t>
        </is>
      </c>
      <c r="M321" t="inlineStr">
        <is>
          <t>EXPRESSO SAO MIGUEL LTDA - PAG REF A FRETE SOBRE VENDAS NF 7604, 7620, 7619, 7621, 7622, 7626, 7629 E 7624</t>
        </is>
      </c>
    </row>
    <row r="322">
      <c r="A322" t="n">
        <v>321</v>
      </c>
      <c r="B322" t="inlineStr">
        <is>
          <t>18/02/2026</t>
        </is>
      </c>
      <c r="C322" t="inlineStr">
        <is>
          <t>GRÁFICA MALIRES LTDA PGTO REF. A CARTELA DE AMOSTRA DE PERFUMES</t>
        </is>
      </c>
      <c r="D322" s="7" t="n">
        <v>-750</v>
      </c>
      <c r="E322" t="inlineStr">
        <is>
          <t>506</t>
        </is>
      </c>
      <c r="F322" t="inlineStr">
        <is>
          <t>FORNECEDORES DIVERSOS</t>
        </is>
      </c>
      <c r="G322" s="2" t="inlineStr">
        <is>
          <t>506</t>
        </is>
      </c>
      <c r="H322">
        <f>IFERROR(VLOOKUP(G322&amp;"",PLANO!A:B,2,FALSE),"CONTA NAO EXISTE NO PLANO")</f>
        <v/>
      </c>
      <c r="I322" t="inlineStr">
        <is>
          <t>506</t>
        </is>
      </c>
      <c r="J322" t="inlineStr">
        <is>
          <t>OK</t>
        </is>
      </c>
      <c r="K322" t="inlineStr">
        <is>
          <t>fornecedor com NF</t>
        </is>
      </c>
      <c r="L322" t="inlineStr">
        <is>
          <t>GRÁFICA MALIRES LTDA | 115/9 | PGTO REF. A CARTELA DE AMOSTRA DE PERFUMES</t>
        </is>
      </c>
      <c r="M322" t="inlineStr">
        <is>
          <t>GRÁFICA MALIRES LTDA - PGTO REF. A CARTELA DE AMOSTRA DE PERFUMES</t>
        </is>
      </c>
    </row>
    <row r="323">
      <c r="A323" t="n">
        <v>322</v>
      </c>
      <c r="B323" t="inlineStr">
        <is>
          <t>18/02/2026</t>
        </is>
      </c>
      <c r="C323" t="inlineStr">
        <is>
          <t>REF. A BOLETO PAGO ITAU UNIBANC</t>
        </is>
      </c>
      <c r="D323" s="7" t="n">
        <v>-10982.96</v>
      </c>
      <c r="E323" t="inlineStr">
        <is>
          <t>364</t>
        </is>
      </c>
      <c r="F323" t="inlineStr">
        <is>
          <t>DESPESAS ADMINISTRATIVAS</t>
        </is>
      </c>
      <c r="G323" s="2" t="inlineStr">
        <is>
          <t>364</t>
        </is>
      </c>
      <c r="H323">
        <f>IFERROR(VLOOKUP(G323&amp;"",PLANO!A:B,2,FALSE),"CONTA NAO EXISTE NO PLANO")</f>
        <v/>
      </c>
      <c r="I323" t="inlineStr">
        <is>
          <t>364</t>
        </is>
      </c>
      <c r="J323" t="inlineStr">
        <is>
          <t>SEM COSMOS</t>
        </is>
      </c>
      <c r="K323" t="inlineStr"/>
      <c r="L323" t="inlineStr"/>
      <c r="M323" t="inlineStr">
        <is>
          <t>BOLETO PAGO ITAU UNIBANC</t>
        </is>
      </c>
    </row>
    <row r="324">
      <c r="A324" s="4" t="n">
        <v>323</v>
      </c>
      <c r="B324" s="4" t="inlineStr">
        <is>
          <t>18/02/2026</t>
        </is>
      </c>
      <c r="C324" s="4" t="inlineStr">
        <is>
          <t>COPEL TELECOMUNICACOES S.A.PGTO REF.INTERNET DEDICADA LIGGA TELECO</t>
        </is>
      </c>
      <c r="D324" s="5" t="n">
        <v>-559.92</v>
      </c>
      <c r="E324" s="4" t="inlineStr">
        <is>
          <t>555</t>
        </is>
      </c>
      <c r="F324" s="4" t="inlineStr">
        <is>
          <t>INTERNET</t>
        </is>
      </c>
      <c r="G324" s="6" t="inlineStr">
        <is>
          <t>555</t>
        </is>
      </c>
      <c r="H324" s="4">
        <f>IFERROR(VLOOKUP(G324&amp;"",PLANO!A:B,2,FALSE),"CONTA NAO EXISTE NO PLANO")</f>
        <v/>
      </c>
      <c r="I324" s="4" t="inlineStr">
        <is>
          <t>555</t>
        </is>
      </c>
      <c r="J324" s="4" t="inlineStr">
        <is>
          <t>AJUSTADO</t>
        </is>
      </c>
      <c r="K324" s="4" t="inlineStr">
        <is>
          <t>internet</t>
        </is>
      </c>
      <c r="L324" s="4" t="inlineStr">
        <is>
          <t>COPEL TELECOMUNICACOES S.A. | 115/47 | PGTO REF.INTERNET DEDICADA</t>
        </is>
      </c>
      <c r="M324" s="4" t="inlineStr">
        <is>
          <t>COPEL TELECOMUNICACOES S.A. - PGTO REF.INTERNET DEDICADA</t>
        </is>
      </c>
    </row>
    <row r="325">
      <c r="A325" t="n">
        <v>324</v>
      </c>
      <c r="B325" t="inlineStr">
        <is>
          <t>18/02/2026</t>
        </is>
      </c>
      <c r="C325" t="inlineStr">
        <is>
          <t>AMONEX DO BRASIL INDUSTRIA E COMERCIO LIMITADA PAGAMENTO REFERENTE A COMPRA DE MATERIA PRIMA,AMONIA 630KG</t>
        </is>
      </c>
      <c r="D325" s="7" t="n">
        <v>-2142</v>
      </c>
      <c r="E325" t="inlineStr">
        <is>
          <t>506</t>
        </is>
      </c>
      <c r="F325" t="inlineStr">
        <is>
          <t>FORNECEDORES DIVERSOS</t>
        </is>
      </c>
      <c r="G325" s="2" t="inlineStr">
        <is>
          <t>506</t>
        </is>
      </c>
      <c r="H325">
        <f>IFERROR(VLOOKUP(G325&amp;"",PLANO!A:B,2,FALSE),"CONTA NAO EXISTE NO PLANO")</f>
        <v/>
      </c>
      <c r="I325" t="inlineStr">
        <is>
          <t>506</t>
        </is>
      </c>
      <c r="J325" t="inlineStr">
        <is>
          <t>OK</t>
        </is>
      </c>
      <c r="K325" t="inlineStr">
        <is>
          <t>fornecedor com NF</t>
        </is>
      </c>
      <c r="L325" t="inlineStr">
        <is>
          <t>AMONEX DO BRASIL INDUSTRIA E COMERCIO LIMITADA | 115/6 | PAGAMENTO REFERENTE A COMPRA DE MATERIA PRIMA, AMONIA 630KG</t>
        </is>
      </c>
      <c r="M325" t="inlineStr">
        <is>
          <t>AMONEX DO BRASIL INDUSTRIA E COMERCIO LIMITADA - PAGAMENTO REFERENTE A COMPRA DE MATERIA PRIMA, AMONIA 630KG</t>
        </is>
      </c>
    </row>
    <row r="326">
      <c r="A326" s="11" t="n">
        <v>325</v>
      </c>
      <c r="B326" s="11" t="inlineStr">
        <is>
          <t>18/02/2026</t>
        </is>
      </c>
      <c r="C326" s="11" t="inlineStr">
        <is>
          <t>FARMACIA E DROGARIA NISSEI LTDAPGTO REF.CONVENIO FARMACIA DESCONTADO EM FOLHA</t>
        </is>
      </c>
      <c r="D326" s="12" t="n">
        <v>-92.16</v>
      </c>
      <c r="E326" s="11" t="inlineStr">
        <is>
          <t>493</t>
        </is>
      </c>
      <c r="F326" s="11" t="inlineStr">
        <is>
          <t>DESPESAS DIVERSAS</t>
        </is>
      </c>
      <c r="G326" s="13" t="inlineStr">
        <is>
          <t>493</t>
        </is>
      </c>
      <c r="H326" s="11">
        <f>IFERROR(VLOOKUP(G326&amp;"",PLANO!A:B,2,FALSE),"CONTA NAO EXISTE NO PLANO")</f>
        <v/>
      </c>
      <c r="I326" s="11" t="inlineStr">
        <is>
          <t>493</t>
        </is>
      </c>
      <c r="J326" s="11" t="inlineStr">
        <is>
          <t>MANTIDO</t>
        </is>
      </c>
      <c r="K326" s="11" t="inlineStr">
        <is>
          <t>folha/convenio farmacia desconto em folha | mantida a conta atual (sem informacao que justifique troca)</t>
        </is>
      </c>
      <c r="L326" s="11" t="inlineStr">
        <is>
          <t>FARMACIA E DROGARIA NISSEI LTDA | 115/17 | PGTO REF.CONVENIO FARMACIA DESCONTADO EM FOLHA</t>
        </is>
      </c>
      <c r="M326" s="11" t="inlineStr">
        <is>
          <t>FARMACIA E DROGARIA NISSEI LTDA - PGTO REF.CONVENIO FARMACIA DESCONTADO EM FOLHA</t>
        </is>
      </c>
    </row>
    <row r="327">
      <c r="A327" s="8" t="n">
        <v>326</v>
      </c>
      <c r="B327" s="8" t="inlineStr">
        <is>
          <t>18/02/2026</t>
        </is>
      </c>
      <c r="C327" s="8" t="inlineStr">
        <is>
          <t>MELO &amp; CRUZ LTDAPGTO REF.ALUGUEL</t>
        </is>
      </c>
      <c r="D327" s="9" t="n">
        <v>-3220</v>
      </c>
      <c r="E327" s="8" t="inlineStr">
        <is>
          <t>506</t>
        </is>
      </c>
      <c r="F327" s="8" t="inlineStr">
        <is>
          <t>FORNECEDORES DIVERSOS</t>
        </is>
      </c>
      <c r="G327" s="10" t="inlineStr">
        <is>
          <t>320</t>
        </is>
      </c>
      <c r="H327" s="8">
        <f>IFERROR(VLOOKUP(G327&amp;"",PLANO!A:B,2,FALSE),"CONTA NAO EXISTE NO PLANO")</f>
        <v/>
      </c>
      <c r="I327" s="8" t="inlineStr">
        <is>
          <t>320</t>
        </is>
      </c>
      <c r="J327" s="8" t="inlineStr">
        <is>
          <t>CORRIGIR</t>
        </is>
      </c>
      <c r="K327" s="8" t="inlineStr">
        <is>
          <t>categoria Cosmos 11</t>
        </is>
      </c>
      <c r="L327" s="8" t="inlineStr">
        <is>
          <t>MELO &amp; CRUZ LTDA | 115/11 | PGTO REF.ALUGUEL</t>
        </is>
      </c>
      <c r="M327" s="8" t="inlineStr">
        <is>
          <t>MELO &amp; CRUZ LTDA - PGTO REF.ALUGUEL</t>
        </is>
      </c>
    </row>
    <row r="328">
      <c r="A328" t="n">
        <v>327</v>
      </c>
      <c r="B328" t="inlineStr">
        <is>
          <t>18/02/2026</t>
        </is>
      </c>
      <c r="C328" t="inlineStr">
        <is>
          <t>QUIMIFORMULA COMERCIO DE PRODUTOS QUIMICOS LTDAPGTO REF. A COMPRA DE MATERIA PRIMA, UVINUL 5KG</t>
        </is>
      </c>
      <c r="D328" s="7" t="n">
        <v>-536.52</v>
      </c>
      <c r="E328" t="inlineStr">
        <is>
          <t>506</t>
        </is>
      </c>
      <c r="F328" t="inlineStr">
        <is>
          <t>FORNECEDORES DIVERSOS</t>
        </is>
      </c>
      <c r="G328" s="2" t="inlineStr">
        <is>
          <t>506</t>
        </is>
      </c>
      <c r="H328">
        <f>IFERROR(VLOOKUP(G328&amp;"",PLANO!A:B,2,FALSE),"CONTA NAO EXISTE NO PLANO")</f>
        <v/>
      </c>
      <c r="I328" t="inlineStr">
        <is>
          <t>506</t>
        </is>
      </c>
      <c r="J328" t="inlineStr">
        <is>
          <t>OK</t>
        </is>
      </c>
      <c r="K328" t="inlineStr">
        <is>
          <t>fornecedor com NF</t>
        </is>
      </c>
      <c r="L328" t="inlineStr">
        <is>
          <t>QUIMIFORMULA COMERCIO DE PRODUTOS QUIMICOS LTDA | 115/6 | PGTO REF. A COMPRA DE MATERIA PRIMA, UVINUL 5KG</t>
        </is>
      </c>
      <c r="M328" t="inlineStr">
        <is>
          <t>QUIMIFORMULA COMERCIO DE PRODUTOS QUIMICOS LTDA - PGTO REF. A COMPRA DE MATERIA PRIMA, UVINUL 5KG</t>
        </is>
      </c>
    </row>
    <row r="329">
      <c r="A329" t="n">
        <v>328</v>
      </c>
      <c r="B329" t="inlineStr">
        <is>
          <t>18/02/2026</t>
        </is>
      </c>
      <c r="C329" t="inlineStr">
        <is>
          <t>QUIMIFORMULA COMERCIO DE PRODUTOS QUIMICOS LTDAPGTO REF. A COMPRA DE MATERIA PRIMA, DC 5KG</t>
        </is>
      </c>
      <c r="D329" s="7" t="n">
        <v>-543.24</v>
      </c>
      <c r="E329" t="inlineStr">
        <is>
          <t>506</t>
        </is>
      </c>
      <c r="F329" t="inlineStr">
        <is>
          <t>FORNECEDORES DIVERSOS</t>
        </is>
      </c>
      <c r="G329" s="2" t="inlineStr">
        <is>
          <t>506</t>
        </is>
      </c>
      <c r="H329">
        <f>IFERROR(VLOOKUP(G329&amp;"",PLANO!A:B,2,FALSE),"CONTA NAO EXISTE NO PLANO")</f>
        <v/>
      </c>
      <c r="I329" t="inlineStr">
        <is>
          <t>506</t>
        </is>
      </c>
      <c r="J329" t="inlineStr">
        <is>
          <t>OK</t>
        </is>
      </c>
      <c r="K329" t="inlineStr">
        <is>
          <t>fornecedor com NF</t>
        </is>
      </c>
      <c r="L329" t="inlineStr">
        <is>
          <t>QUIMIFORMULA COMERCIO DE PRODUTOS QUIMICOS LTDA | 115/6 | PGTO REF. A COMPRA DE MATERIA PRIMA, DC 5KG</t>
        </is>
      </c>
      <c r="M329" t="inlineStr">
        <is>
          <t>QUIMIFORMULA COMERCIO DE PRODUTOS QUIMICOS LTDA - PGTO REF. A COMPRA DE MATERIA PRIMA, DC 5KG</t>
        </is>
      </c>
    </row>
    <row r="330">
      <c r="A330" t="n">
        <v>329</v>
      </c>
      <c r="B330" t="inlineStr">
        <is>
          <t>18/02/2026</t>
        </is>
      </c>
      <c r="C330" t="inlineStr">
        <is>
          <t>QUIMIFORMULA COMERCIO DE PRODUTOS QUIMICOS LTDAPGTO REF. A COMPRA DE MATERIA PRIMA, GENAMIN 20 KG</t>
        </is>
      </c>
      <c r="D330" s="7" t="n">
        <v>-907.54</v>
      </c>
      <c r="E330" t="inlineStr">
        <is>
          <t>506</t>
        </is>
      </c>
      <c r="F330" t="inlineStr">
        <is>
          <t>FORNECEDORES DIVERSOS</t>
        </is>
      </c>
      <c r="G330" s="2" t="inlineStr">
        <is>
          <t>506</t>
        </is>
      </c>
      <c r="H330">
        <f>IFERROR(VLOOKUP(G330&amp;"",PLANO!A:B,2,FALSE),"CONTA NAO EXISTE NO PLANO")</f>
        <v/>
      </c>
      <c r="I330" t="inlineStr">
        <is>
          <t>506</t>
        </is>
      </c>
      <c r="J330" t="inlineStr">
        <is>
          <t>OK</t>
        </is>
      </c>
      <c r="K330" t="inlineStr">
        <is>
          <t>fornecedor com NF</t>
        </is>
      </c>
      <c r="L330" t="inlineStr">
        <is>
          <t>QUIMIFORMULA COMERCIO DE PRODUTOS QUIMICOS LTDA | 115/6 | PGTO REF. A COMPRA DE MATERIA PRIMA, GENAMIN 20 KG</t>
        </is>
      </c>
      <c r="M330" t="inlineStr">
        <is>
          <t>QUIMIFORMULA COMERCIO DE PRODUTOS QUIMICOS LTDA - PGTO REF. A COMPRA DE MATERIA PRIMA, GENAMIN 20 KG</t>
        </is>
      </c>
    </row>
    <row r="331">
      <c r="A331" s="11" t="n">
        <v>330</v>
      </c>
      <c r="B331" s="11" t="inlineStr">
        <is>
          <t>18/02/2026</t>
        </is>
      </c>
      <c r="C331" s="11" t="inlineStr">
        <is>
          <t>REAGEN PRODUTOS PARA LABORATORIOS EIRELIPGTO REF. A COMPRA DE MATERIA PRIMA, ACIDO CITRICO9KG</t>
        </is>
      </c>
      <c r="D331" s="12" t="n">
        <v>-432</v>
      </c>
      <c r="E331" s="11" t="inlineStr">
        <is>
          <t>506</t>
        </is>
      </c>
      <c r="F331" s="11" t="inlineStr">
        <is>
          <t>FORNECEDORES DIVERSOS</t>
        </is>
      </c>
      <c r="G331" s="13" t="inlineStr">
        <is>
          <t>506</t>
        </is>
      </c>
      <c r="H331" s="11">
        <f>IFERROR(VLOOKUP(G331&amp;"",PLANO!A:B,2,FALSE),"CONTA NAO EXISTE NO PLANO")</f>
        <v/>
      </c>
      <c r="I331" s="11" t="inlineStr">
        <is>
          <t>506</t>
        </is>
      </c>
      <c r="J331" s="11" t="inlineStr">
        <is>
          <t>MANTIDO</t>
        </is>
      </c>
      <c r="K331" s="11" t="inlineStr">
        <is>
          <t>material laboratorio/contratipagem | mantida a conta atual (sem informacao que justifique troca)</t>
        </is>
      </c>
      <c r="L331" s="11" t="inlineStr">
        <is>
          <t>REAGEN PRODUTOS PARA LABORATORIOS EIRELI | 115/103 | PGTO REF. A COMPRA DE MATERIA PRIMA, ACIDO CITRICO 9KG</t>
        </is>
      </c>
      <c r="M331" s="11" t="inlineStr">
        <is>
          <t>REAGEN PRODUTOS PARA LABORATORIOS EIRELI - PGTO REF. A COMPRA DE MATERIA PRIMA, ACIDO CITRICO 9KG</t>
        </is>
      </c>
    </row>
    <row r="332">
      <c r="A332" t="n">
        <v>331</v>
      </c>
      <c r="B332" t="inlineStr">
        <is>
          <t>18/02/2026</t>
        </is>
      </c>
      <c r="C332" t="inlineStr">
        <is>
          <t>SINDICATO DOS TRABS NAS INDUST QUIMICAS E FARM DO ESTPR PGTO REF.CONTRIBUIÇÃO CONF.CLAUSULA CCT 2025-2026</t>
        </is>
      </c>
      <c r="D332" s="7" t="n">
        <v>-285</v>
      </c>
      <c r="E332" t="inlineStr">
        <is>
          <t>350</t>
        </is>
      </c>
      <c r="F332" t="inlineStr">
        <is>
          <t>TAXAS DIVERSAS</t>
        </is>
      </c>
      <c r="G332" s="2" t="inlineStr">
        <is>
          <t>350</t>
        </is>
      </c>
      <c r="H332">
        <f>IFERROR(VLOOKUP(G332&amp;"",PLANO!A:B,2,FALSE),"CONTA NAO EXISTE NO PLANO")</f>
        <v/>
      </c>
      <c r="I332" t="inlineStr">
        <is>
          <t>350</t>
        </is>
      </c>
      <c r="J332" t="inlineStr">
        <is>
          <t>OK</t>
        </is>
      </c>
      <c r="K332" t="inlineStr">
        <is>
          <t>categoria Cosmos 156</t>
        </is>
      </c>
      <c r="L332" t="inlineStr">
        <is>
          <t>SINDICATO DOS TRABS NAS INDUST QUIMICAS E FARM DO ESTPR | 115/156 | PGTO REF.CONTRIBUIÇÃO CONF.CLAUSULA CCT 2025-2026</t>
        </is>
      </c>
      <c r="M332" t="inlineStr">
        <is>
          <t>SINDICATO DOS TRABS NAS INDUST QUIMICAS E FARM DO ESTPR - PGTO REF.CONTRIBUIÇÃO CONF.CLAUSULA CCT 2025-2026</t>
        </is>
      </c>
    </row>
    <row r="333">
      <c r="A333" s="11" t="n">
        <v>332</v>
      </c>
      <c r="B333" s="11" t="inlineStr">
        <is>
          <t>18/02/2026</t>
        </is>
      </c>
      <c r="C333" s="11" t="inlineStr">
        <is>
          <t>SUL TAPE COMERCIO DE EMBALAGENS EIRELIPGTO REF. A COMPRA DE PLASTICO BOLHA</t>
        </is>
      </c>
      <c r="D333" s="12" t="n">
        <v>-854.85</v>
      </c>
      <c r="E333" s="11" t="inlineStr">
        <is>
          <t>506</t>
        </is>
      </c>
      <c r="F333" s="11" t="inlineStr">
        <is>
          <t>FORNECEDORES DIVERSOS</t>
        </is>
      </c>
      <c r="G333" s="13" t="inlineStr">
        <is>
          <t>506</t>
        </is>
      </c>
      <c r="H333" s="11">
        <f>IFERROR(VLOOKUP(G333&amp;"",PLANO!A:B,2,FALSE),"CONTA NAO EXISTE NO PLANO")</f>
        <v/>
      </c>
      <c r="I333" s="11" t="inlineStr">
        <is>
          <t>506</t>
        </is>
      </c>
      <c r="J333" s="11" t="inlineStr">
        <is>
          <t>MANTIDO</t>
        </is>
      </c>
      <c r="K333" s="11" t="inlineStr">
        <is>
          <t>material laboratorio/embalagem consumo | mantida a conta atual (sem informacao que justifique troca)</t>
        </is>
      </c>
      <c r="L333" s="11" t="inlineStr">
        <is>
          <t>SUL TAPE COMERCIO DE EMBALAGENS EIRELI | 115/8 | PGTO REF. A COMPRA DE PLASTICO BOLHA</t>
        </is>
      </c>
      <c r="M333" s="11" t="inlineStr">
        <is>
          <t>SUL TAPE COMERCIO DE EMBALAGENS EIRELI - PGTO REF. A COMPRA DE PLASTICO BOLHA</t>
        </is>
      </c>
    </row>
    <row r="334">
      <c r="A334" s="4" t="n">
        <v>333</v>
      </c>
      <c r="B334" s="4" t="inlineStr">
        <is>
          <t>18/02/2026</t>
        </is>
      </c>
      <c r="C334" s="4" t="inlineStr">
        <is>
          <t>SB DISTRIBUIDORA LTDAPGTO REF. A COMPRA DE PRODUTOS DE LIMPEZA</t>
        </is>
      </c>
      <c r="D334" s="5" t="n">
        <v>-722.37</v>
      </c>
      <c r="E334" s="4" t="inlineStr">
        <is>
          <t>506</t>
        </is>
      </c>
      <c r="F334" s="4" t="inlineStr">
        <is>
          <t>FORNECEDORES DIVERSOS</t>
        </is>
      </c>
      <c r="G334" s="6" t="inlineStr">
        <is>
          <t>360</t>
        </is>
      </c>
      <c r="H334" s="4">
        <f>IFERROR(VLOOKUP(G334&amp;"",PLANO!A:B,2,FALSE),"CONTA NAO EXISTE NO PLANO")</f>
        <v/>
      </c>
      <c r="I334" s="4" t="inlineStr">
        <is>
          <t>506</t>
        </is>
      </c>
      <c r="J334" s="4" t="inlineStr">
        <is>
          <t>AJUSTADO</t>
        </is>
      </c>
      <c r="K334" s="4" t="inlineStr">
        <is>
          <t>material de limpeza</t>
        </is>
      </c>
      <c r="L334" s="4" t="inlineStr">
        <is>
          <t>SB DISTRIBUIDORA LTDA | 115/16 | PGTO REF. A COMPRA DE PRODUTOS DE LIMPEZA</t>
        </is>
      </c>
      <c r="M334" s="4" t="inlineStr">
        <is>
          <t>SB DISTRIBUIDORA LTDA - PGTO REF. A COMPRA DE PRODUTOS DE LIMPEZA</t>
        </is>
      </c>
    </row>
    <row r="335">
      <c r="A335" t="n">
        <v>334</v>
      </c>
      <c r="B335" t="inlineStr">
        <is>
          <t>18/02/2026</t>
        </is>
      </c>
      <c r="C335" t="inlineStr">
        <is>
          <t>TEX COURIER S.A PAG REF A FRETE SOBRE VENDAS</t>
        </is>
      </c>
      <c r="D335" s="7" t="n">
        <v>-800.02</v>
      </c>
      <c r="E335" t="inlineStr">
        <is>
          <t>312</t>
        </is>
      </c>
      <c r="F335" t="inlineStr">
        <is>
          <t>FRETES E CARRETOS</t>
        </is>
      </c>
      <c r="G335" s="2" t="inlineStr">
        <is>
          <t>312</t>
        </is>
      </c>
      <c r="H335">
        <f>IFERROR(VLOOKUP(G335&amp;"",PLANO!A:B,2,FALSE),"CONTA NAO EXISTE NO PLANO")</f>
        <v/>
      </c>
      <c r="I335" t="inlineStr">
        <is>
          <t>312</t>
        </is>
      </c>
      <c r="J335" t="inlineStr">
        <is>
          <t>OK</t>
        </is>
      </c>
      <c r="K335" t="inlineStr">
        <is>
          <t>categoria Cosmos 97</t>
        </is>
      </c>
      <c r="L335" t="inlineStr">
        <is>
          <t>TEX COURIER S.A | 115/97 | PAG REF A FRETE SOBRE VENDAS</t>
        </is>
      </c>
      <c r="M335" t="inlineStr">
        <is>
          <t>TEX COURIER S.A - PAG REF A FRETE SOBRE VENDAS</t>
        </is>
      </c>
    </row>
    <row r="336">
      <c r="A336" t="n">
        <v>335</v>
      </c>
      <c r="B336" t="inlineStr">
        <is>
          <t>18/02/2026</t>
        </is>
      </c>
      <c r="C336" t="inlineStr">
        <is>
          <t>REF. A BOLETO PAGO TRANSAL TRANSPORTADORA SALVAN LTDA</t>
        </is>
      </c>
      <c r="D336" s="7" t="n">
        <v>-190.43</v>
      </c>
      <c r="E336" t="inlineStr">
        <is>
          <t>312</t>
        </is>
      </c>
      <c r="F336" t="inlineStr">
        <is>
          <t>FRETES E CARRETOS</t>
        </is>
      </c>
      <c r="G336" s="2" t="inlineStr">
        <is>
          <t>312</t>
        </is>
      </c>
      <c r="H336">
        <f>IFERROR(VLOOKUP(G336&amp;"",PLANO!A:B,2,FALSE),"CONTA NAO EXISTE NO PLANO")</f>
        <v/>
      </c>
      <c r="I336" t="inlineStr">
        <is>
          <t>312</t>
        </is>
      </c>
      <c r="J336" t="inlineStr">
        <is>
          <t>OK</t>
        </is>
      </c>
      <c r="K336" t="inlineStr">
        <is>
          <t>categoria Cosmos 4</t>
        </is>
      </c>
      <c r="L336" t="inlineStr">
        <is>
          <t xml:space="preserve">TRANSAL TRANSPORTADORA SALVAN LTDA | 115/4 | </t>
        </is>
      </c>
      <c r="M336" t="inlineStr">
        <is>
          <t>TRANSAL TRANSPORTADORA SALVAN LTDA</t>
        </is>
      </c>
    </row>
    <row r="337">
      <c r="A337" s="4" t="n">
        <v>336</v>
      </c>
      <c r="B337" s="4" t="inlineStr">
        <is>
          <t>18/02/2026</t>
        </is>
      </c>
      <c r="C337" s="4" t="inlineStr">
        <is>
          <t>VR BENEFICIOS E SERVICOS DE PROCESSAMENTO S.A PGTO REF. A SISTEMA PONTO</t>
        </is>
      </c>
      <c r="D337" s="5" t="n">
        <v>-179.1</v>
      </c>
      <c r="E337" s="4" t="inlineStr">
        <is>
          <t>640</t>
        </is>
      </c>
      <c r="F337" s="4" t="inlineStr">
        <is>
          <t>SOFTWARE/SISTEMA</t>
        </is>
      </c>
      <c r="G337" s="6" t="inlineStr">
        <is>
          <t>640</t>
        </is>
      </c>
      <c r="H337" s="4">
        <f>IFERROR(VLOOKUP(G337&amp;"",PLANO!A:B,2,FALSE),"CONTA NAO EXISTE NO PLANO")</f>
        <v/>
      </c>
      <c r="I337" s="4" t="inlineStr">
        <is>
          <t>640</t>
        </is>
      </c>
      <c r="J337" s="4" t="inlineStr">
        <is>
          <t>AJUSTADO</t>
        </is>
      </c>
      <c r="K337" s="4" t="inlineStr">
        <is>
          <t>software/sistema (Cosmos cat. 47)</t>
        </is>
      </c>
      <c r="L337" s="4" t="inlineStr">
        <is>
          <t>VR BENEFICIOS E SERVICOS DE PROCESSAMENTO S.A | 115/47 | PGTO REF. A SISTEMA PONTO</t>
        </is>
      </c>
      <c r="M337" s="4" t="inlineStr">
        <is>
          <t>VR BENEFICIOS E SERVICOS DE PROCESSAMENTO S.A - PGTO REF. A SISTEMA PONTO</t>
        </is>
      </c>
    </row>
    <row r="338">
      <c r="A338" t="n">
        <v>337</v>
      </c>
      <c r="B338" t="inlineStr">
        <is>
          <t>18/02/2026</t>
        </is>
      </c>
      <c r="C338" t="inlineStr">
        <is>
          <t>YAHWEH PRINT BRASIL LTDA  PGTO REF. A COMPRA DE ROTULO PARA SHAMPOO ECONDICIONADOR NATURE CARE</t>
        </is>
      </c>
      <c r="D338" s="7" t="n">
        <v>-1119.12</v>
      </c>
      <c r="E338" t="inlineStr">
        <is>
          <t>506</t>
        </is>
      </c>
      <c r="F338" t="inlineStr">
        <is>
          <t>FORNECEDORES DIVERSOS</t>
        </is>
      </c>
      <c r="G338" s="2" t="inlineStr">
        <is>
          <t>506</t>
        </is>
      </c>
      <c r="H338">
        <f>IFERROR(VLOOKUP(G338&amp;"",PLANO!A:B,2,FALSE),"CONTA NAO EXISTE NO PLANO")</f>
        <v/>
      </c>
      <c r="I338" t="inlineStr">
        <is>
          <t>506</t>
        </is>
      </c>
      <c r="J338" t="inlineStr">
        <is>
          <t>OK</t>
        </is>
      </c>
      <c r="K338" t="inlineStr">
        <is>
          <t>fornecedor com NF</t>
        </is>
      </c>
      <c r="L338" t="inlineStr">
        <is>
          <t>YAHWEH PRINT BRASIL LTDA | 115/9 | PGTO REF. A COMPRA DE ROTULO PARA SHAMPOO E CONDICIONADOR NATURE CARE</t>
        </is>
      </c>
      <c r="M338" t="inlineStr">
        <is>
          <t>YAHWEH PRINT BRASIL LTDA - PGTO REF. A COMPRA DE ROTULO PARA SHAMPOO E CONDICIONADOR NATURE CARE</t>
        </is>
      </c>
    </row>
    <row r="339">
      <c r="A339" s="4" t="n">
        <v>338</v>
      </c>
      <c r="B339" s="4" t="inlineStr">
        <is>
          <t>19/02/2026</t>
        </is>
      </c>
      <c r="C339" s="4" t="inlineStr">
        <is>
          <t>REF. A SISPAG COSMETICON COMER (OUTRAS ENTRADAS)</t>
        </is>
      </c>
      <c r="D339" s="5" t="n">
        <v>10000</v>
      </c>
      <c r="E339" s="4" t="inlineStr">
        <is>
          <t>663</t>
        </is>
      </c>
      <c r="F339" s="4" t="inlineStr">
        <is>
          <t>EMPRESTIMO COSMETICON COMERCIO (31.494.732/0001-09)</t>
        </is>
      </c>
      <c r="G339" s="6" t="inlineStr">
        <is>
          <t>663</t>
        </is>
      </c>
      <c r="H339" s="4">
        <f>IFERROR(VLOOKUP(G339&amp;"",PLANO!A:B,2,FALSE),"CONTA NAO EXISTE NO PLANO")</f>
        <v/>
      </c>
      <c r="I339" s="4" t="inlineStr">
        <is>
          <t>663</t>
        </is>
      </c>
      <c r="J339" s="4" t="inlineStr">
        <is>
          <t>AJUSTADO</t>
        </is>
      </c>
      <c r="K339" s="4" t="inlineStr">
        <is>
          <t>COSMETICON - conta-corrente unica de mutuo (663)</t>
        </is>
      </c>
      <c r="L339" s="4" t="inlineStr">
        <is>
          <t xml:space="preserve">OUTRAS ENTRADAS | 122/71 | </t>
        </is>
      </c>
      <c r="M339" s="4" t="inlineStr">
        <is>
          <t>SISPAG COSMETICON COMER (OUTRAS ENTRADAS)</t>
        </is>
      </c>
    </row>
    <row r="340">
      <c r="A340" t="n">
        <v>339</v>
      </c>
      <c r="B340" t="inlineStr">
        <is>
          <t>19/02/2026</t>
        </is>
      </c>
      <c r="C340" t="inlineStr">
        <is>
          <t>REF. A MOV TIT COB DISP 19/02S</t>
        </is>
      </c>
      <c r="D340" s="7" t="n">
        <v>2182.93</v>
      </c>
      <c r="E340" t="inlineStr">
        <is>
          <t>504</t>
        </is>
      </c>
      <c r="F340" t="inlineStr">
        <is>
          <t>CLIENTES DIVERSOS</t>
        </is>
      </c>
      <c r="G340" s="2" t="inlineStr">
        <is>
          <t>504</t>
        </is>
      </c>
      <c r="H340">
        <f>IFERROR(VLOOKUP(G340&amp;"",PLANO!A:B,2,FALSE),"CONTA NAO EXISTE NO PLANO")</f>
        <v/>
      </c>
      <c r="I340" t="inlineStr">
        <is>
          <t>504</t>
        </is>
      </c>
      <c r="J340" t="inlineStr">
        <is>
          <t>SEM COSMOS</t>
        </is>
      </c>
      <c r="K340" t="inlineStr"/>
      <c r="L340" t="inlineStr"/>
      <c r="M340" t="inlineStr">
        <is>
          <t>MOV TIT COB DISP 19/02S</t>
        </is>
      </c>
    </row>
    <row r="341">
      <c r="A341" t="n">
        <v>340</v>
      </c>
      <c r="B341" t="inlineStr">
        <is>
          <t>19/02/2026</t>
        </is>
      </c>
      <c r="C341" t="inlineStr">
        <is>
          <t>REF. A PIX ENVIADO 32.768.316 I</t>
        </is>
      </c>
      <c r="D341" s="7" t="n">
        <v>-1140</v>
      </c>
      <c r="E341" t="inlineStr">
        <is>
          <t>493</t>
        </is>
      </c>
      <c r="F341" t="inlineStr">
        <is>
          <t>DESPESAS DIVERSAS</t>
        </is>
      </c>
      <c r="G341" s="2" t="inlineStr">
        <is>
          <t>493</t>
        </is>
      </c>
      <c r="H341">
        <f>IFERROR(VLOOKUP(G341&amp;"",PLANO!A:B,2,FALSE),"CONTA NAO EXISTE NO PLANO")</f>
        <v/>
      </c>
      <c r="I341" t="inlineStr">
        <is>
          <t>493</t>
        </is>
      </c>
      <c r="J341" t="inlineStr">
        <is>
          <t>SEM COSMOS</t>
        </is>
      </c>
      <c r="K341" t="inlineStr"/>
      <c r="L341" t="inlineStr"/>
      <c r="M341" t="inlineStr">
        <is>
          <t>PIX ENVIADO 32.768.316 I</t>
        </is>
      </c>
    </row>
    <row r="342">
      <c r="A342" t="n">
        <v>341</v>
      </c>
      <c r="B342" t="inlineStr">
        <is>
          <t>19/02/2026</t>
        </is>
      </c>
      <c r="C342" t="inlineStr">
        <is>
          <t>REF. A PIX ENVIADO UNIVAR SOLUT</t>
        </is>
      </c>
      <c r="D342" s="7" t="n">
        <v>-1882.37</v>
      </c>
      <c r="E342" t="inlineStr">
        <is>
          <t>506</t>
        </is>
      </c>
      <c r="F342" t="inlineStr">
        <is>
          <t>FORNECEDORES DIVERSOS</t>
        </is>
      </c>
      <c r="G342" s="2" t="inlineStr">
        <is>
          <t>506</t>
        </is>
      </c>
      <c r="H342">
        <f>IFERROR(VLOOKUP(G342&amp;"",PLANO!A:B,2,FALSE),"CONTA NAO EXISTE NO PLANO")</f>
        <v/>
      </c>
      <c r="I342" t="inlineStr">
        <is>
          <t>506</t>
        </is>
      </c>
      <c r="J342" t="inlineStr">
        <is>
          <t>SEM COSMOS</t>
        </is>
      </c>
      <c r="K342" t="inlineStr"/>
      <c r="L342" t="inlineStr"/>
      <c r="M342" t="inlineStr">
        <is>
          <t>PIX ENVIADO UNIVAR SOLUT</t>
        </is>
      </c>
    </row>
    <row r="343">
      <c r="A343" t="n">
        <v>342</v>
      </c>
      <c r="B343" t="inlineStr">
        <is>
          <t>19/02/2026</t>
        </is>
      </c>
      <c r="C343" t="inlineStr">
        <is>
          <t>NOVA PIRAMIDAL THERMOPLASTICS S.A. PAGAMENTO REFERENTE A COMPRA DE MATERIAL PARASOPRO</t>
        </is>
      </c>
      <c r="D343" s="7" t="n">
        <v>-3066.53</v>
      </c>
      <c r="E343" t="inlineStr">
        <is>
          <t>506</t>
        </is>
      </c>
      <c r="F343" t="inlineStr">
        <is>
          <t>FORNECEDORES DIVERSOS</t>
        </is>
      </c>
      <c r="G343" s="2" t="inlineStr">
        <is>
          <t>506</t>
        </is>
      </c>
      <c r="H343">
        <f>IFERROR(VLOOKUP(G343&amp;"",PLANO!A:B,2,FALSE),"CONTA NAO EXISTE NO PLANO")</f>
        <v/>
      </c>
      <c r="I343" t="inlineStr">
        <is>
          <t>506</t>
        </is>
      </c>
      <c r="J343" t="inlineStr">
        <is>
          <t>OK</t>
        </is>
      </c>
      <c r="K343" t="inlineStr">
        <is>
          <t>fornecedor com NF</t>
        </is>
      </c>
      <c r="L343" t="inlineStr">
        <is>
          <t>NOVA PIRAMIDAL THERMOPLASTICS S.A. | 115/6 | PAGAMENTO REFERENTE A COMPRA DE MATERIAL PARA SOPRO</t>
        </is>
      </c>
      <c r="M343" t="inlineStr">
        <is>
          <t>NOVA PIRAMIDAL THERMOPLASTICS S.A. - PAGAMENTO REFERENTE A COMPRA DE MATERIAL PARA SOPRO</t>
        </is>
      </c>
    </row>
    <row r="344">
      <c r="A344" t="n">
        <v>343</v>
      </c>
      <c r="B344" t="inlineStr">
        <is>
          <t>19/02/2026</t>
        </is>
      </c>
      <c r="C344" t="inlineStr">
        <is>
          <t>MHLOG LOGISTICA E TRANSPORTE LTDAPAG REF A FRETE SOBRE VENDAS NF 7647</t>
        </is>
      </c>
      <c r="D344" s="7" t="n">
        <v>-318.63</v>
      </c>
      <c r="E344" t="inlineStr">
        <is>
          <t>312</t>
        </is>
      </c>
      <c r="F344" t="inlineStr">
        <is>
          <t>FRETES E CARRETOS</t>
        </is>
      </c>
      <c r="G344" s="2" t="inlineStr">
        <is>
          <t>312</t>
        </is>
      </c>
      <c r="H344">
        <f>IFERROR(VLOOKUP(G344&amp;"",PLANO!A:B,2,FALSE),"CONTA NAO EXISTE NO PLANO")</f>
        <v/>
      </c>
      <c r="I344" t="inlineStr">
        <is>
          <t>312</t>
        </is>
      </c>
      <c r="J344" t="inlineStr">
        <is>
          <t>OK</t>
        </is>
      </c>
      <c r="K344" t="inlineStr">
        <is>
          <t>categoria Cosmos 97</t>
        </is>
      </c>
      <c r="L344" t="inlineStr">
        <is>
          <t>MHLOG LOGISTICA E TRANSPORTE LTDA | 115/97 | PAG REF A FRETE SOBRE VENDAS NF 7647</t>
        </is>
      </c>
      <c r="M344" t="inlineStr">
        <is>
          <t>MHLOG LOGISTICA E TRANSPORTE LTDA - PAG REF A FRETE SOBRE VENDAS NF 7647</t>
        </is>
      </c>
    </row>
    <row r="345">
      <c r="A345" t="n">
        <v>344</v>
      </c>
      <c r="B345" t="inlineStr">
        <is>
          <t>19/02/2026</t>
        </is>
      </c>
      <c r="C345" t="inlineStr">
        <is>
          <t>TRANSAL TRANSPORTADORA SALVAN LTDAPAGAMENTO REFERENTE A FRETE SOBRE COMPRAS</t>
        </is>
      </c>
      <c r="D345" s="7" t="n">
        <v>-747.09</v>
      </c>
      <c r="E345" t="inlineStr">
        <is>
          <t>312</t>
        </is>
      </c>
      <c r="F345" t="inlineStr">
        <is>
          <t>FRETES E CARRETOS</t>
        </is>
      </c>
      <c r="G345" s="2" t="inlineStr">
        <is>
          <t>312</t>
        </is>
      </c>
      <c r="H345">
        <f>IFERROR(VLOOKUP(G345&amp;"",PLANO!A:B,2,FALSE),"CONTA NAO EXISTE NO PLANO")</f>
        <v/>
      </c>
      <c r="I345" t="inlineStr">
        <is>
          <t>312</t>
        </is>
      </c>
      <c r="J345" t="inlineStr">
        <is>
          <t>OK</t>
        </is>
      </c>
      <c r="K345" t="inlineStr">
        <is>
          <t>categoria Cosmos 4</t>
        </is>
      </c>
      <c r="L345" t="inlineStr">
        <is>
          <t>TRANSAL TRANSPORTADORA SALVAN LTDA | 115/4 | PAGAMENTO REFERENTE A FRETE SOBRE COMPRAS</t>
        </is>
      </c>
      <c r="M345" t="inlineStr">
        <is>
          <t>TRANSAL TRANSPORTADORA SALVAN LTDA - PAGAMENTO REFERENTE A FRETE SOBRE COMPRAS</t>
        </is>
      </c>
    </row>
    <row r="346">
      <c r="A346" t="n">
        <v>345</v>
      </c>
      <c r="B346" t="inlineStr">
        <is>
          <t>19/02/2026</t>
        </is>
      </c>
      <c r="C346" t="inlineStr">
        <is>
          <t>YAHWEH PRINT BRASIL LTDAPAGAMENTO REFERENTE A COMPRA DE ROTULOS, LEAVEINULTRA CACHOS 3500UN ROTULO BISNAGA MORENAILUMINADA 4000UN</t>
        </is>
      </c>
      <c r="D346" s="7" t="n">
        <v>-1685.05</v>
      </c>
      <c r="E346" t="inlineStr">
        <is>
          <t>506</t>
        </is>
      </c>
      <c r="F346" t="inlineStr">
        <is>
          <t>FORNECEDORES DIVERSOS</t>
        </is>
      </c>
      <c r="G346" s="2" t="inlineStr">
        <is>
          <t>506</t>
        </is>
      </c>
      <c r="H346">
        <f>IFERROR(VLOOKUP(G346&amp;"",PLANO!A:B,2,FALSE),"CONTA NAO EXISTE NO PLANO")</f>
        <v/>
      </c>
      <c r="I346" t="inlineStr">
        <is>
          <t>506</t>
        </is>
      </c>
      <c r="J346" t="inlineStr">
        <is>
          <t>OK</t>
        </is>
      </c>
      <c r="K346" t="inlineStr">
        <is>
          <t>fornecedor com NF</t>
        </is>
      </c>
      <c r="L346" t="inlineStr">
        <is>
          <t>YAHWEH PRINT BRASIL LTDA | 115/9 | PAGAMENTO REFERENTE A COMPRA DE ROTULOS, LEAVEIN ULTRA CACHOS 3500UN ROTULO BISNAGA MORENA ILUMINADA 4000UN</t>
        </is>
      </c>
      <c r="M346" t="inlineStr">
        <is>
          <t>YAHWEH PRINT BRASIL LTDA - PAGAMENTO REFERENTE A COMPRA DE ROTULOS, LEAVEIN ULTRA CACHOS 3500UN ROTULO BISN</t>
        </is>
      </c>
    </row>
    <row r="347">
      <c r="A347" t="n">
        <v>346</v>
      </c>
      <c r="B347" t="inlineStr">
        <is>
          <t>20/02/2026</t>
        </is>
      </c>
      <c r="C347" t="inlineStr">
        <is>
          <t>REF. A MOV TIT COB DISP 20/02S</t>
        </is>
      </c>
      <c r="D347" s="7" t="n">
        <v>827.52</v>
      </c>
      <c r="E347" t="inlineStr">
        <is>
          <t>504</t>
        </is>
      </c>
      <c r="F347" t="inlineStr">
        <is>
          <t>CLIENTES DIVERSOS</t>
        </is>
      </c>
      <c r="G347" s="2" t="inlineStr">
        <is>
          <t>504</t>
        </is>
      </c>
      <c r="H347">
        <f>IFERROR(VLOOKUP(G347&amp;"",PLANO!A:B,2,FALSE),"CONTA NAO EXISTE NO PLANO")</f>
        <v/>
      </c>
      <c r="I347" t="inlineStr">
        <is>
          <t>504</t>
        </is>
      </c>
      <c r="J347" t="inlineStr">
        <is>
          <t>SEM COSMOS</t>
        </is>
      </c>
      <c r="K347" t="inlineStr"/>
      <c r="L347" t="inlineStr"/>
      <c r="M347" t="inlineStr">
        <is>
          <t>MOV TIT COB DISP 20/02S</t>
        </is>
      </c>
    </row>
    <row r="348">
      <c r="A348" t="n">
        <v>347</v>
      </c>
      <c r="B348" t="inlineStr">
        <is>
          <t>20/02/2026</t>
        </is>
      </c>
      <c r="C348" t="inlineStr">
        <is>
          <t>REF. A BOLETO PAGO URBANO SA SO</t>
        </is>
      </c>
      <c r="D348" s="7" t="n">
        <v>-375.22</v>
      </c>
      <c r="E348" t="inlineStr">
        <is>
          <t>350</t>
        </is>
      </c>
      <c r="F348" t="inlineStr">
        <is>
          <t>TAXAS DIVERSAS</t>
        </is>
      </c>
      <c r="G348" s="2" t="inlineStr">
        <is>
          <t>350</t>
        </is>
      </c>
      <c r="H348">
        <f>IFERROR(VLOOKUP(G348&amp;"",PLANO!A:B,2,FALSE),"CONTA NAO EXISTE NO PLANO")</f>
        <v/>
      </c>
      <c r="I348" t="inlineStr">
        <is>
          <t>350</t>
        </is>
      </c>
      <c r="J348" t="inlineStr">
        <is>
          <t>SEM COSMOS</t>
        </is>
      </c>
      <c r="K348" t="inlineStr"/>
      <c r="L348" t="inlineStr"/>
      <c r="M348" t="inlineStr">
        <is>
          <t>BOLETO PAGO URBANO SA SO</t>
        </is>
      </c>
    </row>
    <row r="349">
      <c r="A349" t="n">
        <v>348</v>
      </c>
      <c r="B349" t="inlineStr">
        <is>
          <t>20/02/2026</t>
        </is>
      </c>
      <c r="C349" t="inlineStr">
        <is>
          <t>REF. A BOLETO PAGO ESTRE AMBIEN</t>
        </is>
      </c>
      <c r="D349" s="7" t="n">
        <v>-172.68</v>
      </c>
      <c r="E349" t="inlineStr">
        <is>
          <t>506</t>
        </is>
      </c>
      <c r="F349" t="inlineStr">
        <is>
          <t>FORNECEDORES DIVERSOS</t>
        </is>
      </c>
      <c r="G349" s="2" t="inlineStr">
        <is>
          <t>506</t>
        </is>
      </c>
      <c r="H349">
        <f>IFERROR(VLOOKUP(G349&amp;"",PLANO!A:B,2,FALSE),"CONTA NAO EXISTE NO PLANO")</f>
        <v/>
      </c>
      <c r="I349" t="inlineStr">
        <is>
          <t>506</t>
        </is>
      </c>
      <c r="J349" t="inlineStr">
        <is>
          <t>SEM COSMOS</t>
        </is>
      </c>
      <c r="K349" t="inlineStr"/>
      <c r="L349" t="inlineStr"/>
      <c r="M349" t="inlineStr">
        <is>
          <t>BOLETO PAGO ESTRE AMBIEN</t>
        </is>
      </c>
    </row>
    <row r="350">
      <c r="A350" s="4" t="n">
        <v>349</v>
      </c>
      <c r="B350" s="4" t="inlineStr">
        <is>
          <t>23/02/2026</t>
        </is>
      </c>
      <c r="C350" s="4" t="inlineStr">
        <is>
          <t>REF. A SISPAG GULA COSMETICOS</t>
        </is>
      </c>
      <c r="D350" s="5" t="n">
        <v>7000</v>
      </c>
      <c r="E350" s="4" t="inlineStr">
        <is>
          <t>504</t>
        </is>
      </c>
      <c r="F350" s="4" t="inlineStr">
        <is>
          <t>CLIENTES DIVERSOS</t>
        </is>
      </c>
      <c r="G350" s="6" t="inlineStr">
        <is>
          <t>366</t>
        </is>
      </c>
      <c r="H350" s="4">
        <f>IFERROR(VLOOKUP(G350&amp;"",PLANO!A:B,2,FALSE),"CONTA NAO EXISTE NO PLANO")</f>
        <v/>
      </c>
      <c r="I350" s="4" t="inlineStr">
        <is>
          <t>672</t>
        </is>
      </c>
      <c r="J350" s="4" t="inlineStr">
        <is>
          <t>AJUSTADO</t>
        </is>
      </c>
      <c r="K350" s="4" t="inlineStr">
        <is>
          <t>GULA/FIQUE BEM (mesmo CNPJ, empresa do grupo) - mutuo em EMPRESTIMOS A TERCEIROS (366); nao e fornecedor</t>
        </is>
      </c>
      <c r="L350" s="4" t="inlineStr"/>
      <c r="M350" s="4" t="inlineStr">
        <is>
          <t>SISPAG GULA COSMETICOS</t>
        </is>
      </c>
    </row>
    <row r="351">
      <c r="A351" t="n">
        <v>350</v>
      </c>
      <c r="B351" t="inlineStr">
        <is>
          <t>23/02/2026</t>
        </is>
      </c>
      <c r="C351" t="inlineStr">
        <is>
          <t>REF. A MOV TIT COB DISP 23/02S</t>
        </is>
      </c>
      <c r="D351" s="7" t="n">
        <v>7478.64</v>
      </c>
      <c r="E351" t="inlineStr">
        <is>
          <t>504</t>
        </is>
      </c>
      <c r="F351" t="inlineStr">
        <is>
          <t>CLIENTES DIVERSOS</t>
        </is>
      </c>
      <c r="G351" s="2" t="inlineStr">
        <is>
          <t>504</t>
        </is>
      </c>
      <c r="H351">
        <f>IFERROR(VLOOKUP(G351&amp;"",PLANO!A:B,2,FALSE),"CONTA NAO EXISTE NO PLANO")</f>
        <v/>
      </c>
      <c r="I351" t="inlineStr">
        <is>
          <t>504</t>
        </is>
      </c>
      <c r="J351" t="inlineStr">
        <is>
          <t>SEM COSMOS</t>
        </is>
      </c>
      <c r="K351" t="inlineStr"/>
      <c r="L351" t="inlineStr"/>
      <c r="M351" t="inlineStr">
        <is>
          <t>MOV TIT COB DISP 23/02S</t>
        </is>
      </c>
    </row>
    <row r="352">
      <c r="A352" t="n">
        <v>351</v>
      </c>
      <c r="B352" t="inlineStr">
        <is>
          <t>23/02/2026</t>
        </is>
      </c>
      <c r="C352" t="inlineStr">
        <is>
          <t>PIX ENVIADO ALINE DA SIL</t>
        </is>
      </c>
      <c r="D352" s="7" t="n">
        <v>-3218</v>
      </c>
      <c r="E352" t="inlineStr">
        <is>
          <t>506</t>
        </is>
      </c>
      <c r="F352" t="inlineStr">
        <is>
          <t>FORNECEDORES DIVERSOS</t>
        </is>
      </c>
      <c r="G352" s="2" t="inlineStr">
        <is>
          <t>506</t>
        </is>
      </c>
      <c r="H352">
        <f>IFERROR(VLOOKUP(G352&amp;"",PLANO!A:B,2,FALSE),"CONTA NAO EXISTE NO PLANO")</f>
        <v/>
      </c>
      <c r="I352" t="inlineStr">
        <is>
          <t>506</t>
        </is>
      </c>
      <c r="J352" t="inlineStr">
        <is>
          <t>SEM COSMOS</t>
        </is>
      </c>
      <c r="K352" t="inlineStr"/>
      <c r="L352" t="inlineStr"/>
      <c r="M352" t="inlineStr">
        <is>
          <t>PIX ENVIADO ALINE DA SIL</t>
        </is>
      </c>
    </row>
    <row r="353">
      <c r="A353" t="n">
        <v>352</v>
      </c>
      <c r="B353" t="inlineStr">
        <is>
          <t>23/02/2026</t>
        </is>
      </c>
      <c r="C353" t="inlineStr">
        <is>
          <t>REF. A BOLETO PAGO ALTEC INDUST</t>
        </is>
      </c>
      <c r="D353" s="7" t="n">
        <v>-2506.56</v>
      </c>
      <c r="E353" t="inlineStr">
        <is>
          <t>506</t>
        </is>
      </c>
      <c r="F353" t="inlineStr">
        <is>
          <t>FORNECEDORES DIVERSOS</t>
        </is>
      </c>
      <c r="G353" s="2" t="inlineStr">
        <is>
          <t>506</t>
        </is>
      </c>
      <c r="H353">
        <f>IFERROR(VLOOKUP(G353&amp;"",PLANO!A:B,2,FALSE),"CONTA NAO EXISTE NO PLANO")</f>
        <v/>
      </c>
      <c r="I353" t="inlineStr">
        <is>
          <t>506</t>
        </is>
      </c>
      <c r="J353" t="inlineStr">
        <is>
          <t>SEM COSMOS</t>
        </is>
      </c>
      <c r="K353" t="inlineStr"/>
      <c r="L353" t="inlineStr"/>
      <c r="M353" t="inlineStr">
        <is>
          <t>BOLETO PAGO ALTEC INDUST</t>
        </is>
      </c>
    </row>
    <row r="354">
      <c r="A354" t="n">
        <v>353</v>
      </c>
      <c r="B354" t="inlineStr">
        <is>
          <t>23/02/2026</t>
        </is>
      </c>
      <c r="C354" t="inlineStr">
        <is>
          <t>REF. A BOLETO PAGO QUIMIFORMULA</t>
        </is>
      </c>
      <c r="D354" s="7" t="n">
        <v>-543.24</v>
      </c>
      <c r="E354" t="inlineStr">
        <is>
          <t>506</t>
        </is>
      </c>
      <c r="F354" t="inlineStr">
        <is>
          <t>FORNECEDORES DIVERSOS</t>
        </is>
      </c>
      <c r="G354" s="2" t="inlineStr">
        <is>
          <t>506</t>
        </is>
      </c>
      <c r="H354">
        <f>IFERROR(VLOOKUP(G354&amp;"",PLANO!A:B,2,FALSE),"CONTA NAO EXISTE NO PLANO")</f>
        <v/>
      </c>
      <c r="I354" t="inlineStr">
        <is>
          <t>506</t>
        </is>
      </c>
      <c r="J354" t="inlineStr">
        <is>
          <t>SEM COSMOS</t>
        </is>
      </c>
      <c r="K354" t="inlineStr"/>
      <c r="L354" t="inlineStr"/>
      <c r="M354" t="inlineStr">
        <is>
          <t>BOLETO PAGO QUIMIFORMULA</t>
        </is>
      </c>
    </row>
    <row r="355">
      <c r="A355" t="n">
        <v>354</v>
      </c>
      <c r="B355" t="inlineStr">
        <is>
          <t>23/02/2026</t>
        </is>
      </c>
      <c r="C355" t="inlineStr">
        <is>
          <t>REF. A BOLETO PAGO SUL TAPE COM</t>
        </is>
      </c>
      <c r="D355" s="7" t="n">
        <v>-430.78</v>
      </c>
      <c r="E355" t="inlineStr">
        <is>
          <t>506</t>
        </is>
      </c>
      <c r="F355" t="inlineStr">
        <is>
          <t>FORNECEDORES DIVERSOS</t>
        </is>
      </c>
      <c r="G355" s="2" t="inlineStr">
        <is>
          <t>506</t>
        </is>
      </c>
      <c r="H355">
        <f>IFERROR(VLOOKUP(G355&amp;"",PLANO!A:B,2,FALSE),"CONTA NAO EXISTE NO PLANO")</f>
        <v/>
      </c>
      <c r="I355" t="inlineStr">
        <is>
          <t>506</t>
        </is>
      </c>
      <c r="J355" t="inlineStr">
        <is>
          <t>SEM COSMOS</t>
        </is>
      </c>
      <c r="K355" t="inlineStr"/>
      <c r="L355" t="inlineStr"/>
      <c r="M355" t="inlineStr">
        <is>
          <t>BOLETO PAGO SUL TAPE COM</t>
        </is>
      </c>
    </row>
    <row r="356">
      <c r="A356" t="n">
        <v>355</v>
      </c>
      <c r="B356" t="inlineStr">
        <is>
          <t>23/02/2026</t>
        </is>
      </c>
      <c r="C356" t="inlineStr">
        <is>
          <t>REF. A BOLETO PAGO INTERLAB DIS</t>
        </is>
      </c>
      <c r="D356" s="7" t="n">
        <v>-1386</v>
      </c>
      <c r="E356" t="inlineStr">
        <is>
          <t>506</t>
        </is>
      </c>
      <c r="F356" t="inlineStr">
        <is>
          <t>FORNECEDORES DIVERSOS</t>
        </is>
      </c>
      <c r="G356" s="2" t="inlineStr">
        <is>
          <t>506</t>
        </is>
      </c>
      <c r="H356">
        <f>IFERROR(VLOOKUP(G356&amp;"",PLANO!A:B,2,FALSE),"CONTA NAO EXISTE NO PLANO")</f>
        <v/>
      </c>
      <c r="I356" t="inlineStr">
        <is>
          <t>506</t>
        </is>
      </c>
      <c r="J356" t="inlineStr">
        <is>
          <t>SEM COSMOS</t>
        </is>
      </c>
      <c r="K356" t="inlineStr"/>
      <c r="L356" t="inlineStr"/>
      <c r="M356" t="inlineStr">
        <is>
          <t>BOLETO PAGO INTERLAB DIS</t>
        </is>
      </c>
    </row>
    <row r="357">
      <c r="A357" t="n">
        <v>356</v>
      </c>
      <c r="B357" t="inlineStr">
        <is>
          <t>23/02/2026</t>
        </is>
      </c>
      <c r="C357" t="inlineStr">
        <is>
          <t>REF. A BOLETO PAGO TNT MERCURIO</t>
        </is>
      </c>
      <c r="D357" s="7" t="n">
        <v>-18.6</v>
      </c>
      <c r="E357" t="inlineStr">
        <is>
          <t>312</t>
        </is>
      </c>
      <c r="F357" t="inlineStr">
        <is>
          <t>FRETES E CARRETOS</t>
        </is>
      </c>
      <c r="G357" s="2" t="inlineStr">
        <is>
          <t>312</t>
        </is>
      </c>
      <c r="H357">
        <f>IFERROR(VLOOKUP(G357&amp;"",PLANO!A:B,2,FALSE),"CONTA NAO EXISTE NO PLANO")</f>
        <v/>
      </c>
      <c r="I357" t="inlineStr">
        <is>
          <t>312</t>
        </is>
      </c>
      <c r="J357" t="inlineStr">
        <is>
          <t>SEM COSMOS</t>
        </is>
      </c>
      <c r="K357" t="inlineStr"/>
      <c r="L357" t="inlineStr"/>
      <c r="M357" t="inlineStr">
        <is>
          <t>BOLETO PAGO TNT MERCURIO</t>
        </is>
      </c>
    </row>
    <row r="358">
      <c r="A358" t="n">
        <v>357</v>
      </c>
      <c r="B358" t="inlineStr">
        <is>
          <t>23/02/2026</t>
        </is>
      </c>
      <c r="C358" t="inlineStr">
        <is>
          <t>REF. A BOLETO PAGO TRANSAL</t>
        </is>
      </c>
      <c r="D358" s="7" t="n">
        <v>-195.57</v>
      </c>
      <c r="E358" t="inlineStr">
        <is>
          <t>312</t>
        </is>
      </c>
      <c r="F358" t="inlineStr">
        <is>
          <t>FRETES E CARRETOS</t>
        </is>
      </c>
      <c r="G358" s="2" t="inlineStr">
        <is>
          <t>312</t>
        </is>
      </c>
      <c r="H358">
        <f>IFERROR(VLOOKUP(G358&amp;"",PLANO!A:B,2,FALSE),"CONTA NAO EXISTE NO PLANO")</f>
        <v/>
      </c>
      <c r="I358" t="inlineStr">
        <is>
          <t>312</t>
        </is>
      </c>
      <c r="J358" t="inlineStr">
        <is>
          <t>SEM COSMOS</t>
        </is>
      </c>
      <c r="K358" t="inlineStr"/>
      <c r="L358" t="inlineStr"/>
      <c r="M358" t="inlineStr">
        <is>
          <t>BOLETO PAGO TRANSAL</t>
        </is>
      </c>
    </row>
    <row r="359">
      <c r="A359" t="n">
        <v>358</v>
      </c>
      <c r="B359" t="inlineStr">
        <is>
          <t>24/02/2026</t>
        </is>
      </c>
      <c r="C359" t="inlineStr">
        <is>
          <t>REF. A SISPAG M. K. COSMETICOS</t>
        </is>
      </c>
      <c r="D359" s="7" t="n">
        <v>446.32</v>
      </c>
      <c r="E359" t="inlineStr">
        <is>
          <t>506</t>
        </is>
      </c>
      <c r="F359" t="inlineStr">
        <is>
          <t>FORNECEDORES DIVERSOS</t>
        </is>
      </c>
      <c r="G359" s="2" t="inlineStr">
        <is>
          <t>506</t>
        </is>
      </c>
      <c r="H359">
        <f>IFERROR(VLOOKUP(G359&amp;"",PLANO!A:B,2,FALSE),"CONTA NAO EXISTE NO PLANO")</f>
        <v/>
      </c>
      <c r="I359" t="inlineStr">
        <is>
          <t>506</t>
        </is>
      </c>
      <c r="J359" t="inlineStr">
        <is>
          <t>SEM COSMOS</t>
        </is>
      </c>
      <c r="K359" t="inlineStr"/>
      <c r="L359" t="inlineStr"/>
      <c r="M359" t="inlineStr">
        <is>
          <t>SISPAG M. K. COSMETICOS</t>
        </is>
      </c>
    </row>
    <row r="360">
      <c r="A360" t="n">
        <v>359</v>
      </c>
      <c r="B360" t="inlineStr">
        <is>
          <t>24/02/2026</t>
        </is>
      </c>
      <c r="C360" t="inlineStr">
        <is>
          <t>REF. A PIX TRANSF F B RIB24/02</t>
        </is>
      </c>
      <c r="D360" s="7" t="n">
        <v>5500</v>
      </c>
      <c r="E360" t="inlineStr">
        <is>
          <t>504</t>
        </is>
      </c>
      <c r="F360" t="inlineStr">
        <is>
          <t>CLIENTES DIVERSOS</t>
        </is>
      </c>
      <c r="G360" s="2" t="inlineStr">
        <is>
          <t>504</t>
        </is>
      </c>
      <c r="H360">
        <f>IFERROR(VLOOKUP(G360&amp;"",PLANO!A:B,2,FALSE),"CONTA NAO EXISTE NO PLANO")</f>
        <v/>
      </c>
      <c r="I360" t="inlineStr">
        <is>
          <t>504</t>
        </is>
      </c>
      <c r="J360" t="inlineStr">
        <is>
          <t>SEM COSMOS</t>
        </is>
      </c>
      <c r="K360" t="inlineStr"/>
      <c r="L360" t="inlineStr"/>
      <c r="M360" t="inlineStr">
        <is>
          <t>PIX TRANSF F B RIB24/02</t>
        </is>
      </c>
    </row>
    <row r="361">
      <c r="A361" t="n">
        <v>360</v>
      </c>
      <c r="B361" t="inlineStr">
        <is>
          <t>24/02/2026</t>
        </is>
      </c>
      <c r="C361" t="inlineStr">
        <is>
          <t>REF. A PIX ENVIADO BIO CONTROL</t>
        </is>
      </c>
      <c r="D361" s="7" t="n">
        <v>-500</v>
      </c>
      <c r="E361" t="inlineStr">
        <is>
          <t>506</t>
        </is>
      </c>
      <c r="F361" t="inlineStr">
        <is>
          <t>FORNECEDORES DIVERSOS</t>
        </is>
      </c>
      <c r="G361" s="2" t="inlineStr">
        <is>
          <t>506</t>
        </is>
      </c>
      <c r="H361">
        <f>IFERROR(VLOOKUP(G361&amp;"",PLANO!A:B,2,FALSE),"CONTA NAO EXISTE NO PLANO")</f>
        <v/>
      </c>
      <c r="I361" t="inlineStr">
        <is>
          <t>506</t>
        </is>
      </c>
      <c r="J361" t="inlineStr">
        <is>
          <t>SEM COSMOS</t>
        </is>
      </c>
      <c r="K361" t="inlineStr"/>
      <c r="L361" t="inlineStr"/>
      <c r="M361" t="inlineStr">
        <is>
          <t>PIX ENVIADO BIO CONTROL</t>
        </is>
      </c>
    </row>
    <row r="362">
      <c r="A362" t="n">
        <v>361</v>
      </c>
      <c r="B362" t="inlineStr">
        <is>
          <t>24/02/2026</t>
        </is>
      </c>
      <c r="C362" t="inlineStr">
        <is>
          <t>EFITRANS TRANSPORTES LTDA PAGAMENTO REFERENTE A FRETE SOBRE COMPRAS</t>
        </is>
      </c>
      <c r="D362" s="7" t="n">
        <v>-1497.14</v>
      </c>
      <c r="E362" t="inlineStr">
        <is>
          <t>312</t>
        </is>
      </c>
      <c r="F362" t="inlineStr">
        <is>
          <t>FRETES E CARRETOS</t>
        </is>
      </c>
      <c r="G362" s="2" t="inlineStr">
        <is>
          <t>312</t>
        </is>
      </c>
      <c r="H362">
        <f>IFERROR(VLOOKUP(G362&amp;"",PLANO!A:B,2,FALSE),"CONTA NAO EXISTE NO PLANO")</f>
        <v/>
      </c>
      <c r="I362" t="inlineStr">
        <is>
          <t>312</t>
        </is>
      </c>
      <c r="J362" t="inlineStr">
        <is>
          <t>OK</t>
        </is>
      </c>
      <c r="K362" t="inlineStr">
        <is>
          <t>categoria Cosmos 97</t>
        </is>
      </c>
      <c r="L362" t="inlineStr">
        <is>
          <t>EFITRANS TRANSPORTES LTDA | 115/97 | PAGAMENTO REFERENTE A FRETE SOBRE COMPRAS</t>
        </is>
      </c>
      <c r="M362" t="inlineStr">
        <is>
          <t>EFITRANS TRANSPORTES LTDA - PAGAMENTO REFERENTE A FRETE SOBRE COMPRAS</t>
        </is>
      </c>
    </row>
    <row r="363">
      <c r="A363" t="n">
        <v>362</v>
      </c>
      <c r="B363" t="inlineStr">
        <is>
          <t>24/02/2026</t>
        </is>
      </c>
      <c r="C363" t="inlineStr">
        <is>
          <t>QUIMIFORMULA COMERCIO DE PRODUTOS QUIMICOS LTDAPGTO REF. A COMPRA DE MATERIA PRIMA, UVINUL 5KG</t>
        </is>
      </c>
      <c r="D363" s="7" t="n">
        <v>-536.53</v>
      </c>
      <c r="E363" t="inlineStr">
        <is>
          <t>506</t>
        </is>
      </c>
      <c r="F363" t="inlineStr">
        <is>
          <t>FORNECEDORES DIVERSOS</t>
        </is>
      </c>
      <c r="G363" s="2" t="inlineStr">
        <is>
          <t>506</t>
        </is>
      </c>
      <c r="H363">
        <f>IFERROR(VLOOKUP(G363&amp;"",PLANO!A:B,2,FALSE),"CONTA NAO EXISTE NO PLANO")</f>
        <v/>
      </c>
      <c r="I363" t="inlineStr">
        <is>
          <t>506</t>
        </is>
      </c>
      <c r="J363" t="inlineStr">
        <is>
          <t>OK</t>
        </is>
      </c>
      <c r="K363" t="inlineStr">
        <is>
          <t>fornecedor com NF</t>
        </is>
      </c>
      <c r="L363" t="inlineStr">
        <is>
          <t>QUIMIFORMULA COMERCIO DE PRODUTOS QUIMICOS LTDA | 115/6 | PGTO REF. A COMPRA DE MATERIA PRIMA, UVINUL 5KG</t>
        </is>
      </c>
      <c r="M363" t="inlineStr">
        <is>
          <t>QUIMIFORMULA COMERCIO DE PRODUTOS QUIMICOS LTDA - PGTO REF. A COMPRA DE MATERIA PRIMA, UVINUL 5KG</t>
        </is>
      </c>
    </row>
    <row r="364">
      <c r="A364" s="4" t="n">
        <v>363</v>
      </c>
      <c r="B364" s="4" t="inlineStr">
        <is>
          <t>24/02/2026</t>
        </is>
      </c>
      <c r="C364" s="4" t="inlineStr">
        <is>
          <t>SB DISTRIBUIDORA LTDA PAGAMENTO REFERENTE A COMPRA DE PRODUTO DE LIMPEZA</t>
        </is>
      </c>
      <c r="D364" s="5" t="n">
        <v>-24.69</v>
      </c>
      <c r="E364" s="4" t="inlineStr">
        <is>
          <t>506</t>
        </is>
      </c>
      <c r="F364" s="4" t="inlineStr">
        <is>
          <t>FORNECEDORES DIVERSOS</t>
        </is>
      </c>
      <c r="G364" s="6" t="inlineStr">
        <is>
          <t>360</t>
        </is>
      </c>
      <c r="H364" s="4">
        <f>IFERROR(VLOOKUP(G364&amp;"",PLANO!A:B,2,FALSE),"CONTA NAO EXISTE NO PLANO")</f>
        <v/>
      </c>
      <c r="I364" s="4" t="inlineStr">
        <is>
          <t>506</t>
        </is>
      </c>
      <c r="J364" s="4" t="inlineStr">
        <is>
          <t>AJUSTADO</t>
        </is>
      </c>
      <c r="K364" s="4" t="inlineStr">
        <is>
          <t>material de limpeza</t>
        </is>
      </c>
      <c r="L364" s="4" t="inlineStr">
        <is>
          <t>SB DISTRIBUIDORA LTDA | 115/16 | PAGAMENTO REFERENTE A COMPRA DE PRODUTO DE LIMPEZA</t>
        </is>
      </c>
      <c r="M364" s="4" t="inlineStr">
        <is>
          <t>SB DISTRIBUIDORA LTDA - PAGAMENTO REFERENTE A COMPRA DE PRODUTO DE LIMPEZA</t>
        </is>
      </c>
    </row>
    <row r="365">
      <c r="A365" t="n">
        <v>364</v>
      </c>
      <c r="B365" t="inlineStr">
        <is>
          <t>24/02/2026</t>
        </is>
      </c>
      <c r="C365" t="inlineStr">
        <is>
          <t>RAPIDO ABC TRANSPORTES LTDAPAGAMENTO REFERENTE AO FRETE DO MATERIAL DE SOPRO</t>
        </is>
      </c>
      <c r="D365" s="7" t="n">
        <v>-130</v>
      </c>
      <c r="E365" t="inlineStr">
        <is>
          <t>312</t>
        </is>
      </c>
      <c r="F365" t="inlineStr">
        <is>
          <t>FRETES E CARRETOS</t>
        </is>
      </c>
      <c r="G365" s="2" t="inlineStr">
        <is>
          <t>312</t>
        </is>
      </c>
      <c r="H365">
        <f>IFERROR(VLOOKUP(G365&amp;"",PLANO!A:B,2,FALSE),"CONTA NAO EXISTE NO PLANO")</f>
        <v/>
      </c>
      <c r="I365" t="inlineStr">
        <is>
          <t>312</t>
        </is>
      </c>
      <c r="J365" t="inlineStr">
        <is>
          <t>OK</t>
        </is>
      </c>
      <c r="K365" t="inlineStr">
        <is>
          <t>categoria Cosmos 4</t>
        </is>
      </c>
      <c r="L365" t="inlineStr">
        <is>
          <t>RAPIDO ABC TRANSPORTES LTDA | 115/4 | PAGAMENTO REFERENTE AO FRETE DO MATERIAL DE SOPRO</t>
        </is>
      </c>
      <c r="M365" t="inlineStr">
        <is>
          <t>RAPIDO ABC TRANSPORTES LTDA - PAGAMENTO REFERENTE AO FRETE DO MATERIAL DE SOPRO</t>
        </is>
      </c>
    </row>
    <row r="366">
      <c r="A366" s="4" t="n">
        <v>365</v>
      </c>
      <c r="B366" s="4" t="inlineStr">
        <is>
          <t>25/02/2026</t>
        </is>
      </c>
      <c r="C366" s="4" t="inlineStr">
        <is>
          <t>REF. A SISPAG COSMETICON COMER</t>
        </is>
      </c>
      <c r="D366" s="5" t="n">
        <v>16000</v>
      </c>
      <c r="E366" s="4" t="inlineStr">
        <is>
          <t>663</t>
        </is>
      </c>
      <c r="F366" s="4" t="inlineStr">
        <is>
          <t>EMPRESTIMO COSMETICON COMERCIO (31.494.732/0001-09)</t>
        </is>
      </c>
      <c r="G366" s="6" t="inlineStr">
        <is>
          <t>663</t>
        </is>
      </c>
      <c r="H366" s="4">
        <f>IFERROR(VLOOKUP(G366&amp;"",PLANO!A:B,2,FALSE),"CONTA NAO EXISTE NO PLANO")</f>
        <v/>
      </c>
      <c r="I366" s="4" t="inlineStr">
        <is>
          <t>663</t>
        </is>
      </c>
      <c r="J366" s="4" t="inlineStr">
        <is>
          <t>AJUSTADO</t>
        </is>
      </c>
      <c r="K366" s="4" t="inlineStr">
        <is>
          <t>COSMETICON - conta-corrente unica de mutuo (663)</t>
        </is>
      </c>
      <c r="L366" s="4" t="inlineStr"/>
      <c r="M366" s="4" t="inlineStr">
        <is>
          <t>SISPAG COSMETICON COMER</t>
        </is>
      </c>
    </row>
    <row r="367">
      <c r="A367" t="n">
        <v>366</v>
      </c>
      <c r="B367" t="inlineStr">
        <is>
          <t>25/02/2026</t>
        </is>
      </c>
      <c r="C367" t="inlineStr">
        <is>
          <t>REF. A SISPAG VENUS COMERCIO V</t>
        </is>
      </c>
      <c r="D367" s="7" t="n">
        <v>384.29</v>
      </c>
      <c r="E367" t="inlineStr">
        <is>
          <t>504</t>
        </is>
      </c>
      <c r="F367" t="inlineStr">
        <is>
          <t>CLIENTES DIVERSOS</t>
        </is>
      </c>
      <c r="G367" s="2" t="inlineStr">
        <is>
          <t>504</t>
        </is>
      </c>
      <c r="H367">
        <f>IFERROR(VLOOKUP(G367&amp;"",PLANO!A:B,2,FALSE),"CONTA NAO EXISTE NO PLANO")</f>
        <v/>
      </c>
      <c r="I367" t="inlineStr">
        <is>
          <t>504</t>
        </is>
      </c>
      <c r="J367" t="inlineStr">
        <is>
          <t>SEM COSMOS</t>
        </is>
      </c>
      <c r="K367" t="inlineStr"/>
      <c r="L367" t="inlineStr"/>
      <c r="M367" t="inlineStr">
        <is>
          <t>SISPAG VENUS COMERCIO V</t>
        </is>
      </c>
    </row>
    <row r="368">
      <c r="A368" t="n">
        <v>367</v>
      </c>
      <c r="B368" t="inlineStr">
        <is>
          <t>25/02/2026</t>
        </is>
      </c>
      <c r="C368" t="inlineStr">
        <is>
          <t>REF. A MOV TIT COB DISP 25/02S</t>
        </is>
      </c>
      <c r="D368" s="7" t="n">
        <v>3722.01</v>
      </c>
      <c r="E368" t="inlineStr">
        <is>
          <t>504</t>
        </is>
      </c>
      <c r="F368" t="inlineStr">
        <is>
          <t>CLIENTES DIVERSOS</t>
        </is>
      </c>
      <c r="G368" s="2" t="inlineStr">
        <is>
          <t>504</t>
        </is>
      </c>
      <c r="H368">
        <f>IFERROR(VLOOKUP(G368&amp;"",PLANO!A:B,2,FALSE),"CONTA NAO EXISTE NO PLANO")</f>
        <v/>
      </c>
      <c r="I368" t="inlineStr">
        <is>
          <t>504</t>
        </is>
      </c>
      <c r="J368" t="inlineStr">
        <is>
          <t>SEM COSMOS</t>
        </is>
      </c>
      <c r="K368" t="inlineStr"/>
      <c r="L368" t="inlineStr"/>
      <c r="M368" t="inlineStr">
        <is>
          <t>MOV TIT COB DISP 25/02S</t>
        </is>
      </c>
    </row>
    <row r="369">
      <c r="A369" t="n">
        <v>368</v>
      </c>
      <c r="B369" t="inlineStr">
        <is>
          <t>25/02/2026</t>
        </is>
      </c>
      <c r="C369" t="inlineStr">
        <is>
          <t>SKIN LAB INDUSTRIA E COMERCIO DE COSMETICOS LTDAPAGAMENTO REFERENTE A COMPRA DE MATERIA PRIMA,ALCOOL CETO 1TON, MPDS 25KG</t>
        </is>
      </c>
      <c r="D369" s="7" t="n">
        <v>-3218</v>
      </c>
      <c r="E369" t="inlineStr">
        <is>
          <t>506</t>
        </is>
      </c>
      <c r="F369" t="inlineStr">
        <is>
          <t>FORNECEDORES DIVERSOS</t>
        </is>
      </c>
      <c r="G369" s="2" t="inlineStr">
        <is>
          <t>506</t>
        </is>
      </c>
      <c r="H369">
        <f>IFERROR(VLOOKUP(G369&amp;"",PLANO!A:B,2,FALSE),"CONTA NAO EXISTE NO PLANO")</f>
        <v/>
      </c>
      <c r="I369" t="inlineStr">
        <is>
          <t>506</t>
        </is>
      </c>
      <c r="J369" t="inlineStr">
        <is>
          <t>OK</t>
        </is>
      </c>
      <c r="K369" t="inlineStr">
        <is>
          <t>fornecedor com NF</t>
        </is>
      </c>
      <c r="L369" t="inlineStr">
        <is>
          <t>SKIN LAB INDUSTRIA E COMERCIO DE COSMETICOS LTDA | 115/6 | PAGAMENTO REFERENTE A COMPRA DE MATERIA PRIMA, ALCOOL CETO 1TON, MPDS 25KG</t>
        </is>
      </c>
      <c r="M369" t="inlineStr">
        <is>
          <t>SKIN LAB INDUSTRIA E COMERCIO DE COSMETICOS LTDA - PAGAMENTO REFERENTE A COMPRA DE MATERIA PRIMA, ALCOOL CETO 1TON, MPDS 25KG</t>
        </is>
      </c>
    </row>
    <row r="370">
      <c r="A370" t="n">
        <v>369</v>
      </c>
      <c r="B370" t="inlineStr">
        <is>
          <t>25/02/2026</t>
        </is>
      </c>
      <c r="C370" t="inlineStr">
        <is>
          <t>REF. A PIX ENVIADO RODONAVES TR</t>
        </is>
      </c>
      <c r="D370" s="7" t="n">
        <v>-384.29</v>
      </c>
      <c r="E370" t="inlineStr">
        <is>
          <t>312</t>
        </is>
      </c>
      <c r="F370" t="inlineStr">
        <is>
          <t>FRETES E CARRETOS</t>
        </is>
      </c>
      <c r="G370" s="2" t="inlineStr">
        <is>
          <t>312</t>
        </is>
      </c>
      <c r="H370">
        <f>IFERROR(VLOOKUP(G370&amp;"",PLANO!A:B,2,FALSE),"CONTA NAO EXISTE NO PLANO")</f>
        <v/>
      </c>
      <c r="I370" t="inlineStr">
        <is>
          <t>312</t>
        </is>
      </c>
      <c r="J370" t="inlineStr">
        <is>
          <t>SEM COSMOS</t>
        </is>
      </c>
      <c r="K370" t="inlineStr"/>
      <c r="L370" t="inlineStr"/>
      <c r="M370" t="inlineStr">
        <is>
          <t>PIX ENVIADO RODONAVES TR</t>
        </is>
      </c>
    </row>
    <row r="371">
      <c r="A371" t="n">
        <v>370</v>
      </c>
      <c r="B371" t="inlineStr">
        <is>
          <t>25/02/2026</t>
        </is>
      </c>
      <c r="C371" t="inlineStr">
        <is>
          <t>REF. A PIX ENVIADO RODONAVES TR</t>
        </is>
      </c>
      <c r="D371" s="7" t="n">
        <v>-241.65</v>
      </c>
      <c r="E371" t="inlineStr">
        <is>
          <t>312</t>
        </is>
      </c>
      <c r="F371" t="inlineStr">
        <is>
          <t>FRETES E CARRETOS</t>
        </is>
      </c>
      <c r="G371" s="2" t="inlineStr">
        <is>
          <t>312</t>
        </is>
      </c>
      <c r="H371">
        <f>IFERROR(VLOOKUP(G371&amp;"",PLANO!A:B,2,FALSE),"CONTA NAO EXISTE NO PLANO")</f>
        <v/>
      </c>
      <c r="I371" t="inlineStr">
        <is>
          <t>312</t>
        </is>
      </c>
      <c r="J371" t="inlineStr">
        <is>
          <t>SEM COSMOS</t>
        </is>
      </c>
      <c r="K371" t="inlineStr"/>
      <c r="L371" t="inlineStr"/>
      <c r="M371" t="inlineStr">
        <is>
          <t>PIX ENVIADO RODONAVES TR</t>
        </is>
      </c>
    </row>
    <row r="372">
      <c r="A372" t="n">
        <v>371</v>
      </c>
      <c r="B372" t="inlineStr">
        <is>
          <t>25/02/2026</t>
        </is>
      </c>
      <c r="C372" t="inlineStr">
        <is>
          <t>REF. A PIX ENVIADO RODONAVES TR</t>
        </is>
      </c>
      <c r="D372" s="7" t="n">
        <v>-684.34</v>
      </c>
      <c r="E372" t="inlineStr">
        <is>
          <t>312</t>
        </is>
      </c>
      <c r="F372" t="inlineStr">
        <is>
          <t>FRETES E CARRETOS</t>
        </is>
      </c>
      <c r="G372" s="2" t="inlineStr">
        <is>
          <t>312</t>
        </is>
      </c>
      <c r="H372">
        <f>IFERROR(VLOOKUP(G372&amp;"",PLANO!A:B,2,FALSE),"CONTA NAO EXISTE NO PLANO")</f>
        <v/>
      </c>
      <c r="I372" t="inlineStr">
        <is>
          <t>312</t>
        </is>
      </c>
      <c r="J372" t="inlineStr">
        <is>
          <t>SEM COSMOS</t>
        </is>
      </c>
      <c r="K372" t="inlineStr"/>
      <c r="L372" t="inlineStr"/>
      <c r="M372" t="inlineStr">
        <is>
          <t>PIX ENVIADO RODONAVES TR</t>
        </is>
      </c>
    </row>
    <row r="373">
      <c r="A373" t="n">
        <v>372</v>
      </c>
      <c r="B373" t="inlineStr">
        <is>
          <t>25/02/2026</t>
        </is>
      </c>
      <c r="C373" t="inlineStr">
        <is>
          <t>REF. A PIX ENVIADO RODONAVES TR</t>
        </is>
      </c>
      <c r="D373" s="7" t="n">
        <v>-265.71</v>
      </c>
      <c r="E373" t="inlineStr">
        <is>
          <t>312</t>
        </is>
      </c>
      <c r="F373" t="inlineStr">
        <is>
          <t>FRETES E CARRETOS</t>
        </is>
      </c>
      <c r="G373" s="2" t="inlineStr">
        <is>
          <t>312</t>
        </is>
      </c>
      <c r="H373">
        <f>IFERROR(VLOOKUP(G373&amp;"",PLANO!A:B,2,FALSE),"CONTA NAO EXISTE NO PLANO")</f>
        <v/>
      </c>
      <c r="I373" t="inlineStr">
        <is>
          <t>312</t>
        </is>
      </c>
      <c r="J373" t="inlineStr">
        <is>
          <t>SEM COSMOS</t>
        </is>
      </c>
      <c r="K373" t="inlineStr"/>
      <c r="L373" t="inlineStr"/>
      <c r="M373" t="inlineStr">
        <is>
          <t>PIX ENVIADO RODONAVES TR</t>
        </is>
      </c>
    </row>
    <row r="374">
      <c r="A374" t="n">
        <v>373</v>
      </c>
      <c r="B374" t="inlineStr">
        <is>
          <t>25/02/2026</t>
        </is>
      </c>
      <c r="C374" t="inlineStr">
        <is>
          <t>REF. A PIX ENVIADO JUAREZ ANTON</t>
        </is>
      </c>
      <c r="D374" s="7" t="n">
        <v>-4000</v>
      </c>
      <c r="E374" t="inlineStr">
        <is>
          <t>506</t>
        </is>
      </c>
      <c r="F374" t="inlineStr">
        <is>
          <t>FORNECEDORES DIVERSOS</t>
        </is>
      </c>
      <c r="G374" s="2" t="inlineStr">
        <is>
          <t>506</t>
        </is>
      </c>
      <c r="H374">
        <f>IFERROR(VLOOKUP(G374&amp;"",PLANO!A:B,2,FALSE),"CONTA NAO EXISTE NO PLANO")</f>
        <v/>
      </c>
      <c r="I374" t="inlineStr">
        <is>
          <t>506</t>
        </is>
      </c>
      <c r="J374" t="inlineStr">
        <is>
          <t>SEM COSMOS</t>
        </is>
      </c>
      <c r="K374" t="inlineStr"/>
      <c r="L374" t="inlineStr"/>
      <c r="M374" t="inlineStr">
        <is>
          <t>PIX ENVIADO JUAREZ ANTON</t>
        </is>
      </c>
    </row>
    <row r="375">
      <c r="A375" t="n">
        <v>374</v>
      </c>
      <c r="B375" t="inlineStr">
        <is>
          <t>25/02/2026</t>
        </is>
      </c>
      <c r="C375" t="inlineStr">
        <is>
          <t>REF. A PIX ENVIADO RODONAVES TR</t>
        </is>
      </c>
      <c r="D375" s="7" t="n">
        <v>-539.87</v>
      </c>
      <c r="E375" t="inlineStr">
        <is>
          <t>312</t>
        </is>
      </c>
      <c r="F375" t="inlineStr">
        <is>
          <t>FRETES E CARRETOS</t>
        </is>
      </c>
      <c r="G375" s="2" t="inlineStr">
        <is>
          <t>312</t>
        </is>
      </c>
      <c r="H375">
        <f>IFERROR(VLOOKUP(G375&amp;"",PLANO!A:B,2,FALSE),"CONTA NAO EXISTE NO PLANO")</f>
        <v/>
      </c>
      <c r="I375" t="inlineStr">
        <is>
          <t>312</t>
        </is>
      </c>
      <c r="J375" t="inlineStr">
        <is>
          <t>SEM COSMOS</t>
        </is>
      </c>
      <c r="K375" t="inlineStr"/>
      <c r="L375" t="inlineStr"/>
      <c r="M375" t="inlineStr">
        <is>
          <t>PIX ENVIADO RODONAVES TR</t>
        </is>
      </c>
    </row>
    <row r="376">
      <c r="A376" t="n">
        <v>375</v>
      </c>
      <c r="B376" t="inlineStr">
        <is>
          <t>25/02/2026</t>
        </is>
      </c>
      <c r="C376" t="inlineStr">
        <is>
          <t>PIX ENVIADO CELSO MAICZA</t>
        </is>
      </c>
      <c r="D376" s="7" t="n">
        <v>-1180</v>
      </c>
      <c r="E376" t="inlineStr">
        <is>
          <t>506</t>
        </is>
      </c>
      <c r="F376" t="inlineStr">
        <is>
          <t>FORNECEDORES DIVERSOS</t>
        </is>
      </c>
      <c r="G376" s="2" t="inlineStr">
        <is>
          <t>506</t>
        </is>
      </c>
      <c r="H376">
        <f>IFERROR(VLOOKUP(G376&amp;"",PLANO!A:B,2,FALSE),"CONTA NAO EXISTE NO PLANO")</f>
        <v/>
      </c>
      <c r="I376" t="inlineStr">
        <is>
          <t>506</t>
        </is>
      </c>
      <c r="J376" t="inlineStr">
        <is>
          <t>SEM COSMOS</t>
        </is>
      </c>
      <c r="K376" t="inlineStr"/>
      <c r="L376" t="inlineStr"/>
      <c r="M376" t="inlineStr">
        <is>
          <t>PIX ENVIADO CELSO MAICZA</t>
        </is>
      </c>
    </row>
    <row r="377">
      <c r="A377" t="n">
        <v>376</v>
      </c>
      <c r="B377" t="inlineStr">
        <is>
          <t>25/02/2026</t>
        </is>
      </c>
      <c r="C377" t="inlineStr">
        <is>
          <t>REF. A PIX ENVIADO RODONAVES TR</t>
        </is>
      </c>
      <c r="D377" s="7" t="n">
        <v>-695.28</v>
      </c>
      <c r="E377" t="inlineStr">
        <is>
          <t>312</t>
        </is>
      </c>
      <c r="F377" t="inlineStr">
        <is>
          <t>FRETES E CARRETOS</t>
        </is>
      </c>
      <c r="G377" s="2" t="inlineStr">
        <is>
          <t>312</t>
        </is>
      </c>
      <c r="H377">
        <f>IFERROR(VLOOKUP(G377&amp;"",PLANO!A:B,2,FALSE),"CONTA NAO EXISTE NO PLANO")</f>
        <v/>
      </c>
      <c r="I377" t="inlineStr">
        <is>
          <t>312</t>
        </is>
      </c>
      <c r="J377" t="inlineStr">
        <is>
          <t>SEM COSMOS</t>
        </is>
      </c>
      <c r="K377" t="inlineStr"/>
      <c r="L377" t="inlineStr"/>
      <c r="M377" t="inlineStr">
        <is>
          <t>PIX ENVIADO RODONAVES TR</t>
        </is>
      </c>
    </row>
    <row r="378">
      <c r="A378" t="n">
        <v>377</v>
      </c>
      <c r="B378" t="inlineStr">
        <is>
          <t>25/02/2026</t>
        </is>
      </c>
      <c r="C378" t="inlineStr">
        <is>
          <t>REF. A BOLETO PAGO ART S ESSENC</t>
        </is>
      </c>
      <c r="D378" s="7" t="n">
        <v>-710.1</v>
      </c>
      <c r="E378" t="inlineStr">
        <is>
          <t>506</t>
        </is>
      </c>
      <c r="F378" t="inlineStr">
        <is>
          <t>FORNECEDORES DIVERSOS</t>
        </is>
      </c>
      <c r="G378" s="2" t="inlineStr">
        <is>
          <t>506</t>
        </is>
      </c>
      <c r="H378">
        <f>IFERROR(VLOOKUP(G378&amp;"",PLANO!A:B,2,FALSE),"CONTA NAO EXISTE NO PLANO")</f>
        <v/>
      </c>
      <c r="I378" t="inlineStr">
        <is>
          <t>506</t>
        </is>
      </c>
      <c r="J378" t="inlineStr">
        <is>
          <t>SEM COSMOS</t>
        </is>
      </c>
      <c r="K378" t="inlineStr"/>
      <c r="L378" t="inlineStr"/>
      <c r="M378" t="inlineStr">
        <is>
          <t>BOLETO PAGO ART S ESSENC</t>
        </is>
      </c>
    </row>
    <row r="379">
      <c r="A379" t="n">
        <v>378</v>
      </c>
      <c r="B379" t="inlineStr">
        <is>
          <t>25/02/2026</t>
        </is>
      </c>
      <c r="C379" t="inlineStr">
        <is>
          <t>REF. A BOLETO PAGO ITAU UNIBANC</t>
        </is>
      </c>
      <c r="D379" s="7" t="n">
        <v>-10190.1</v>
      </c>
      <c r="E379" t="inlineStr">
        <is>
          <t>364</t>
        </is>
      </c>
      <c r="F379" t="inlineStr">
        <is>
          <t>DESPESAS ADMINISTRATIVAS</t>
        </is>
      </c>
      <c r="G379" s="2" t="inlineStr">
        <is>
          <t>364</t>
        </is>
      </c>
      <c r="H379">
        <f>IFERROR(VLOOKUP(G379&amp;"",PLANO!A:B,2,FALSE),"CONTA NAO EXISTE NO PLANO")</f>
        <v/>
      </c>
      <c r="I379" t="inlineStr">
        <is>
          <t>364</t>
        </is>
      </c>
      <c r="J379" t="inlineStr">
        <is>
          <t>SEM COSMOS</t>
        </is>
      </c>
      <c r="K379" t="inlineStr"/>
      <c r="L379" t="inlineStr"/>
      <c r="M379" t="inlineStr">
        <is>
          <t>BOLETO PAGO ITAU UNIBANC</t>
        </is>
      </c>
    </row>
    <row r="380">
      <c r="A380" t="n">
        <v>379</v>
      </c>
      <c r="B380" t="inlineStr">
        <is>
          <t>25/02/2026</t>
        </is>
      </c>
      <c r="C380" t="inlineStr">
        <is>
          <t>REF. A BOLETO PAGO PENSU EXACTU</t>
        </is>
      </c>
      <c r="D380" s="7" t="n">
        <v>-612.25</v>
      </c>
      <c r="E380" t="inlineStr">
        <is>
          <t>506</t>
        </is>
      </c>
      <c r="F380" t="inlineStr">
        <is>
          <t>FORNECEDORES DIVERSOS</t>
        </is>
      </c>
      <c r="G380" s="2" t="inlineStr">
        <is>
          <t>506</t>
        </is>
      </c>
      <c r="H380">
        <f>IFERROR(VLOOKUP(G380&amp;"",PLANO!A:B,2,FALSE),"CONTA NAO EXISTE NO PLANO")</f>
        <v/>
      </c>
      <c r="I380" t="inlineStr">
        <is>
          <t>506</t>
        </is>
      </c>
      <c r="J380" t="inlineStr">
        <is>
          <t>SEM COSMOS</t>
        </is>
      </c>
      <c r="K380" t="inlineStr"/>
      <c r="L380" t="inlineStr"/>
      <c r="M380" t="inlineStr">
        <is>
          <t>BOLETO PAGO PENSU EXACTU</t>
        </is>
      </c>
    </row>
    <row r="381">
      <c r="A381" t="n">
        <v>380</v>
      </c>
      <c r="B381" t="inlineStr">
        <is>
          <t>25/02/2026</t>
        </is>
      </c>
      <c r="C381" t="inlineStr">
        <is>
          <t>REF. A BOLETO PAGO QUIMIFORMULA</t>
        </is>
      </c>
      <c r="D381" s="7" t="n">
        <v>-907.54</v>
      </c>
      <c r="E381" t="inlineStr">
        <is>
          <t>506</t>
        </is>
      </c>
      <c r="F381" t="inlineStr">
        <is>
          <t>FORNECEDORES DIVERSOS</t>
        </is>
      </c>
      <c r="G381" s="2" t="inlineStr">
        <is>
          <t>506</t>
        </is>
      </c>
      <c r="H381">
        <f>IFERROR(VLOOKUP(G381&amp;"",PLANO!A:B,2,FALSE),"CONTA NAO EXISTE NO PLANO")</f>
        <v/>
      </c>
      <c r="I381" t="inlineStr">
        <is>
          <t>506</t>
        </is>
      </c>
      <c r="J381" t="inlineStr">
        <is>
          <t>SEM COSMOS</t>
        </is>
      </c>
      <c r="K381" t="inlineStr"/>
      <c r="L381" t="inlineStr"/>
      <c r="M381" t="inlineStr">
        <is>
          <t>BOLETO PAGO QUIMIFORMULA</t>
        </is>
      </c>
    </row>
    <row r="382">
      <c r="A382" t="n">
        <v>381</v>
      </c>
      <c r="B382" t="inlineStr">
        <is>
          <t>25/02/2026</t>
        </is>
      </c>
      <c r="C382" t="inlineStr">
        <is>
          <t>REF. A BOLETO PAGO YAHWEH PRINT</t>
        </is>
      </c>
      <c r="D382" s="7" t="n">
        <v>-1119.12</v>
      </c>
      <c r="E382" t="inlineStr">
        <is>
          <t>506</t>
        </is>
      </c>
      <c r="F382" t="inlineStr">
        <is>
          <t>FORNECEDORES DIVERSOS</t>
        </is>
      </c>
      <c r="G382" s="2" t="inlineStr">
        <is>
          <t>506</t>
        </is>
      </c>
      <c r="H382">
        <f>IFERROR(VLOOKUP(G382&amp;"",PLANO!A:B,2,FALSE),"CONTA NAO EXISTE NO PLANO")</f>
        <v/>
      </c>
      <c r="I382" t="inlineStr">
        <is>
          <t>506</t>
        </is>
      </c>
      <c r="J382" t="inlineStr">
        <is>
          <t>SEM COSMOS</t>
        </is>
      </c>
      <c r="K382" t="inlineStr"/>
      <c r="L382" t="inlineStr"/>
      <c r="M382" t="inlineStr">
        <is>
          <t>BOLETO PAGO YAHWEH PRINT</t>
        </is>
      </c>
    </row>
    <row r="383">
      <c r="A383" t="n">
        <v>382</v>
      </c>
      <c r="B383" t="inlineStr">
        <is>
          <t>25/02/2026</t>
        </is>
      </c>
      <c r="C383" t="inlineStr">
        <is>
          <t>REF. A JUROS 8613.52508-1</t>
        </is>
      </c>
      <c r="D383" s="7" t="n">
        <v>-4086.5</v>
      </c>
      <c r="E383" t="inlineStr">
        <is>
          <t>375</t>
        </is>
      </c>
      <c r="F383" t="inlineStr">
        <is>
          <t>JUROS SOBRE EMPRÉSTIMOS E FINANCIAMENTOS</t>
        </is>
      </c>
      <c r="G383" s="2" t="inlineStr">
        <is>
          <t>375</t>
        </is>
      </c>
      <c r="H383">
        <f>IFERROR(VLOOKUP(G383&amp;"",PLANO!A:B,2,FALSE),"CONTA NAO EXISTE NO PLANO")</f>
        <v/>
      </c>
      <c r="I383" t="inlineStr">
        <is>
          <t>375</t>
        </is>
      </c>
      <c r="J383" t="inlineStr">
        <is>
          <t>SEM COSMOS</t>
        </is>
      </c>
      <c r="K383" t="inlineStr"/>
      <c r="L383" t="inlineStr"/>
      <c r="M383" t="inlineStr">
        <is>
          <t>JUROS 8613.52508-1</t>
        </is>
      </c>
    </row>
    <row r="384">
      <c r="A384" t="n">
        <v>383</v>
      </c>
      <c r="B384" t="inlineStr">
        <is>
          <t>26/02/2026</t>
        </is>
      </c>
      <c r="C384" t="inlineStr">
        <is>
          <t>REF. A PIX TRANSF JANDINE26/02</t>
        </is>
      </c>
      <c r="D384" s="7" t="n">
        <v>6000</v>
      </c>
      <c r="E384" t="inlineStr">
        <is>
          <t>504</t>
        </is>
      </c>
      <c r="F384" t="inlineStr">
        <is>
          <t>CLIENTES DIVERSOS</t>
        </is>
      </c>
      <c r="G384" s="2" t="inlineStr">
        <is>
          <t>504</t>
        </is>
      </c>
      <c r="H384">
        <f>IFERROR(VLOOKUP(G384&amp;"",PLANO!A:B,2,FALSE),"CONTA NAO EXISTE NO PLANO")</f>
        <v/>
      </c>
      <c r="I384" t="inlineStr">
        <is>
          <t>504</t>
        </is>
      </c>
      <c r="J384" t="inlineStr">
        <is>
          <t>SEM COSMOS</t>
        </is>
      </c>
      <c r="K384" t="inlineStr"/>
      <c r="L384" t="inlineStr"/>
      <c r="M384" t="inlineStr">
        <is>
          <t>PIX TRANSF JANDINE26/02</t>
        </is>
      </c>
    </row>
    <row r="385">
      <c r="A385" t="n">
        <v>384</v>
      </c>
      <c r="B385" t="inlineStr">
        <is>
          <t>26/02/2026</t>
        </is>
      </c>
      <c r="C385" t="inlineStr">
        <is>
          <t>REF. A BOLETO PAGO E. J. KRIEGE</t>
        </is>
      </c>
      <c r="D385" s="7" t="n">
        <v>-1277.76</v>
      </c>
      <c r="E385" t="inlineStr">
        <is>
          <t>506</t>
        </is>
      </c>
      <c r="F385" t="inlineStr">
        <is>
          <t>FORNECEDORES DIVERSOS</t>
        </is>
      </c>
      <c r="G385" s="2" t="inlineStr">
        <is>
          <t>506</t>
        </is>
      </c>
      <c r="H385">
        <f>IFERROR(VLOOKUP(G385&amp;"",PLANO!A:B,2,FALSE),"CONTA NAO EXISTE NO PLANO")</f>
        <v/>
      </c>
      <c r="I385" t="inlineStr">
        <is>
          <t>506</t>
        </is>
      </c>
      <c r="J385" t="inlineStr">
        <is>
          <t>SEM COSMOS</t>
        </is>
      </c>
      <c r="K385" t="inlineStr"/>
      <c r="L385" t="inlineStr"/>
      <c r="M385" t="inlineStr">
        <is>
          <t>BOLETO PAGO E. J. KRIEGE</t>
        </is>
      </c>
    </row>
    <row r="386">
      <c r="A386" t="n">
        <v>385</v>
      </c>
      <c r="B386" t="inlineStr">
        <is>
          <t>26/02/2026</t>
        </is>
      </c>
      <c r="C386" t="inlineStr">
        <is>
          <t>REF. A BOLETO PAGO YAHWEH PRINT</t>
        </is>
      </c>
      <c r="D386" s="7" t="n">
        <v>-1685.05</v>
      </c>
      <c r="E386" t="inlineStr">
        <is>
          <t>506</t>
        </is>
      </c>
      <c r="F386" t="inlineStr">
        <is>
          <t>FORNECEDORES DIVERSOS</t>
        </is>
      </c>
      <c r="G386" s="2" t="inlineStr">
        <is>
          <t>506</t>
        </is>
      </c>
      <c r="H386">
        <f>IFERROR(VLOOKUP(G386&amp;"",PLANO!A:B,2,FALSE),"CONTA NAO EXISTE NO PLANO")</f>
        <v/>
      </c>
      <c r="I386" t="inlineStr">
        <is>
          <t>506</t>
        </is>
      </c>
      <c r="J386" t="inlineStr">
        <is>
          <t>SEM COSMOS</t>
        </is>
      </c>
      <c r="K386" t="inlineStr"/>
      <c r="L386" t="inlineStr"/>
      <c r="M386" t="inlineStr">
        <is>
          <t>BOLETO PAGO YAHWEH PRINT</t>
        </is>
      </c>
    </row>
    <row r="387">
      <c r="A387" t="n">
        <v>386</v>
      </c>
      <c r="B387" t="inlineStr">
        <is>
          <t>26/02/2026</t>
        </is>
      </c>
      <c r="C387" t="inlineStr">
        <is>
          <t>REF. A BOLETO PAGO YAHWEH PRINT</t>
        </is>
      </c>
      <c r="D387" s="7" t="n">
        <v>-1130.25</v>
      </c>
      <c r="E387" t="inlineStr">
        <is>
          <t>506</t>
        </is>
      </c>
      <c r="F387" t="inlineStr">
        <is>
          <t>FORNECEDORES DIVERSOS</t>
        </is>
      </c>
      <c r="G387" s="2" t="inlineStr">
        <is>
          <t>506</t>
        </is>
      </c>
      <c r="H387">
        <f>IFERROR(VLOOKUP(G387&amp;"",PLANO!A:B,2,FALSE),"CONTA NAO EXISTE NO PLANO")</f>
        <v/>
      </c>
      <c r="I387" t="inlineStr">
        <is>
          <t>506</t>
        </is>
      </c>
      <c r="J387" t="inlineStr">
        <is>
          <t>SEM COSMOS</t>
        </is>
      </c>
      <c r="K387" t="inlineStr"/>
      <c r="L387" t="inlineStr"/>
      <c r="M387" t="inlineStr">
        <is>
          <t>BOLETO PAGO YAHWEH PRINT</t>
        </is>
      </c>
    </row>
    <row r="388">
      <c r="A388" t="n">
        <v>387</v>
      </c>
      <c r="B388" t="inlineStr">
        <is>
          <t>27/02/2026</t>
        </is>
      </c>
      <c r="C388" t="inlineStr">
        <is>
          <t>REF. A REDE MAST AT0081996543</t>
        </is>
      </c>
      <c r="D388" s="7" t="n">
        <v>4973.82</v>
      </c>
      <c r="E388" t="inlineStr">
        <is>
          <t>504</t>
        </is>
      </c>
      <c r="F388" t="inlineStr">
        <is>
          <t>CLIENTES DIVERSOS</t>
        </is>
      </c>
      <c r="G388" s="2" t="inlineStr">
        <is>
          <t>504</t>
        </is>
      </c>
      <c r="H388">
        <f>IFERROR(VLOOKUP(G388&amp;"",PLANO!A:B,2,FALSE),"CONTA NAO EXISTE NO PLANO")</f>
        <v/>
      </c>
      <c r="I388" t="inlineStr">
        <is>
          <t>504</t>
        </is>
      </c>
      <c r="J388" t="inlineStr">
        <is>
          <t>SEM COSMOS</t>
        </is>
      </c>
      <c r="K388" t="inlineStr"/>
      <c r="L388" t="inlineStr"/>
      <c r="M388" t="inlineStr">
        <is>
          <t>REDE MAST AT0081996543</t>
        </is>
      </c>
    </row>
    <row r="389">
      <c r="A389" t="n">
        <v>388</v>
      </c>
      <c r="B389" t="inlineStr">
        <is>
          <t>27/02/2026</t>
        </is>
      </c>
      <c r="C389" t="inlineStr">
        <is>
          <t>REF. A REDE VISA AT0081996543</t>
        </is>
      </c>
      <c r="D389" s="7" t="n">
        <v>17790.71</v>
      </c>
      <c r="E389" t="inlineStr">
        <is>
          <t>504</t>
        </is>
      </c>
      <c r="F389" t="inlineStr">
        <is>
          <t>CLIENTES DIVERSOS</t>
        </is>
      </c>
      <c r="G389" s="2" t="inlineStr">
        <is>
          <t>504</t>
        </is>
      </c>
      <c r="H389">
        <f>IFERROR(VLOOKUP(G389&amp;"",PLANO!A:B,2,FALSE),"CONTA NAO EXISTE NO PLANO")</f>
        <v/>
      </c>
      <c r="I389" t="inlineStr">
        <is>
          <t>504</t>
        </is>
      </c>
      <c r="J389" t="inlineStr">
        <is>
          <t>SEM COSMOS</t>
        </is>
      </c>
      <c r="K389" t="inlineStr"/>
      <c r="L389" t="inlineStr"/>
      <c r="M389" t="inlineStr">
        <is>
          <t>REDE VISA AT0081996543</t>
        </is>
      </c>
    </row>
    <row r="390">
      <c r="A390" t="n">
        <v>389</v>
      </c>
      <c r="B390" t="inlineStr">
        <is>
          <t>27/02/2026</t>
        </is>
      </c>
      <c r="C390" t="inlineStr">
        <is>
          <t>REF. A PIX TRANSF CAMBRAI27/02</t>
        </is>
      </c>
      <c r="D390" s="7" t="n">
        <v>41</v>
      </c>
      <c r="E390" t="inlineStr">
        <is>
          <t>504</t>
        </is>
      </c>
      <c r="F390" t="inlineStr">
        <is>
          <t>CLIENTES DIVERSOS</t>
        </is>
      </c>
      <c r="G390" s="2" t="inlineStr">
        <is>
          <t>504</t>
        </is>
      </c>
      <c r="H390">
        <f>IFERROR(VLOOKUP(G390&amp;"",PLANO!A:B,2,FALSE),"CONTA NAO EXISTE NO PLANO")</f>
        <v/>
      </c>
      <c r="I390" t="inlineStr">
        <is>
          <t>504</t>
        </is>
      </c>
      <c r="J390" t="inlineStr">
        <is>
          <t>SEM COSMOS</t>
        </is>
      </c>
      <c r="K390" t="inlineStr"/>
      <c r="L390" t="inlineStr"/>
      <c r="M390" t="inlineStr">
        <is>
          <t>PIX TRANSF CAMBRAI27/02</t>
        </is>
      </c>
    </row>
    <row r="391">
      <c r="A391" t="n">
        <v>390</v>
      </c>
      <c r="B391" t="inlineStr">
        <is>
          <t>27/02/2026</t>
        </is>
      </c>
      <c r="C391" t="inlineStr">
        <is>
          <t>REF. A SISPAG CONCESSIONARIA</t>
        </is>
      </c>
      <c r="D391" s="7" t="n">
        <v>-4547.86</v>
      </c>
      <c r="E391" t="inlineStr">
        <is>
          <t>354</t>
        </is>
      </c>
      <c r="F391" t="inlineStr">
        <is>
          <t>ENERGIA ELÉTRICA</t>
        </is>
      </c>
      <c r="G391" s="2" t="inlineStr">
        <is>
          <t>354</t>
        </is>
      </c>
      <c r="H391">
        <f>IFERROR(VLOOKUP(G391&amp;"",PLANO!A:B,2,FALSE),"CONTA NAO EXISTE NO PLANO")</f>
        <v/>
      </c>
      <c r="I391" t="inlineStr">
        <is>
          <t>354</t>
        </is>
      </c>
      <c r="J391" t="inlineStr">
        <is>
          <t>SEM COSMOS</t>
        </is>
      </c>
      <c r="K391" t="inlineStr"/>
      <c r="L391" t="inlineStr"/>
      <c r="M391" t="inlineStr">
        <is>
          <t>SISPAG CONCESSIONARIA</t>
        </is>
      </c>
    </row>
    <row r="392">
      <c r="A392" t="n">
        <v>391</v>
      </c>
      <c r="B392" t="inlineStr">
        <is>
          <t>27/02/2026</t>
        </is>
      </c>
      <c r="C392" t="inlineStr">
        <is>
          <t>REF. A SISPAG PIX QR-CODE</t>
        </is>
      </c>
      <c r="D392" s="7" t="n">
        <v>-10742</v>
      </c>
      <c r="E392" t="inlineStr">
        <is>
          <t>555</t>
        </is>
      </c>
      <c r="F392" t="inlineStr">
        <is>
          <t>INTERNET</t>
        </is>
      </c>
      <c r="G392" s="2" t="inlineStr">
        <is>
          <t>555</t>
        </is>
      </c>
      <c r="H392">
        <f>IFERROR(VLOOKUP(G392&amp;"",PLANO!A:B,2,FALSE),"CONTA NAO EXISTE NO PLANO")</f>
        <v/>
      </c>
      <c r="I392" t="inlineStr">
        <is>
          <t>555</t>
        </is>
      </c>
      <c r="J392" t="inlineStr">
        <is>
          <t>SEM COSMOS</t>
        </is>
      </c>
      <c r="K392" t="inlineStr"/>
      <c r="L392" t="inlineStr"/>
      <c r="M392" t="inlineStr">
        <is>
          <t>SISPAG PIX QR-CODE</t>
        </is>
      </c>
    </row>
    <row r="393">
      <c r="A393" t="n">
        <v>392</v>
      </c>
      <c r="B393" t="inlineStr">
        <is>
          <t>27/02/2026</t>
        </is>
      </c>
      <c r="C393" t="inlineStr">
        <is>
          <t>PIX ENVIADO ALINE DA SIL</t>
        </is>
      </c>
      <c r="D393" s="7" t="n">
        <v>-3105</v>
      </c>
      <c r="E393" t="inlineStr">
        <is>
          <t>506</t>
        </is>
      </c>
      <c r="F393" t="inlineStr">
        <is>
          <t>FORNECEDORES DIVERSOS</t>
        </is>
      </c>
      <c r="G393" s="2" t="inlineStr">
        <is>
          <t>506</t>
        </is>
      </c>
      <c r="H393">
        <f>IFERROR(VLOOKUP(G393&amp;"",PLANO!A:B,2,FALSE),"CONTA NAO EXISTE NO PLANO")</f>
        <v/>
      </c>
      <c r="I393" t="inlineStr">
        <is>
          <t>506</t>
        </is>
      </c>
      <c r="J393" t="inlineStr">
        <is>
          <t>SEM COSMOS</t>
        </is>
      </c>
      <c r="K393" t="inlineStr"/>
      <c r="L393" t="inlineStr"/>
      <c r="M393" t="inlineStr">
        <is>
          <t>PIX ENVIADO ALINE DA SIL</t>
        </is>
      </c>
    </row>
    <row r="394">
      <c r="A394" t="n">
        <v>393</v>
      </c>
      <c r="B394" t="inlineStr">
        <is>
          <t>27/02/2026</t>
        </is>
      </c>
      <c r="C394" t="inlineStr">
        <is>
          <t>REF. A BOLETO PAGO URBANO SA SO</t>
        </is>
      </c>
      <c r="D394" s="7" t="n">
        <v>-643.12</v>
      </c>
      <c r="E394" t="inlineStr">
        <is>
          <t>350</t>
        </is>
      </c>
      <c r="F394" t="inlineStr">
        <is>
          <t>TAXAS DIVERSAS</t>
        </is>
      </c>
      <c r="G394" s="2" t="inlineStr">
        <is>
          <t>350</t>
        </is>
      </c>
      <c r="H394">
        <f>IFERROR(VLOOKUP(G394&amp;"",PLANO!A:B,2,FALSE),"CONTA NAO EXISTE NO PLANO")</f>
        <v/>
      </c>
      <c r="I394" t="inlineStr">
        <is>
          <t>350</t>
        </is>
      </c>
      <c r="J394" t="inlineStr">
        <is>
          <t>SEM COSMOS</t>
        </is>
      </c>
      <c r="K394" t="inlineStr"/>
      <c r="L394" t="inlineStr"/>
      <c r="M394" t="inlineStr">
        <is>
          <t>BOLETO PAGO URBANO SA SO</t>
        </is>
      </c>
    </row>
    <row r="395">
      <c r="A395" t="n">
        <v>394</v>
      </c>
      <c r="B395" t="inlineStr">
        <is>
          <t>27/02/2026</t>
        </is>
      </c>
      <c r="C395" t="inlineStr">
        <is>
          <t>REF. A BOLETO PAGO TRANS TOMAZ</t>
        </is>
      </c>
      <c r="D395" s="7" t="n">
        <v>-293.43</v>
      </c>
      <c r="E395" t="inlineStr">
        <is>
          <t>312</t>
        </is>
      </c>
      <c r="F395" t="inlineStr">
        <is>
          <t>FRETES E CARRETOS</t>
        </is>
      </c>
      <c r="G395" s="2" t="inlineStr">
        <is>
          <t>312</t>
        </is>
      </c>
      <c r="H395">
        <f>IFERROR(VLOOKUP(G395&amp;"",PLANO!A:B,2,FALSE),"CONTA NAO EXISTE NO PLANO")</f>
        <v/>
      </c>
      <c r="I395" t="inlineStr">
        <is>
          <t>312</t>
        </is>
      </c>
      <c r="J395" t="inlineStr">
        <is>
          <t>SEM COSMOS</t>
        </is>
      </c>
      <c r="K395" t="inlineStr"/>
      <c r="L395" t="inlineStr"/>
      <c r="M395" t="inlineStr">
        <is>
          <t>BOLETO PAGO TRANS TOMAZ</t>
        </is>
      </c>
    </row>
    <row r="396">
      <c r="A396" t="n">
        <v>395</v>
      </c>
      <c r="B396" t="inlineStr">
        <is>
          <t>27/02/2026</t>
        </is>
      </c>
      <c r="C396" t="inlineStr">
        <is>
          <t>REF. A BOLETO PAGO TRANSAL</t>
        </is>
      </c>
      <c r="D396" s="7" t="n">
        <v>-201.48</v>
      </c>
      <c r="E396" t="inlineStr">
        <is>
          <t>312</t>
        </is>
      </c>
      <c r="F396" t="inlineStr">
        <is>
          <t>FRETES E CARRETOS</t>
        </is>
      </c>
      <c r="G396" s="2" t="inlineStr">
        <is>
          <t>312</t>
        </is>
      </c>
      <c r="H396">
        <f>IFERROR(VLOOKUP(G396&amp;"",PLANO!A:B,2,FALSE),"CONTA NAO EXISTE NO PLANO")</f>
        <v/>
      </c>
      <c r="I396" t="inlineStr">
        <is>
          <t>312</t>
        </is>
      </c>
      <c r="J396" t="inlineStr">
        <is>
          <t>SEM COSMOS</t>
        </is>
      </c>
      <c r="K396" t="inlineStr"/>
      <c r="L396" t="inlineStr"/>
      <c r="M396" t="inlineStr">
        <is>
          <t>BOLETO PAGO TRANSAL</t>
        </is>
      </c>
    </row>
    <row r="397">
      <c r="A397" t="n">
        <v>396</v>
      </c>
      <c r="B397" t="inlineStr">
        <is>
          <t>27/02/2026</t>
        </is>
      </c>
      <c r="C397" t="inlineStr">
        <is>
          <t>REF. A BOLETO PAGO SAVATEC COME</t>
        </is>
      </c>
      <c r="D397" s="7" t="n">
        <v>-700</v>
      </c>
      <c r="E397" t="inlineStr">
        <is>
          <t>359</t>
        </is>
      </c>
      <c r="F397" t="inlineStr">
        <is>
          <t>MATERIAL DE ESCRITÓRIO</t>
        </is>
      </c>
      <c r="G397" s="2" t="inlineStr">
        <is>
          <t>359</t>
        </is>
      </c>
      <c r="H397">
        <f>IFERROR(VLOOKUP(G397&amp;"",PLANO!A:B,2,FALSE),"CONTA NAO EXISTE NO PLANO")</f>
        <v/>
      </c>
      <c r="I397" t="inlineStr">
        <is>
          <t>359</t>
        </is>
      </c>
      <c r="J397" t="inlineStr">
        <is>
          <t>SEM COSMOS</t>
        </is>
      </c>
      <c r="K397" t="inlineStr"/>
      <c r="L397" t="inlineStr"/>
      <c r="M397" t="inlineStr">
        <is>
          <t>BOLETO PAGO SAVATEC COME</t>
        </is>
      </c>
    </row>
    <row r="398">
      <c r="A398" t="n">
        <v>397</v>
      </c>
      <c r="B398" t="inlineStr">
        <is>
          <t>27/02/2026</t>
        </is>
      </c>
      <c r="C398" t="inlineStr">
        <is>
          <t>ITAU SEG VIDA GLOB</t>
        </is>
      </c>
      <c r="D398" s="7" t="n">
        <v>-295.51</v>
      </c>
      <c r="E398" t="inlineStr">
        <is>
          <t>642</t>
        </is>
      </c>
      <c r="F398" t="inlineStr">
        <is>
          <t>SEGURO DE VIDA EMPRESARIAL</t>
        </is>
      </c>
      <c r="G398" s="2" t="inlineStr">
        <is>
          <t>642</t>
        </is>
      </c>
      <c r="H398">
        <f>IFERROR(VLOOKUP(G398&amp;"",PLANO!A:B,2,FALSE),"CONTA NAO EXISTE NO PLANO")</f>
        <v/>
      </c>
      <c r="I398" t="inlineStr">
        <is>
          <t>642</t>
        </is>
      </c>
      <c r="J398" t="inlineStr">
        <is>
          <t>SEM COSMOS</t>
        </is>
      </c>
      <c r="K398" t="inlineStr"/>
      <c r="L398" t="inlineStr"/>
      <c r="M398" t="inlineStr">
        <is>
          <t>ITAU SEG VIDA GLOB</t>
        </is>
      </c>
    </row>
    <row r="399">
      <c r="A399" t="n">
        <v>398</v>
      </c>
      <c r="B399" t="inlineStr">
        <is>
          <t>02/03/2026</t>
        </is>
      </c>
      <c r="C399" t="inlineStr">
        <is>
          <t>REF. A SISPAG ESAINT COMERCIO</t>
        </is>
      </c>
      <c r="D399" s="7" t="n">
        <v>5205</v>
      </c>
      <c r="E399" t="inlineStr">
        <is>
          <t>504</t>
        </is>
      </c>
      <c r="F399" t="inlineStr">
        <is>
          <t>CLIENTES DIVERSOS</t>
        </is>
      </c>
      <c r="G399" s="2" t="inlineStr">
        <is>
          <t>504</t>
        </is>
      </c>
      <c r="H399">
        <f>IFERROR(VLOOKUP(G399&amp;"",PLANO!A:B,2,FALSE),"CONTA NAO EXISTE NO PLANO")</f>
        <v/>
      </c>
      <c r="I399" t="inlineStr">
        <is>
          <t>504</t>
        </is>
      </c>
      <c r="J399" t="inlineStr">
        <is>
          <t>SEM COSMOS</t>
        </is>
      </c>
      <c r="K399" t="inlineStr"/>
      <c r="L399" t="inlineStr"/>
      <c r="M399" t="inlineStr">
        <is>
          <t>SISPAG ESAINT COMERCIO</t>
        </is>
      </c>
    </row>
    <row r="400">
      <c r="A400" t="n">
        <v>399</v>
      </c>
      <c r="B400" t="inlineStr">
        <is>
          <t>02/03/2026</t>
        </is>
      </c>
      <c r="C400" t="inlineStr">
        <is>
          <t>REF. A MOV TIT COB DISP 02/03S</t>
        </is>
      </c>
      <c r="D400" s="7" t="n">
        <v>4774.49</v>
      </c>
      <c r="E400" t="inlineStr">
        <is>
          <t>504</t>
        </is>
      </c>
      <c r="F400" t="inlineStr">
        <is>
          <t>CLIENTES DIVERSOS</t>
        </is>
      </c>
      <c r="G400" s="2" t="inlineStr">
        <is>
          <t>504</t>
        </is>
      </c>
      <c r="H400">
        <f>IFERROR(VLOOKUP(G400&amp;"",PLANO!A:B,2,FALSE),"CONTA NAO EXISTE NO PLANO")</f>
        <v/>
      </c>
      <c r="I400" t="inlineStr">
        <is>
          <t>504</t>
        </is>
      </c>
      <c r="J400" t="inlineStr">
        <is>
          <t>SEM COSMOS</t>
        </is>
      </c>
      <c r="K400" t="inlineStr"/>
      <c r="L400" t="inlineStr"/>
      <c r="M400" t="inlineStr">
        <is>
          <t>MOV TIT COB DISP 02/03S</t>
        </is>
      </c>
    </row>
    <row r="401">
      <c r="A401" t="n">
        <v>400</v>
      </c>
      <c r="B401" t="inlineStr">
        <is>
          <t>02/03/2026</t>
        </is>
      </c>
      <c r="C401" t="inlineStr">
        <is>
          <t>REF. A PIX TRANSF MARIA A02/03</t>
        </is>
      </c>
      <c r="D401" s="7" t="n">
        <v>2000</v>
      </c>
      <c r="E401" t="inlineStr">
        <is>
          <t>504</t>
        </is>
      </c>
      <c r="F401" t="inlineStr">
        <is>
          <t>CLIENTES DIVERSOS</t>
        </is>
      </c>
      <c r="G401" s="2" t="inlineStr">
        <is>
          <t>504</t>
        </is>
      </c>
      <c r="H401">
        <f>IFERROR(VLOOKUP(G401&amp;"",PLANO!A:B,2,FALSE),"CONTA NAO EXISTE NO PLANO")</f>
        <v/>
      </c>
      <c r="I401" t="inlineStr">
        <is>
          <t>504</t>
        </is>
      </c>
      <c r="J401" t="inlineStr">
        <is>
          <t>SEM COSMOS</t>
        </is>
      </c>
      <c r="K401" t="inlineStr"/>
      <c r="L401" t="inlineStr"/>
      <c r="M401" t="inlineStr">
        <is>
          <t>PIX TRANSF MARIA A02/03</t>
        </is>
      </c>
    </row>
    <row r="402">
      <c r="A402" t="n">
        <v>401</v>
      </c>
      <c r="B402" t="inlineStr">
        <is>
          <t>02/03/2026</t>
        </is>
      </c>
      <c r="C402" t="inlineStr">
        <is>
          <t>REF. A PIX TRANSF R E S C02/03</t>
        </is>
      </c>
      <c r="D402" s="7" t="n">
        <v>9558</v>
      </c>
      <c r="E402" t="inlineStr">
        <is>
          <t>504</t>
        </is>
      </c>
      <c r="F402" t="inlineStr">
        <is>
          <t>CLIENTES DIVERSOS</t>
        </is>
      </c>
      <c r="G402" s="2" t="inlineStr">
        <is>
          <t>504</t>
        </is>
      </c>
      <c r="H402">
        <f>IFERROR(VLOOKUP(G402&amp;"",PLANO!A:B,2,FALSE),"CONTA NAO EXISTE NO PLANO")</f>
        <v/>
      </c>
      <c r="I402" t="inlineStr">
        <is>
          <t>504</t>
        </is>
      </c>
      <c r="J402" t="inlineStr">
        <is>
          <t>SEM COSMOS</t>
        </is>
      </c>
      <c r="K402" t="inlineStr"/>
      <c r="L402" t="inlineStr"/>
      <c r="M402" t="inlineStr">
        <is>
          <t>PIX TRANSF R E S C02/03</t>
        </is>
      </c>
    </row>
    <row r="403">
      <c r="A403" t="n">
        <v>402</v>
      </c>
      <c r="B403" t="inlineStr">
        <is>
          <t>02/03/2026</t>
        </is>
      </c>
      <c r="C403" t="inlineStr">
        <is>
          <t>REF. A PIX ENVIADO FELIPE DE OL</t>
        </is>
      </c>
      <c r="D403" s="7" t="n">
        <v>-2197.67</v>
      </c>
      <c r="E403" t="inlineStr">
        <is>
          <t>362</t>
        </is>
      </c>
      <c r="F403" t="inlineStr">
        <is>
          <t>SERVIÇOS PRESTADOS POR TERCEIROS</t>
        </is>
      </c>
      <c r="G403" s="2" t="inlineStr">
        <is>
          <t>362</t>
        </is>
      </c>
      <c r="H403">
        <f>IFERROR(VLOOKUP(G403&amp;"",PLANO!A:B,2,FALSE),"CONTA NAO EXISTE NO PLANO")</f>
        <v/>
      </c>
      <c r="I403" t="inlineStr">
        <is>
          <t>362</t>
        </is>
      </c>
      <c r="J403" t="inlineStr">
        <is>
          <t>SEM COSMOS</t>
        </is>
      </c>
      <c r="K403" t="inlineStr"/>
      <c r="L403" t="inlineStr"/>
      <c r="M403" t="inlineStr">
        <is>
          <t>PIX ENVIADO FELIPE DE OL</t>
        </is>
      </c>
    </row>
    <row r="404">
      <c r="A404" t="n">
        <v>403</v>
      </c>
      <c r="B404" t="inlineStr">
        <is>
          <t>02/03/2026</t>
        </is>
      </c>
      <c r="C404" t="inlineStr">
        <is>
          <t>SKIN LAB INDUSTRIA E COMERCIO DE COSMETICOS LTDA PAGAMENTO REFERENTE A COMPRA DE MATERIA PRIMA,ALCOOL CETO 1TON, MPDS 25KG</t>
        </is>
      </c>
      <c r="D404" s="7" t="n">
        <v>-3218</v>
      </c>
      <c r="E404" t="inlineStr">
        <is>
          <t>506</t>
        </is>
      </c>
      <c r="F404" t="inlineStr">
        <is>
          <t>FORNECEDORES DIVERSOS</t>
        </is>
      </c>
      <c r="G404" s="2" t="inlineStr">
        <is>
          <t>506</t>
        </is>
      </c>
      <c r="H404">
        <f>IFERROR(VLOOKUP(G404&amp;"",PLANO!A:B,2,FALSE),"CONTA NAO EXISTE NO PLANO")</f>
        <v/>
      </c>
      <c r="I404" t="inlineStr">
        <is>
          <t>506</t>
        </is>
      </c>
      <c r="J404" t="inlineStr">
        <is>
          <t>OK</t>
        </is>
      </c>
      <c r="K404" t="inlineStr">
        <is>
          <t>fornecedor com NF</t>
        </is>
      </c>
      <c r="L404" t="inlineStr">
        <is>
          <t>SKIN LAB INDUSTRIA E COMERCIO DE COSMETICOS LTDA | 115/6 | PAGAMENTO REFERENTE A COMPRA DE MATERIA PRIMA, ALCOOL CETO 1TON, MPDS 25KG</t>
        </is>
      </c>
      <c r="M404" t="inlineStr">
        <is>
          <t>SKIN LAB INDUSTRIA E COMERCIO DE COSMETICOS LTDA - PAGAMENTO REFERENTE A COMPRA DE MATERIA PRIMA, ALCOOL CETO 1TON, MPDS 25KG</t>
        </is>
      </c>
    </row>
    <row r="405">
      <c r="A405" t="n">
        <v>404</v>
      </c>
      <c r="B405" t="inlineStr">
        <is>
          <t>02/03/2026</t>
        </is>
      </c>
      <c r="C405" t="inlineStr">
        <is>
          <t>REF. A PIX ENVIADO CARLOS ALEXA</t>
        </is>
      </c>
      <c r="D405" s="7" t="n">
        <v>-500</v>
      </c>
      <c r="E405" t="inlineStr">
        <is>
          <t>362</t>
        </is>
      </c>
      <c r="F405" t="inlineStr">
        <is>
          <t>SERVIÇOS PRESTADOS POR TERCEIROS</t>
        </is>
      </c>
      <c r="G405" s="2" t="inlineStr">
        <is>
          <t>362</t>
        </is>
      </c>
      <c r="H405">
        <f>IFERROR(VLOOKUP(G405&amp;"",PLANO!A:B,2,FALSE),"CONTA NAO EXISTE NO PLANO")</f>
        <v/>
      </c>
      <c r="I405" t="inlineStr">
        <is>
          <t>362</t>
        </is>
      </c>
      <c r="J405" t="inlineStr">
        <is>
          <t>SEM COSMOS</t>
        </is>
      </c>
      <c r="K405" t="inlineStr"/>
      <c r="L405" t="inlineStr"/>
      <c r="M405" t="inlineStr">
        <is>
          <t>PIX ENVIADO CARLOS ALEXA</t>
        </is>
      </c>
    </row>
    <row r="406">
      <c r="A406" s="8" t="n">
        <v>405</v>
      </c>
      <c r="B406" s="8" t="inlineStr">
        <is>
          <t>02/03/2026</t>
        </is>
      </c>
      <c r="C406" s="8" t="inlineStr">
        <is>
          <t>ALLOXY ESPECIALIDADES QUIMICAS LTDA PAGAMENTO REFERENTE A COMPRA DE MATERIA PRIMA,PEROXIDO DE HIDORGENIO, 1130KG</t>
        </is>
      </c>
      <c r="D406" s="9" t="n">
        <v>-2740.5</v>
      </c>
      <c r="E406" s="8" t="inlineStr">
        <is>
          <t>56</t>
        </is>
      </c>
      <c r="F406" s="8" t="inlineStr">
        <is>
          <t>MATÉRIA-PRIMA</t>
        </is>
      </c>
      <c r="G406" s="10" t="inlineStr">
        <is>
          <t>506</t>
        </is>
      </c>
      <c r="H406" s="8">
        <f>IFERROR(VLOOKUP(G406&amp;"",PLANO!A:B,2,FALSE),"CONTA NAO EXISTE NO PLANO")</f>
        <v/>
      </c>
      <c r="I406" s="8" t="inlineStr">
        <is>
          <t>506</t>
        </is>
      </c>
      <c r="J406" s="8" t="inlineStr">
        <is>
          <t>CORRIGIR</t>
        </is>
      </c>
      <c r="K406" s="8" t="inlineStr">
        <is>
          <t>fornecedor com NF (Cosmos: compra MP/embalagem) - pagamento deve baixar fornecedores 506</t>
        </is>
      </c>
      <c r="L406" s="8" t="inlineStr">
        <is>
          <t>ALLOXY ESPECIALIDADES QUIMICAS LTDA | 115/6 | PAGAMENTO REFERENTE A COMPRA DE MATERIA PRIMA, PEROXIDO DE HIDORGENIO, 1130KG</t>
        </is>
      </c>
      <c r="M406" s="8" t="inlineStr">
        <is>
          <t>ALLOXY ESPECIALIDADES QUIMICAS LTDA - PAGAMENTO REFERENTE A COMPRA DE MATERIA PRIMA, PEROXIDO DE HIDORGENIO, 1130KG</t>
        </is>
      </c>
    </row>
    <row r="407">
      <c r="A407" t="n">
        <v>406</v>
      </c>
      <c r="B407" t="inlineStr">
        <is>
          <t>02/03/2026</t>
        </is>
      </c>
      <c r="C407" t="inlineStr">
        <is>
          <t>GRÁFICA MALIRES LTDAPGTO REF. A COMPRA DE CAIXA E BERÇO PARA PERFUME</t>
        </is>
      </c>
      <c r="D407" s="7" t="n">
        <v>-2399</v>
      </c>
      <c r="E407" t="inlineStr">
        <is>
          <t>506</t>
        </is>
      </c>
      <c r="F407" t="inlineStr">
        <is>
          <t>FORNECEDORES DIVERSOS</t>
        </is>
      </c>
      <c r="G407" s="2" t="inlineStr">
        <is>
          <t>506</t>
        </is>
      </c>
      <c r="H407">
        <f>IFERROR(VLOOKUP(G407&amp;"",PLANO!A:B,2,FALSE),"CONTA NAO EXISTE NO PLANO")</f>
        <v/>
      </c>
      <c r="I407" t="inlineStr">
        <is>
          <t>506</t>
        </is>
      </c>
      <c r="J407" t="inlineStr">
        <is>
          <t>OK</t>
        </is>
      </c>
      <c r="K407" t="inlineStr">
        <is>
          <t>fornecedor com NF</t>
        </is>
      </c>
      <c r="L407" t="inlineStr">
        <is>
          <t>GRÁFICA MALIRES LTDA | 115/9 | PGTO REF. A COMPRA DE CAIXA E BERÇO PARA PERFUME</t>
        </is>
      </c>
      <c r="M407" t="inlineStr">
        <is>
          <t>GRÁFICA MALIRES LTDA - PGTO REF. A COMPRA DE CAIXA E BERÇO PARA PERFUME</t>
        </is>
      </c>
    </row>
    <row r="408">
      <c r="A408" t="n">
        <v>407</v>
      </c>
      <c r="B408" t="inlineStr">
        <is>
          <t>02/03/2026</t>
        </is>
      </c>
      <c r="C408" t="inlineStr">
        <is>
          <t>QUIMIFORMULA COMERCIO DE PRODUTOS QUIMICOS LTDA PGTO REF. A COMPRA DE MATERIA PRIMA, DC 5KG</t>
        </is>
      </c>
      <c r="D408" s="7" t="n">
        <v>-543.24</v>
      </c>
      <c r="E408" t="inlineStr">
        <is>
          <t>506</t>
        </is>
      </c>
      <c r="F408" t="inlineStr">
        <is>
          <t>FORNECEDORES DIVERSOS</t>
        </is>
      </c>
      <c r="G408" s="2" t="inlineStr">
        <is>
          <t>506</t>
        </is>
      </c>
      <c r="H408">
        <f>IFERROR(VLOOKUP(G408&amp;"",PLANO!A:B,2,FALSE),"CONTA NAO EXISTE NO PLANO")</f>
        <v/>
      </c>
      <c r="I408" t="inlineStr">
        <is>
          <t>506</t>
        </is>
      </c>
      <c r="J408" t="inlineStr">
        <is>
          <t>OK</t>
        </is>
      </c>
      <c r="K408" t="inlineStr">
        <is>
          <t>fornecedor com NF</t>
        </is>
      </c>
      <c r="L408" t="inlineStr">
        <is>
          <t>QUIMIFORMULA COMERCIO DE PRODUTOS QUIMICOS LTDA | 115/6 | PGTO REF. A COMPRA DE MATERIA PRIMA, DC 5KG</t>
        </is>
      </c>
      <c r="M408" t="inlineStr">
        <is>
          <t>QUIMIFORMULA COMERCIO DE PRODUTOS QUIMICOS LTDA - PGTO REF. A COMPRA DE MATERIA PRIMA, DC 5KG</t>
        </is>
      </c>
    </row>
    <row r="409">
      <c r="A409" t="n">
        <v>408</v>
      </c>
      <c r="B409" t="inlineStr">
        <is>
          <t>02/03/2026</t>
        </is>
      </c>
      <c r="C409" t="inlineStr">
        <is>
          <t>REF. A BOLETO PAGO TEX COURIER</t>
        </is>
      </c>
      <c r="D409" s="7" t="n">
        <v>-437.22</v>
      </c>
      <c r="E409" t="inlineStr">
        <is>
          <t>312</t>
        </is>
      </c>
      <c r="F409" t="inlineStr">
        <is>
          <t>FRETES E CARRETOS</t>
        </is>
      </c>
      <c r="G409" s="2" t="inlineStr">
        <is>
          <t>312</t>
        </is>
      </c>
      <c r="H409">
        <f>IFERROR(VLOOKUP(G409&amp;"",PLANO!A:B,2,FALSE),"CONTA NAO EXISTE NO PLANO")</f>
        <v/>
      </c>
      <c r="I409" t="inlineStr">
        <is>
          <t>312</t>
        </is>
      </c>
      <c r="J409" t="inlineStr">
        <is>
          <t>SEM COSMOS</t>
        </is>
      </c>
      <c r="K409" t="inlineStr"/>
      <c r="L409" t="inlineStr"/>
      <c r="M409" t="inlineStr">
        <is>
          <t>BOLETO PAGO TEX COURIER</t>
        </is>
      </c>
    </row>
    <row r="410">
      <c r="A410" t="n">
        <v>409</v>
      </c>
      <c r="B410" t="inlineStr">
        <is>
          <t>02/03/2026</t>
        </is>
      </c>
      <c r="C410" t="inlineStr">
        <is>
          <t>AZUL LINHAS AEREAS BRASILEIRAS S.A.PAG REF A FRETE SOBRE VENDAS</t>
        </is>
      </c>
      <c r="D410" s="7" t="n">
        <v>-525.6</v>
      </c>
      <c r="E410" t="inlineStr">
        <is>
          <t>312</t>
        </is>
      </c>
      <c r="F410" t="inlineStr">
        <is>
          <t>FRETES E CARRETOS</t>
        </is>
      </c>
      <c r="G410" s="2" t="inlineStr">
        <is>
          <t>312</t>
        </is>
      </c>
      <c r="H410">
        <f>IFERROR(VLOOKUP(G410&amp;"",PLANO!A:B,2,FALSE),"CONTA NAO EXISTE NO PLANO")</f>
        <v/>
      </c>
      <c r="I410" t="inlineStr">
        <is>
          <t>312</t>
        </is>
      </c>
      <c r="J410" t="inlineStr">
        <is>
          <t>OK</t>
        </is>
      </c>
      <c r="K410" t="inlineStr">
        <is>
          <t>categoria Cosmos 97</t>
        </is>
      </c>
      <c r="L410" t="inlineStr">
        <is>
          <t>AZUL LINHAS AEREAS BRASILEIRAS S.A. | 115/97 | PAG REF A FRETE SOBRE VENDAS</t>
        </is>
      </c>
      <c r="M410" t="inlineStr">
        <is>
          <t>AZUL LINHAS AEREAS BRASILEIRAS S.A. - PAG REF A FRETE SOBRE VENDAS</t>
        </is>
      </c>
    </row>
    <row r="411">
      <c r="A411" s="4" t="n">
        <v>410</v>
      </c>
      <c r="B411" s="4" t="inlineStr">
        <is>
          <t>02/03/2026</t>
        </is>
      </c>
      <c r="C411" s="4" t="inlineStr">
        <is>
          <t>TECNOPONTO TEC AVAN CONT DE PONTO ACESSO LTDAPGTO REF.MANUTENÇÃO RELÓGIO PONTO</t>
        </is>
      </c>
      <c r="D411" s="5" t="n">
        <v>-110</v>
      </c>
      <c r="E411" s="4" t="inlineStr">
        <is>
          <t>506</t>
        </is>
      </c>
      <c r="F411" s="4" t="inlineStr">
        <is>
          <t>FORNECEDORES DIVERSOS</t>
        </is>
      </c>
      <c r="G411" s="6" t="inlineStr">
        <is>
          <t>640</t>
        </is>
      </c>
      <c r="H411" s="4">
        <f>IFERROR(VLOOKUP(G411&amp;"",PLANO!A:B,2,FALSE),"CONTA NAO EXISTE NO PLANO")</f>
        <v/>
      </c>
      <c r="I411" s="4" t="inlineStr">
        <is>
          <t>506</t>
        </is>
      </c>
      <c r="J411" s="4" t="inlineStr">
        <is>
          <t>AJUSTADO</t>
        </is>
      </c>
      <c r="K411" s="4" t="inlineStr">
        <is>
          <t>software/sistema (Cosmos cat. 47)</t>
        </is>
      </c>
      <c r="L411" s="4" t="inlineStr">
        <is>
          <t>TECNOPONTO TEC AVAN CONT DE PONTO ACESSO LTDA | 115/47 | PGTO REF.MANUTENÇÃO RELÓGIO PONTO</t>
        </is>
      </c>
      <c r="M411" s="4" t="inlineStr">
        <is>
          <t>TECNOPONTO TEC AVAN CONT DE PONTO ACESSO LTDA - PGTO REF.MANUTENÇÃO RELÓGIO PONTO</t>
        </is>
      </c>
    </row>
    <row r="412">
      <c r="A412" s="11" t="n">
        <v>411</v>
      </c>
      <c r="B412" s="11" t="inlineStr">
        <is>
          <t>02/03/2026</t>
        </is>
      </c>
      <c r="C412" s="11" t="inlineStr">
        <is>
          <t>SAVATEC COMERCIO E SERVICOS LTDA PGTO REF.</t>
        </is>
      </c>
      <c r="D412" s="12" t="n">
        <v>-726.66</v>
      </c>
      <c r="E412" s="11" t="inlineStr">
        <is>
          <t>359</t>
        </is>
      </c>
      <c r="F412" s="11" t="inlineStr">
        <is>
          <t>MATERIAL DE ESCRITÓRIO</t>
        </is>
      </c>
      <c r="G412" s="13" t="inlineStr">
        <is>
          <t>359</t>
        </is>
      </c>
      <c r="H412" s="11">
        <f>IFERROR(VLOOKUP(G412&amp;"",PLANO!A:B,2,FALSE),"CONTA NAO EXISTE NO PLANO")</f>
        <v/>
      </c>
      <c r="I412" s="11" t="inlineStr">
        <is>
          <t>359</t>
        </is>
      </c>
      <c r="J412" s="11" t="inlineStr">
        <is>
          <t>MANTIDO</t>
        </is>
      </c>
      <c r="K412" s="11" t="inlineStr">
        <is>
          <t>material laboratorio/embalagem consumo | mantida a conta atual (sem informacao que justifique troca)</t>
        </is>
      </c>
      <c r="L412" s="11" t="inlineStr">
        <is>
          <t>SAVATEC COMERCIO E SERVICOS LTDA | 115/8 | PGTO REF.</t>
        </is>
      </c>
      <c r="M412" s="11" t="inlineStr">
        <is>
          <t>SAVATEC COMERCIO E SERVICOS LTDA - PGTO REF.</t>
        </is>
      </c>
    </row>
    <row r="413">
      <c r="A413" t="n">
        <v>412</v>
      </c>
      <c r="B413" t="inlineStr">
        <is>
          <t>02/03/2026</t>
        </is>
      </c>
      <c r="C413" t="inlineStr">
        <is>
          <t>TNT MERCURIO CARGAS E ENCOMENDAS EXPRESSAS S/APGTO REF.</t>
        </is>
      </c>
      <c r="D413" s="7" t="n">
        <v>-34.08</v>
      </c>
      <c r="E413" t="inlineStr">
        <is>
          <t>312</t>
        </is>
      </c>
      <c r="F413" t="inlineStr">
        <is>
          <t>FRETES E CARRETOS</t>
        </is>
      </c>
      <c r="G413" s="2" t="inlineStr">
        <is>
          <t>312</t>
        </is>
      </c>
      <c r="H413">
        <f>IFERROR(VLOOKUP(G413&amp;"",PLANO!A:B,2,FALSE),"CONTA NAO EXISTE NO PLANO")</f>
        <v/>
      </c>
      <c r="I413" t="inlineStr">
        <is>
          <t>312</t>
        </is>
      </c>
      <c r="J413" t="inlineStr">
        <is>
          <t>OK</t>
        </is>
      </c>
      <c r="K413" t="inlineStr">
        <is>
          <t>categoria Cosmos 4</t>
        </is>
      </c>
      <c r="L413" t="inlineStr">
        <is>
          <t>TNT MERCURIO CARGAS E ENCOMENDAS EXPRESSAS S/A | 115/4 | PGTO REF.</t>
        </is>
      </c>
      <c r="M413" t="inlineStr">
        <is>
          <t>TNT MERCURIO CARGAS E ENCOMENDAS EXPRESSAS S/A - PGTO REF.</t>
        </is>
      </c>
    </row>
    <row r="414">
      <c r="A414" t="n">
        <v>413</v>
      </c>
      <c r="B414" t="inlineStr">
        <is>
          <t>02/03/2026</t>
        </is>
      </c>
      <c r="C414" t="inlineStr">
        <is>
          <t>REATEC DO BRASIL LTDA PAGAMENTO REFERENTE A COMRPA DE MATERIA PRIMA,ACIDO CITRICO 11KG</t>
        </is>
      </c>
      <c r="D414" s="7" t="n">
        <v>-528</v>
      </c>
      <c r="E414" t="inlineStr">
        <is>
          <t>506</t>
        </is>
      </c>
      <c r="F414" t="inlineStr">
        <is>
          <t>FORNECEDORES DIVERSOS</t>
        </is>
      </c>
      <c r="G414" s="2" t="inlineStr">
        <is>
          <t>506</t>
        </is>
      </c>
      <c r="H414">
        <f>IFERROR(VLOOKUP(G414&amp;"",PLANO!A:B,2,FALSE),"CONTA NAO EXISTE NO PLANO")</f>
        <v/>
      </c>
      <c r="I414" t="inlineStr">
        <is>
          <t>506</t>
        </is>
      </c>
      <c r="J414" t="inlineStr">
        <is>
          <t>OK</t>
        </is>
      </c>
      <c r="K414" t="inlineStr">
        <is>
          <t>fornecedor com NF</t>
        </is>
      </c>
      <c r="L414" t="inlineStr">
        <is>
          <t>REATEC DO BRASIL LTDA | 115/6 | PAGAMENTO REFERENTE A COMRPA DE MATERIA PRIMA, ACIDO CITRICO 11KG</t>
        </is>
      </c>
      <c r="M414" t="inlineStr">
        <is>
          <t>REATEC DO BRASIL LTDA - PAGAMENTO REFERENTE A COMRPA DE MATERIA PRIMA, ACIDO CITRICO 11KG</t>
        </is>
      </c>
    </row>
    <row r="415">
      <c r="A415" t="n">
        <v>414</v>
      </c>
      <c r="B415" t="inlineStr">
        <is>
          <t>03/03/2026</t>
        </is>
      </c>
      <c r="C415" t="inlineStr">
        <is>
          <t>REF. A MOV TIT COB DISP 03/03S</t>
        </is>
      </c>
      <c r="D415" s="7" t="n">
        <v>2180.55</v>
      </c>
      <c r="E415" t="inlineStr">
        <is>
          <t>504</t>
        </is>
      </c>
      <c r="F415" t="inlineStr">
        <is>
          <t>CLIENTES DIVERSOS</t>
        </is>
      </c>
      <c r="G415" s="2" t="inlineStr">
        <is>
          <t>504</t>
        </is>
      </c>
      <c r="H415">
        <f>IFERROR(VLOOKUP(G415&amp;"",PLANO!A:B,2,FALSE),"CONTA NAO EXISTE NO PLANO")</f>
        <v/>
      </c>
      <c r="I415" t="inlineStr">
        <is>
          <t>504</t>
        </is>
      </c>
      <c r="J415" t="inlineStr">
        <is>
          <t>SEM COSMOS</t>
        </is>
      </c>
      <c r="K415" t="inlineStr"/>
      <c r="L415" t="inlineStr"/>
      <c r="M415" t="inlineStr">
        <is>
          <t>MOV TIT COB DISP 03/03S</t>
        </is>
      </c>
    </row>
    <row r="416">
      <c r="A416" t="n">
        <v>415</v>
      </c>
      <c r="B416" t="inlineStr">
        <is>
          <t>03/03/2026</t>
        </is>
      </c>
      <c r="C416" t="inlineStr">
        <is>
          <t>REF. A PIX TRANSF EDGAR C03/03</t>
        </is>
      </c>
      <c r="D416" s="7" t="n">
        <v>269.42</v>
      </c>
      <c r="E416" t="inlineStr">
        <is>
          <t>504</t>
        </is>
      </c>
      <c r="F416" t="inlineStr">
        <is>
          <t>CLIENTES DIVERSOS</t>
        </is>
      </c>
      <c r="G416" s="2" t="inlineStr">
        <is>
          <t>504</t>
        </is>
      </c>
      <c r="H416">
        <f>IFERROR(VLOOKUP(G416&amp;"",PLANO!A:B,2,FALSE),"CONTA NAO EXISTE NO PLANO")</f>
        <v/>
      </c>
      <c r="I416" t="inlineStr">
        <is>
          <t>504</t>
        </is>
      </c>
      <c r="J416" t="inlineStr">
        <is>
          <t>SEM COSMOS</t>
        </is>
      </c>
      <c r="K416" t="inlineStr"/>
      <c r="L416" t="inlineStr"/>
      <c r="M416" t="inlineStr">
        <is>
          <t>PIX TRANSF EDGAR C03/03</t>
        </is>
      </c>
    </row>
    <row r="417">
      <c r="A417" t="n">
        <v>416</v>
      </c>
      <c r="B417" t="inlineStr">
        <is>
          <t>03/03/2026</t>
        </is>
      </c>
      <c r="C417" t="inlineStr">
        <is>
          <t>REF. A PIX TRANSF NATURAL03/03</t>
        </is>
      </c>
      <c r="D417" s="7" t="n">
        <v>3000</v>
      </c>
      <c r="E417" t="inlineStr">
        <is>
          <t>504</t>
        </is>
      </c>
      <c r="F417" t="inlineStr">
        <is>
          <t>CLIENTES DIVERSOS</t>
        </is>
      </c>
      <c r="G417" s="2" t="inlineStr">
        <is>
          <t>504</t>
        </is>
      </c>
      <c r="H417">
        <f>IFERROR(VLOOKUP(G417&amp;"",PLANO!A:B,2,FALSE),"CONTA NAO EXISTE NO PLANO")</f>
        <v/>
      </c>
      <c r="I417" t="inlineStr">
        <is>
          <t>504</t>
        </is>
      </c>
      <c r="J417" t="inlineStr">
        <is>
          <t>SEM COSMOS</t>
        </is>
      </c>
      <c r="K417" t="inlineStr"/>
      <c r="L417" t="inlineStr"/>
      <c r="M417" t="inlineStr">
        <is>
          <t>PIX TRANSF NATURAL03/03</t>
        </is>
      </c>
    </row>
    <row r="418">
      <c r="A418" t="n">
        <v>417</v>
      </c>
      <c r="B418" t="inlineStr">
        <is>
          <t>03/03/2026</t>
        </is>
      </c>
      <c r="C418" t="inlineStr">
        <is>
          <t>IOF 8613.52508-1/ C/C</t>
        </is>
      </c>
      <c r="D418" s="7" t="n">
        <v>-126.28</v>
      </c>
      <c r="E418" t="inlineStr">
        <is>
          <t>625</t>
        </is>
      </c>
      <c r="F418" t="inlineStr">
        <is>
          <t>IOF</t>
        </is>
      </c>
      <c r="G418" s="2" t="inlineStr">
        <is>
          <t>625</t>
        </is>
      </c>
      <c r="H418">
        <f>IFERROR(VLOOKUP(G418&amp;"",PLANO!A:B,2,FALSE),"CONTA NAO EXISTE NO PLANO")</f>
        <v/>
      </c>
      <c r="I418" t="inlineStr">
        <is>
          <t>625</t>
        </is>
      </c>
      <c r="J418" t="inlineStr">
        <is>
          <t>SEM COSMOS</t>
        </is>
      </c>
      <c r="K418" t="inlineStr"/>
      <c r="L418" t="inlineStr"/>
      <c r="M418" t="inlineStr">
        <is>
          <t>IOF 8613.52508-1/ C/C</t>
        </is>
      </c>
    </row>
    <row r="419">
      <c r="A419" t="n">
        <v>418</v>
      </c>
      <c r="B419" t="inlineStr">
        <is>
          <t>03/03/2026</t>
        </is>
      </c>
      <c r="C419" t="inlineStr">
        <is>
          <t>IOF</t>
        </is>
      </c>
      <c r="D419" s="7" t="n">
        <v>-348.97</v>
      </c>
      <c r="E419" t="inlineStr">
        <is>
          <t>625</t>
        </is>
      </c>
      <c r="F419" t="inlineStr">
        <is>
          <t>IOF</t>
        </is>
      </c>
      <c r="G419" s="2" t="inlineStr">
        <is>
          <t>625</t>
        </is>
      </c>
      <c r="H419">
        <f>IFERROR(VLOOKUP(G419&amp;"",PLANO!A:B,2,FALSE),"CONTA NAO EXISTE NO PLANO")</f>
        <v/>
      </c>
      <c r="I419" t="inlineStr">
        <is>
          <t>625</t>
        </is>
      </c>
      <c r="J419" t="inlineStr">
        <is>
          <t>SEM COSMOS</t>
        </is>
      </c>
      <c r="K419" t="inlineStr"/>
      <c r="L419" t="inlineStr"/>
      <c r="M419" t="inlineStr">
        <is>
          <t>IOF</t>
        </is>
      </c>
    </row>
    <row r="420">
      <c r="A420" t="n">
        <v>419</v>
      </c>
      <c r="B420" t="inlineStr">
        <is>
          <t>03/03/2026</t>
        </is>
      </c>
      <c r="C420" t="inlineStr">
        <is>
          <t>REF. A PIX ENVIADO COLOR WAY IN</t>
        </is>
      </c>
      <c r="D420" s="7" t="n">
        <v>-6065.04</v>
      </c>
      <c r="E420" t="inlineStr">
        <is>
          <t>506</t>
        </is>
      </c>
      <c r="F420" t="inlineStr">
        <is>
          <t>FORNECEDORES DIVERSOS</t>
        </is>
      </c>
      <c r="G420" s="2" t="inlineStr">
        <is>
          <t>506</t>
        </is>
      </c>
      <c r="H420">
        <f>IFERROR(VLOOKUP(G420&amp;"",PLANO!A:B,2,FALSE),"CONTA NAO EXISTE NO PLANO")</f>
        <v/>
      </c>
      <c r="I420" t="inlineStr">
        <is>
          <t>506</t>
        </is>
      </c>
      <c r="J420" t="inlineStr">
        <is>
          <t>SEM COSMOS</t>
        </is>
      </c>
      <c r="K420" t="inlineStr"/>
      <c r="L420" t="inlineStr"/>
      <c r="M420" t="inlineStr">
        <is>
          <t>PIX ENVIADO COLOR WAY IN</t>
        </is>
      </c>
    </row>
    <row r="421">
      <c r="A421" t="n">
        <v>420</v>
      </c>
      <c r="B421" t="inlineStr">
        <is>
          <t>03/03/2026</t>
        </is>
      </c>
      <c r="C421" t="inlineStr">
        <is>
          <t>REF. A BOLETO PAGO EFITRANS TRA</t>
        </is>
      </c>
      <c r="D421" s="7" t="n">
        <v>-1455.72</v>
      </c>
      <c r="E421" t="inlineStr">
        <is>
          <t>312</t>
        </is>
      </c>
      <c r="F421" t="inlineStr">
        <is>
          <t>FRETES E CARRETOS</t>
        </is>
      </c>
      <c r="G421" s="2" t="inlineStr">
        <is>
          <t>312</t>
        </is>
      </c>
      <c r="H421">
        <f>IFERROR(VLOOKUP(G421&amp;"",PLANO!A:B,2,FALSE),"CONTA NAO EXISTE NO PLANO")</f>
        <v/>
      </c>
      <c r="I421" t="inlineStr">
        <is>
          <t>312</t>
        </is>
      </c>
      <c r="J421" t="inlineStr">
        <is>
          <t>SEM COSMOS</t>
        </is>
      </c>
      <c r="K421" t="inlineStr"/>
      <c r="L421" t="inlineStr"/>
      <c r="M421" t="inlineStr">
        <is>
          <t>BOLETO PAGO EFITRANS TRA</t>
        </is>
      </c>
    </row>
    <row r="422">
      <c r="A422" t="n">
        <v>421</v>
      </c>
      <c r="B422" t="inlineStr">
        <is>
          <t>03/03/2026</t>
        </is>
      </c>
      <c r="C422" t="inlineStr">
        <is>
          <t>REF. A BOLETO PAGO QUIMIFORMULA</t>
        </is>
      </c>
      <c r="D422" s="7" t="n">
        <v>-1296.25</v>
      </c>
      <c r="E422" t="inlineStr">
        <is>
          <t>506</t>
        </is>
      </c>
      <c r="F422" t="inlineStr">
        <is>
          <t>FORNECEDORES DIVERSOS</t>
        </is>
      </c>
      <c r="G422" s="2" t="inlineStr">
        <is>
          <t>506</t>
        </is>
      </c>
      <c r="H422">
        <f>IFERROR(VLOOKUP(G422&amp;"",PLANO!A:B,2,FALSE),"CONTA NAO EXISTE NO PLANO")</f>
        <v/>
      </c>
      <c r="I422" t="inlineStr">
        <is>
          <t>506</t>
        </is>
      </c>
      <c r="J422" t="inlineStr">
        <is>
          <t>SEM COSMOS</t>
        </is>
      </c>
      <c r="K422" t="inlineStr"/>
      <c r="L422" t="inlineStr"/>
      <c r="M422" t="inlineStr">
        <is>
          <t>BOLETO PAGO QUIMIFORMULA</t>
        </is>
      </c>
    </row>
    <row r="423">
      <c r="A423" t="n">
        <v>422</v>
      </c>
      <c r="B423" t="inlineStr">
        <is>
          <t>03/03/2026</t>
        </is>
      </c>
      <c r="C423" t="inlineStr">
        <is>
          <t>REF. A BOLETO PAGO JAMEF TRANSP</t>
        </is>
      </c>
      <c r="D423" s="7" t="n">
        <v>-595.27</v>
      </c>
      <c r="E423" t="inlineStr">
        <is>
          <t>312</t>
        </is>
      </c>
      <c r="F423" t="inlineStr">
        <is>
          <t>FRETES E CARRETOS</t>
        </is>
      </c>
      <c r="G423" s="2" t="inlineStr">
        <is>
          <t>312</t>
        </is>
      </c>
      <c r="H423">
        <f>IFERROR(VLOOKUP(G423&amp;"",PLANO!A:B,2,FALSE),"CONTA NAO EXISTE NO PLANO")</f>
        <v/>
      </c>
      <c r="I423" t="inlineStr">
        <is>
          <t>312</t>
        </is>
      </c>
      <c r="J423" t="inlineStr">
        <is>
          <t>SEM COSMOS</t>
        </is>
      </c>
      <c r="K423" t="inlineStr"/>
      <c r="L423" t="inlineStr"/>
      <c r="M423" t="inlineStr">
        <is>
          <t>BOLETO PAGO JAMEF TRANSP</t>
        </is>
      </c>
    </row>
    <row r="424">
      <c r="A424" t="n">
        <v>423</v>
      </c>
      <c r="B424" t="inlineStr">
        <is>
          <t>03/03/2026</t>
        </is>
      </c>
      <c r="C424" t="inlineStr">
        <is>
          <t>REF. A BOLETO PAGO YAHWEH PRINT</t>
        </is>
      </c>
      <c r="D424" s="7" t="n">
        <v>-723.5700000000001</v>
      </c>
      <c r="E424" t="inlineStr">
        <is>
          <t>506</t>
        </is>
      </c>
      <c r="F424" t="inlineStr">
        <is>
          <t>FORNECEDORES DIVERSOS</t>
        </is>
      </c>
      <c r="G424" s="2" t="inlineStr">
        <is>
          <t>506</t>
        </is>
      </c>
      <c r="H424">
        <f>IFERROR(VLOOKUP(G424&amp;"",PLANO!A:B,2,FALSE),"CONTA NAO EXISTE NO PLANO")</f>
        <v/>
      </c>
      <c r="I424" t="inlineStr">
        <is>
          <t>506</t>
        </is>
      </c>
      <c r="J424" t="inlineStr">
        <is>
          <t>SEM COSMOS</t>
        </is>
      </c>
      <c r="K424" t="inlineStr"/>
      <c r="L424" t="inlineStr"/>
      <c r="M424" t="inlineStr">
        <is>
          <t>BOLETO PAGO YAHWEH PRINT</t>
        </is>
      </c>
    </row>
    <row r="425">
      <c r="A425" t="n">
        <v>424</v>
      </c>
      <c r="B425" t="inlineStr">
        <is>
          <t>03/03/2026</t>
        </is>
      </c>
      <c r="C425" t="inlineStr">
        <is>
          <t>REF. A BOLETO PAGO YAHWEH PRINT</t>
        </is>
      </c>
      <c r="D425" s="7" t="n">
        <v>-907</v>
      </c>
      <c r="E425" t="inlineStr">
        <is>
          <t>506</t>
        </is>
      </c>
      <c r="F425" t="inlineStr">
        <is>
          <t>FORNECEDORES DIVERSOS</t>
        </is>
      </c>
      <c r="G425" s="2" t="inlineStr">
        <is>
          <t>506</t>
        </is>
      </c>
      <c r="H425">
        <f>IFERROR(VLOOKUP(G425&amp;"",PLANO!A:B,2,FALSE),"CONTA NAO EXISTE NO PLANO")</f>
        <v/>
      </c>
      <c r="I425" t="inlineStr">
        <is>
          <t>506</t>
        </is>
      </c>
      <c r="J425" t="inlineStr">
        <is>
          <t>SEM COSMOS</t>
        </is>
      </c>
      <c r="K425" t="inlineStr"/>
      <c r="L425" t="inlineStr"/>
      <c r="M425" t="inlineStr">
        <is>
          <t>BOLETO PAGO YAHWEH PRINT</t>
        </is>
      </c>
    </row>
    <row r="426">
      <c r="A426" t="n">
        <v>425</v>
      </c>
      <c r="B426" t="inlineStr">
        <is>
          <t>03/03/2026</t>
        </is>
      </c>
      <c r="C426" t="inlineStr">
        <is>
          <t>REF. A TAR COBRANCA EXP</t>
        </is>
      </c>
      <c r="D426" s="7" t="n">
        <v>-116.55</v>
      </c>
      <c r="E426" t="inlineStr">
        <is>
          <t>626</t>
        </is>
      </c>
      <c r="F426" t="inlineStr">
        <is>
          <t>TARIFAS BANCARIAS</t>
        </is>
      </c>
      <c r="G426" s="2" t="inlineStr">
        <is>
          <t>626</t>
        </is>
      </c>
      <c r="H426">
        <f>IFERROR(VLOOKUP(G426&amp;"",PLANO!A:B,2,FALSE),"CONTA NAO EXISTE NO PLANO")</f>
        <v/>
      </c>
      <c r="I426" t="inlineStr">
        <is>
          <t>626</t>
        </is>
      </c>
      <c r="J426" t="inlineStr">
        <is>
          <t>SEM COSMOS</t>
        </is>
      </c>
      <c r="K426" t="inlineStr"/>
      <c r="L426" t="inlineStr"/>
      <c r="M426" t="inlineStr">
        <is>
          <t>TAR COBRANCA EXP</t>
        </is>
      </c>
    </row>
    <row r="427">
      <c r="A427" t="n">
        <v>426</v>
      </c>
      <c r="B427" t="inlineStr">
        <is>
          <t>03/03/2026</t>
        </is>
      </c>
      <c r="C427" t="inlineStr">
        <is>
          <t>REF. A TAR PIX PGTO TRANSF</t>
        </is>
      </c>
      <c r="D427" s="7" t="n">
        <v>-113.72</v>
      </c>
      <c r="E427" t="inlineStr">
        <is>
          <t>626</t>
        </is>
      </c>
      <c r="F427" t="inlineStr">
        <is>
          <t>TARIFAS BANCARIAS</t>
        </is>
      </c>
      <c r="G427" s="2" t="inlineStr">
        <is>
          <t>626</t>
        </is>
      </c>
      <c r="H427">
        <f>IFERROR(VLOOKUP(G427&amp;"",PLANO!A:B,2,FALSE),"CONTA NAO EXISTE NO PLANO")</f>
        <v/>
      </c>
      <c r="I427" t="inlineStr">
        <is>
          <t>626</t>
        </is>
      </c>
      <c r="J427" t="inlineStr">
        <is>
          <t>SEM COSMOS</t>
        </is>
      </c>
      <c r="K427" t="inlineStr"/>
      <c r="L427" t="inlineStr"/>
      <c r="M427" t="inlineStr">
        <is>
          <t>TAR PIX PGTO TRANSF</t>
        </is>
      </c>
    </row>
    <row r="428">
      <c r="A428" t="n">
        <v>427</v>
      </c>
      <c r="B428" t="inlineStr">
        <is>
          <t>04/03/2026</t>
        </is>
      </c>
      <c r="C428" t="inlineStr">
        <is>
          <t>REF. A MOV TIT COB DISP 04/03S</t>
        </is>
      </c>
      <c r="D428" s="7" t="n">
        <v>700</v>
      </c>
      <c r="E428" t="inlineStr">
        <is>
          <t>504</t>
        </is>
      </c>
      <c r="F428" t="inlineStr">
        <is>
          <t>CLIENTES DIVERSOS</t>
        </is>
      </c>
      <c r="G428" s="2" t="inlineStr">
        <is>
          <t>504</t>
        </is>
      </c>
      <c r="H428">
        <f>IFERROR(VLOOKUP(G428&amp;"",PLANO!A:B,2,FALSE),"CONTA NAO EXISTE NO PLANO")</f>
        <v/>
      </c>
      <c r="I428" t="inlineStr">
        <is>
          <t>504</t>
        </is>
      </c>
      <c r="J428" t="inlineStr">
        <is>
          <t>SEM COSMOS</t>
        </is>
      </c>
      <c r="K428" t="inlineStr"/>
      <c r="L428" t="inlineStr"/>
      <c r="M428" t="inlineStr">
        <is>
          <t>MOV TIT COB DISP 04/03S</t>
        </is>
      </c>
    </row>
    <row r="429">
      <c r="A429" t="n">
        <v>428</v>
      </c>
      <c r="B429" t="inlineStr">
        <is>
          <t>04/03/2026</t>
        </is>
      </c>
      <c r="C429" t="inlineStr">
        <is>
          <t>REF. A REDE MAST AT0081996543</t>
        </is>
      </c>
      <c r="D429" s="7" t="n">
        <v>1193.12</v>
      </c>
      <c r="E429" t="inlineStr">
        <is>
          <t>504</t>
        </is>
      </c>
      <c r="F429" t="inlineStr">
        <is>
          <t>CLIENTES DIVERSOS</t>
        </is>
      </c>
      <c r="G429" s="2" t="inlineStr">
        <is>
          <t>504</t>
        </is>
      </c>
      <c r="H429">
        <f>IFERROR(VLOOKUP(G429&amp;"",PLANO!A:B,2,FALSE),"CONTA NAO EXISTE NO PLANO")</f>
        <v/>
      </c>
      <c r="I429" t="inlineStr">
        <is>
          <t>504</t>
        </is>
      </c>
      <c r="J429" t="inlineStr">
        <is>
          <t>SEM COSMOS</t>
        </is>
      </c>
      <c r="K429" t="inlineStr"/>
      <c r="L429" t="inlineStr"/>
      <c r="M429" t="inlineStr">
        <is>
          <t>REDE MAST AT0081996543</t>
        </is>
      </c>
    </row>
    <row r="430">
      <c r="A430" t="n">
        <v>429</v>
      </c>
      <c r="B430" t="inlineStr">
        <is>
          <t>04/03/2026</t>
        </is>
      </c>
      <c r="C430" t="inlineStr">
        <is>
          <t>REF. A REDE VISA AT0081996543</t>
        </is>
      </c>
      <c r="D430" s="7" t="n">
        <v>1515.66</v>
      </c>
      <c r="E430" t="inlineStr">
        <is>
          <t>504</t>
        </is>
      </c>
      <c r="F430" t="inlineStr">
        <is>
          <t>CLIENTES DIVERSOS</t>
        </is>
      </c>
      <c r="G430" s="2" t="inlineStr">
        <is>
          <t>504</t>
        </is>
      </c>
      <c r="H430">
        <f>IFERROR(VLOOKUP(G430&amp;"",PLANO!A:B,2,FALSE),"CONTA NAO EXISTE NO PLANO")</f>
        <v/>
      </c>
      <c r="I430" t="inlineStr">
        <is>
          <t>504</t>
        </is>
      </c>
      <c r="J430" t="inlineStr">
        <is>
          <t>SEM COSMOS</t>
        </is>
      </c>
      <c r="K430" t="inlineStr"/>
      <c r="L430" t="inlineStr"/>
      <c r="M430" t="inlineStr">
        <is>
          <t>REDE VISA AT0081996543</t>
        </is>
      </c>
    </row>
    <row r="431">
      <c r="A431" t="n">
        <v>430</v>
      </c>
      <c r="B431" t="inlineStr">
        <is>
          <t>04/03/2026</t>
        </is>
      </c>
      <c r="C431" t="inlineStr">
        <is>
          <t>REF. A PIX TRANSF MARTINS04/03</t>
        </is>
      </c>
      <c r="D431" s="7" t="n">
        <v>0.01</v>
      </c>
      <c r="E431" t="inlineStr">
        <is>
          <t>504</t>
        </is>
      </c>
      <c r="F431" t="inlineStr">
        <is>
          <t>CLIENTES DIVERSOS</t>
        </is>
      </c>
      <c r="G431" s="2" t="inlineStr">
        <is>
          <t>504</t>
        </is>
      </c>
      <c r="H431">
        <f>IFERROR(VLOOKUP(G431&amp;"",PLANO!A:B,2,FALSE),"CONTA NAO EXISTE NO PLANO")</f>
        <v/>
      </c>
      <c r="I431" t="inlineStr">
        <is>
          <t>504</t>
        </is>
      </c>
      <c r="J431" t="inlineStr">
        <is>
          <t>SEM COSMOS</t>
        </is>
      </c>
      <c r="K431" t="inlineStr"/>
      <c r="L431" t="inlineStr"/>
      <c r="M431" t="inlineStr">
        <is>
          <t>PIX TRANSF MARTINS04/03</t>
        </is>
      </c>
    </row>
    <row r="432">
      <c r="A432" t="n">
        <v>431</v>
      </c>
      <c r="B432" t="inlineStr">
        <is>
          <t>04/03/2026</t>
        </is>
      </c>
      <c r="C432" t="inlineStr">
        <is>
          <t>REF. A TED 363.0001.RNX F M D R</t>
        </is>
      </c>
      <c r="D432" s="7" t="n">
        <v>2554.16</v>
      </c>
      <c r="E432" t="inlineStr">
        <is>
          <t>504</t>
        </is>
      </c>
      <c r="F432" t="inlineStr">
        <is>
          <t>CLIENTES DIVERSOS</t>
        </is>
      </c>
      <c r="G432" s="2" t="inlineStr">
        <is>
          <t>504</t>
        </is>
      </c>
      <c r="H432">
        <f>IFERROR(VLOOKUP(G432&amp;"",PLANO!A:B,2,FALSE),"CONTA NAO EXISTE NO PLANO")</f>
        <v/>
      </c>
      <c r="I432" t="inlineStr">
        <is>
          <t>504</t>
        </is>
      </c>
      <c r="J432" t="inlineStr">
        <is>
          <t>SEM COSMOS</t>
        </is>
      </c>
      <c r="K432" t="inlineStr"/>
      <c r="L432" t="inlineStr"/>
      <c r="M432" t="inlineStr">
        <is>
          <t>TED 363.0001.RNX F M D R</t>
        </is>
      </c>
    </row>
    <row r="433">
      <c r="A433" t="n">
        <v>432</v>
      </c>
      <c r="B433" t="inlineStr">
        <is>
          <t>04/03/2026</t>
        </is>
      </c>
      <c r="C433" t="inlineStr">
        <is>
          <t>PIX ENVIADO ALINE DA SIL</t>
        </is>
      </c>
      <c r="D433" s="7" t="n">
        <v>-6436</v>
      </c>
      <c r="E433" t="inlineStr">
        <is>
          <t>506</t>
        </is>
      </c>
      <c r="F433" t="inlineStr">
        <is>
          <t>FORNECEDORES DIVERSOS</t>
        </is>
      </c>
      <c r="G433" s="2" t="inlineStr">
        <is>
          <t>506</t>
        </is>
      </c>
      <c r="H433">
        <f>IFERROR(VLOOKUP(G433&amp;"",PLANO!A:B,2,FALSE),"CONTA NAO EXISTE NO PLANO")</f>
        <v/>
      </c>
      <c r="I433" t="inlineStr">
        <is>
          <t>506</t>
        </is>
      </c>
      <c r="J433" t="inlineStr">
        <is>
          <t>SEM COSMOS</t>
        </is>
      </c>
      <c r="K433" t="inlineStr"/>
      <c r="L433" t="inlineStr"/>
      <c r="M433" t="inlineStr">
        <is>
          <t>PIX ENVIADO ALINE DA SIL</t>
        </is>
      </c>
    </row>
    <row r="434">
      <c r="A434" t="n">
        <v>433</v>
      </c>
      <c r="B434" t="inlineStr">
        <is>
          <t>04/03/2026</t>
        </is>
      </c>
      <c r="C434" t="inlineStr">
        <is>
          <t>REF. A PIX ENVIADO RODONAVES TR</t>
        </is>
      </c>
      <c r="D434" s="7" t="n">
        <v>-151.59</v>
      </c>
      <c r="E434" t="inlineStr">
        <is>
          <t>312</t>
        </is>
      </c>
      <c r="F434" t="inlineStr">
        <is>
          <t>FRETES E CARRETOS</t>
        </is>
      </c>
      <c r="G434" s="2" t="inlineStr">
        <is>
          <t>312</t>
        </is>
      </c>
      <c r="H434">
        <f>IFERROR(VLOOKUP(G434&amp;"",PLANO!A:B,2,FALSE),"CONTA NAO EXISTE NO PLANO")</f>
        <v/>
      </c>
      <c r="I434" t="inlineStr">
        <is>
          <t>312</t>
        </is>
      </c>
      <c r="J434" t="inlineStr">
        <is>
          <t>SEM COSMOS</t>
        </is>
      </c>
      <c r="K434" t="inlineStr"/>
      <c r="L434" t="inlineStr"/>
      <c r="M434" t="inlineStr">
        <is>
          <t>PIX ENVIADO RODONAVES TR</t>
        </is>
      </c>
    </row>
    <row r="435">
      <c r="A435" s="4" t="n">
        <v>434</v>
      </c>
      <c r="B435" s="4" t="inlineStr">
        <is>
          <t>04/03/2026</t>
        </is>
      </c>
      <c r="C435" s="4" t="inlineStr">
        <is>
          <t>REF. A PIX ENVIADO GULA COSMETI</t>
        </is>
      </c>
      <c r="D435" s="5" t="n">
        <v>-6000</v>
      </c>
      <c r="E435" s="4" t="inlineStr">
        <is>
          <t>506</t>
        </is>
      </c>
      <c r="F435" s="4" t="inlineStr">
        <is>
          <t>FORNECEDORES DIVERSOS</t>
        </is>
      </c>
      <c r="G435" s="6" t="inlineStr">
        <is>
          <t>366</t>
        </is>
      </c>
      <c r="H435" s="4">
        <f>IFERROR(VLOOKUP(G435&amp;"",PLANO!A:B,2,FALSE),"CONTA NAO EXISTE NO PLANO")</f>
        <v/>
      </c>
      <c r="I435" s="4" t="inlineStr">
        <is>
          <t>672</t>
        </is>
      </c>
      <c r="J435" s="4" t="inlineStr">
        <is>
          <t>AJUSTADO</t>
        </is>
      </c>
      <c r="K435" s="4" t="inlineStr">
        <is>
          <t>GULA/FIQUE BEM (mesmo CNPJ, empresa do grupo) - mutuo em EMPRESTIMOS A TERCEIROS (366); nao e fornecedor</t>
        </is>
      </c>
      <c r="L435" s="4" t="inlineStr"/>
      <c r="M435" s="4" t="inlineStr">
        <is>
          <t>PIX ENVIADO GULA COSMETI</t>
        </is>
      </c>
    </row>
    <row r="436">
      <c r="A436" t="n">
        <v>435</v>
      </c>
      <c r="B436" t="inlineStr">
        <is>
          <t>04/03/2026</t>
        </is>
      </c>
      <c r="C436" t="inlineStr">
        <is>
          <t>REF. A BOLETO PAGO ART S ESSENC</t>
        </is>
      </c>
      <c r="D436" s="7" t="n">
        <v>-710.1</v>
      </c>
      <c r="E436" t="inlineStr">
        <is>
          <t>506</t>
        </is>
      </c>
      <c r="F436" t="inlineStr">
        <is>
          <t>FORNECEDORES DIVERSOS</t>
        </is>
      </c>
      <c r="G436" s="2" t="inlineStr">
        <is>
          <t>506</t>
        </is>
      </c>
      <c r="H436">
        <f>IFERROR(VLOOKUP(G436&amp;"",PLANO!A:B,2,FALSE),"CONTA NAO EXISTE NO PLANO")</f>
        <v/>
      </c>
      <c r="I436" t="inlineStr">
        <is>
          <t>506</t>
        </is>
      </c>
      <c r="J436" t="inlineStr">
        <is>
          <t>SEM COSMOS</t>
        </is>
      </c>
      <c r="K436" t="inlineStr"/>
      <c r="L436" t="inlineStr"/>
      <c r="M436" t="inlineStr">
        <is>
          <t>BOLETO PAGO ART S ESSENC</t>
        </is>
      </c>
    </row>
    <row r="437">
      <c r="A437" t="n">
        <v>436</v>
      </c>
      <c r="B437" t="inlineStr">
        <is>
          <t>04/03/2026</t>
        </is>
      </c>
      <c r="C437" t="inlineStr">
        <is>
          <t>BOLETO PAGO EXPRESSO SAO</t>
        </is>
      </c>
      <c r="D437" s="7" t="n">
        <v>-138.55</v>
      </c>
      <c r="E437" t="inlineStr">
        <is>
          <t>312</t>
        </is>
      </c>
      <c r="F437" t="inlineStr">
        <is>
          <t>FRETES E CARRETOS</t>
        </is>
      </c>
      <c r="G437" s="2" t="inlineStr">
        <is>
          <t>312</t>
        </is>
      </c>
      <c r="H437">
        <f>IFERROR(VLOOKUP(G437&amp;"",PLANO!A:B,2,FALSE),"CONTA NAO EXISTE NO PLANO")</f>
        <v/>
      </c>
      <c r="I437" t="inlineStr">
        <is>
          <t>312</t>
        </is>
      </c>
      <c r="J437" t="inlineStr">
        <is>
          <t>SEM COSMOS</t>
        </is>
      </c>
      <c r="K437" t="inlineStr"/>
      <c r="L437" t="inlineStr"/>
      <c r="M437" t="inlineStr">
        <is>
          <t>BOLETO PAGO EXPRESSO SAO</t>
        </is>
      </c>
    </row>
    <row r="438">
      <c r="A438" t="n">
        <v>437</v>
      </c>
      <c r="B438" t="inlineStr">
        <is>
          <t>04/03/2026</t>
        </is>
      </c>
      <c r="C438" t="inlineStr">
        <is>
          <t>REF. A BOLETO PAGO QUIMIFORMULA</t>
        </is>
      </c>
      <c r="D438" s="7" t="n">
        <v>-907.54</v>
      </c>
      <c r="E438" t="inlineStr">
        <is>
          <t>506</t>
        </is>
      </c>
      <c r="F438" t="inlineStr">
        <is>
          <t>FORNECEDORES DIVERSOS</t>
        </is>
      </c>
      <c r="G438" s="2" t="inlineStr">
        <is>
          <t>506</t>
        </is>
      </c>
      <c r="H438">
        <f>IFERROR(VLOOKUP(G438&amp;"",PLANO!A:B,2,FALSE),"CONTA NAO EXISTE NO PLANO")</f>
        <v/>
      </c>
      <c r="I438" t="inlineStr">
        <is>
          <t>506</t>
        </is>
      </c>
      <c r="J438" t="inlineStr">
        <is>
          <t>SEM COSMOS</t>
        </is>
      </c>
      <c r="K438" t="inlineStr"/>
      <c r="L438" t="inlineStr"/>
      <c r="M438" t="inlineStr">
        <is>
          <t>BOLETO PAGO QUIMIFORMULA</t>
        </is>
      </c>
    </row>
    <row r="439">
      <c r="A439" t="n">
        <v>438</v>
      </c>
      <c r="B439" t="inlineStr">
        <is>
          <t>04/03/2026</t>
        </is>
      </c>
      <c r="C439" t="inlineStr">
        <is>
          <t>REF. A BOLETO PAGO SUPER BRILHO</t>
        </is>
      </c>
      <c r="D439" s="7" t="n">
        <v>-623.65</v>
      </c>
      <c r="E439" t="inlineStr">
        <is>
          <t>506</t>
        </is>
      </c>
      <c r="F439" t="inlineStr">
        <is>
          <t>FORNECEDORES DIVERSOS</t>
        </is>
      </c>
      <c r="G439" s="2" t="inlineStr">
        <is>
          <t>506</t>
        </is>
      </c>
      <c r="H439">
        <f>IFERROR(VLOOKUP(G439&amp;"",PLANO!A:B,2,FALSE),"CONTA NAO EXISTE NO PLANO")</f>
        <v/>
      </c>
      <c r="I439" t="inlineStr">
        <is>
          <t>506</t>
        </is>
      </c>
      <c r="J439" t="inlineStr">
        <is>
          <t>SEM COSMOS</t>
        </is>
      </c>
      <c r="K439" t="inlineStr"/>
      <c r="L439" t="inlineStr"/>
      <c r="M439" t="inlineStr">
        <is>
          <t>BOLETO PAGO SUPER BRILHO</t>
        </is>
      </c>
    </row>
    <row r="440">
      <c r="A440" t="n">
        <v>439</v>
      </c>
      <c r="B440" t="inlineStr">
        <is>
          <t>04/03/2026</t>
        </is>
      </c>
      <c r="C440" t="inlineStr">
        <is>
          <t>REF. A BOLETO PAGO 60512435 ALT</t>
        </is>
      </c>
      <c r="D440" s="7" t="n">
        <v>-520</v>
      </c>
      <c r="E440" t="inlineStr">
        <is>
          <t>506</t>
        </is>
      </c>
      <c r="F440" t="inlineStr">
        <is>
          <t>FORNECEDORES DIVERSOS</t>
        </is>
      </c>
      <c r="G440" s="2" t="inlineStr">
        <is>
          <t>506</t>
        </is>
      </c>
      <c r="H440">
        <f>IFERROR(VLOOKUP(G440&amp;"",PLANO!A:B,2,FALSE),"CONTA NAO EXISTE NO PLANO")</f>
        <v/>
      </c>
      <c r="I440" t="inlineStr">
        <is>
          <t>506</t>
        </is>
      </c>
      <c r="J440" t="inlineStr">
        <is>
          <t>SEM COSMOS</t>
        </is>
      </c>
      <c r="K440" t="inlineStr"/>
      <c r="L440" t="inlineStr"/>
      <c r="M440" t="inlineStr">
        <is>
          <t>BOLETO PAGO 60512435 ALT</t>
        </is>
      </c>
    </row>
    <row r="441">
      <c r="A441" t="n">
        <v>440</v>
      </c>
      <c r="B441" t="inlineStr">
        <is>
          <t>05/03/2026</t>
        </is>
      </c>
      <c r="C441" t="inlineStr">
        <is>
          <t>REF. A MOV TIT COB DISP 05/03S</t>
        </is>
      </c>
      <c r="D441" s="7" t="n">
        <v>1016.17</v>
      </c>
      <c r="E441" t="inlineStr">
        <is>
          <t>504</t>
        </is>
      </c>
      <c r="F441" t="inlineStr">
        <is>
          <t>CLIENTES DIVERSOS</t>
        </is>
      </c>
      <c r="G441" s="2" t="inlineStr">
        <is>
          <t>504</t>
        </is>
      </c>
      <c r="H441">
        <f>IFERROR(VLOOKUP(G441&amp;"",PLANO!A:B,2,FALSE),"CONTA NAO EXISTE NO PLANO")</f>
        <v/>
      </c>
      <c r="I441" t="inlineStr">
        <is>
          <t>504</t>
        </is>
      </c>
      <c r="J441" t="inlineStr">
        <is>
          <t>SEM COSMOS</t>
        </is>
      </c>
      <c r="K441" t="inlineStr"/>
      <c r="L441" t="inlineStr"/>
      <c r="M441" t="inlineStr">
        <is>
          <t>MOV TIT COB DISP 05/03S</t>
        </is>
      </c>
    </row>
    <row r="442">
      <c r="A442" t="n">
        <v>441</v>
      </c>
      <c r="B442" t="inlineStr">
        <is>
          <t>05/03/2026</t>
        </is>
      </c>
      <c r="C442" t="inlineStr">
        <is>
          <t>REF. A TED 363.0001.RNX F M D R</t>
        </is>
      </c>
      <c r="D442" s="7" t="n">
        <v>12373.57</v>
      </c>
      <c r="E442" t="inlineStr">
        <is>
          <t>504</t>
        </is>
      </c>
      <c r="F442" t="inlineStr">
        <is>
          <t>CLIENTES DIVERSOS</t>
        </is>
      </c>
      <c r="G442" s="2" t="inlineStr">
        <is>
          <t>504</t>
        </is>
      </c>
      <c r="H442">
        <f>IFERROR(VLOOKUP(G442&amp;"",PLANO!A:B,2,FALSE),"CONTA NAO EXISTE NO PLANO")</f>
        <v/>
      </c>
      <c r="I442" t="inlineStr">
        <is>
          <t>504</t>
        </is>
      </c>
      <c r="J442" t="inlineStr">
        <is>
          <t>SEM COSMOS</t>
        </is>
      </c>
      <c r="K442" t="inlineStr"/>
      <c r="L442" t="inlineStr"/>
      <c r="M442" t="inlineStr">
        <is>
          <t>TED 363.0001.RNX F M D R</t>
        </is>
      </c>
    </row>
    <row r="443">
      <c r="A443" t="n">
        <v>442</v>
      </c>
      <c r="B443" t="inlineStr">
        <is>
          <t>05/03/2026</t>
        </is>
      </c>
      <c r="C443" t="inlineStr">
        <is>
          <t>REF. A BOLETO PAGO C PACK CREAT</t>
        </is>
      </c>
      <c r="D443" s="7" t="n">
        <v>-3441.58</v>
      </c>
      <c r="E443" t="inlineStr">
        <is>
          <t>506</t>
        </is>
      </c>
      <c r="F443" t="inlineStr">
        <is>
          <t>FORNECEDORES DIVERSOS</t>
        </is>
      </c>
      <c r="G443" s="2" t="inlineStr">
        <is>
          <t>506</t>
        </is>
      </c>
      <c r="H443">
        <f>IFERROR(VLOOKUP(G443&amp;"",PLANO!A:B,2,FALSE),"CONTA NAO EXISTE NO PLANO")</f>
        <v/>
      </c>
      <c r="I443" t="inlineStr">
        <is>
          <t>506</t>
        </is>
      </c>
      <c r="J443" t="inlineStr">
        <is>
          <t>SEM COSMOS</t>
        </is>
      </c>
      <c r="K443" t="inlineStr"/>
      <c r="L443" t="inlineStr"/>
      <c r="M443" t="inlineStr">
        <is>
          <t>BOLETO PAGO C PACK CREAT</t>
        </is>
      </c>
    </row>
    <row r="444">
      <c r="A444" t="n">
        <v>443</v>
      </c>
      <c r="B444" t="inlineStr">
        <is>
          <t>05/03/2026</t>
        </is>
      </c>
      <c r="C444" t="inlineStr">
        <is>
          <t>REF. A BOLETO PAGO AGENCIA NACI</t>
        </is>
      </c>
      <c r="D444" s="7" t="n">
        <v>-175.72</v>
      </c>
      <c r="E444" t="inlineStr">
        <is>
          <t>350</t>
        </is>
      </c>
      <c r="F444" t="inlineStr">
        <is>
          <t>TAXAS DIVERSAS</t>
        </is>
      </c>
      <c r="G444" s="2" t="inlineStr">
        <is>
          <t>350</t>
        </is>
      </c>
      <c r="H444">
        <f>IFERROR(VLOOKUP(G444&amp;"",PLANO!A:B,2,FALSE),"CONTA NAO EXISTE NO PLANO")</f>
        <v/>
      </c>
      <c r="I444" t="inlineStr">
        <is>
          <t>350</t>
        </is>
      </c>
      <c r="J444" t="inlineStr">
        <is>
          <t>SEM COSMOS</t>
        </is>
      </c>
      <c r="K444" t="inlineStr"/>
      <c r="L444" t="inlineStr"/>
      <c r="M444" t="inlineStr">
        <is>
          <t>BOLETO PAGO AGENCIA NACI</t>
        </is>
      </c>
    </row>
    <row r="445">
      <c r="A445" t="n">
        <v>444</v>
      </c>
      <c r="B445" t="inlineStr">
        <is>
          <t>05/03/2026</t>
        </is>
      </c>
      <c r="C445" t="inlineStr">
        <is>
          <t>BOLETO PAGO ANDRADE ENGE</t>
        </is>
      </c>
      <c r="D445" s="7" t="n">
        <v>-1124.56</v>
      </c>
      <c r="E445" t="inlineStr">
        <is>
          <t>362</t>
        </is>
      </c>
      <c r="F445" t="inlineStr">
        <is>
          <t>SERVIÇOS PRESTADOS POR TERCEIROS</t>
        </is>
      </c>
      <c r="G445" s="2" t="inlineStr">
        <is>
          <t>362</t>
        </is>
      </c>
      <c r="H445">
        <f>IFERROR(VLOOKUP(G445&amp;"",PLANO!A:B,2,FALSE),"CONTA NAO EXISTE NO PLANO")</f>
        <v/>
      </c>
      <c r="I445" t="inlineStr">
        <is>
          <t>362</t>
        </is>
      </c>
      <c r="J445" t="inlineStr">
        <is>
          <t>SEM COSMOS</t>
        </is>
      </c>
      <c r="K445" t="inlineStr"/>
      <c r="L445" t="inlineStr"/>
      <c r="M445" t="inlineStr">
        <is>
          <t>BOLETO PAGO ANDRADE ENGE</t>
        </is>
      </c>
    </row>
    <row r="446">
      <c r="A446" t="n">
        <v>445</v>
      </c>
      <c r="B446" t="inlineStr">
        <is>
          <t>05/03/2026</t>
        </is>
      </c>
      <c r="C446" t="inlineStr">
        <is>
          <t>REF. A BOLETO PAGO YAHWEH PRINT</t>
        </is>
      </c>
      <c r="D446" s="7" t="n">
        <v>-1130.25</v>
      </c>
      <c r="E446" t="inlineStr">
        <is>
          <t>506</t>
        </is>
      </c>
      <c r="F446" t="inlineStr">
        <is>
          <t>FORNECEDORES DIVERSOS</t>
        </is>
      </c>
      <c r="G446" s="2" t="inlineStr">
        <is>
          <t>506</t>
        </is>
      </c>
      <c r="H446">
        <f>IFERROR(VLOOKUP(G446&amp;"",PLANO!A:B,2,FALSE),"CONTA NAO EXISTE NO PLANO")</f>
        <v/>
      </c>
      <c r="I446" t="inlineStr">
        <is>
          <t>506</t>
        </is>
      </c>
      <c r="J446" t="inlineStr">
        <is>
          <t>SEM COSMOS</t>
        </is>
      </c>
      <c r="K446" t="inlineStr"/>
      <c r="L446" t="inlineStr"/>
      <c r="M446" t="inlineStr">
        <is>
          <t>BOLETO PAGO YAHWEH PRINT</t>
        </is>
      </c>
    </row>
    <row r="447">
      <c r="A447" t="n">
        <v>446</v>
      </c>
      <c r="B447" t="inlineStr">
        <is>
          <t>05/03/2026</t>
        </is>
      </c>
      <c r="C447" t="inlineStr">
        <is>
          <t>REF. A JUROS LIMITE DA CONTA</t>
        </is>
      </c>
      <c r="D447" s="7" t="n">
        <v>-5805.09</v>
      </c>
      <c r="E447" t="inlineStr">
        <is>
          <t>375</t>
        </is>
      </c>
      <c r="F447" t="inlineStr">
        <is>
          <t>JUROS SOBRE EMPRÉSTIMOS E FINANCIAMENTOS</t>
        </is>
      </c>
      <c r="G447" s="2" t="inlineStr">
        <is>
          <t>375</t>
        </is>
      </c>
      <c r="H447">
        <f>IFERROR(VLOOKUP(G447&amp;"",PLANO!A:B,2,FALSE),"CONTA NAO EXISTE NO PLANO")</f>
        <v/>
      </c>
      <c r="I447" t="inlineStr">
        <is>
          <t>375</t>
        </is>
      </c>
      <c r="J447" t="inlineStr">
        <is>
          <t>SEM COSMOS</t>
        </is>
      </c>
      <c r="K447" t="inlineStr"/>
      <c r="L447" t="inlineStr"/>
      <c r="M447" t="inlineStr">
        <is>
          <t>JUROS LIMITE DA CONTA</t>
        </is>
      </c>
    </row>
    <row r="448">
      <c r="A448" t="n">
        <v>447</v>
      </c>
      <c r="B448" t="inlineStr">
        <is>
          <t>06/03/2026</t>
        </is>
      </c>
      <c r="C448" t="inlineStr">
        <is>
          <t>REF. A MOV TIT COB DISP 06/03S</t>
        </is>
      </c>
      <c r="D448" s="7" t="n">
        <v>588.6799999999999</v>
      </c>
      <c r="E448" t="inlineStr">
        <is>
          <t>504</t>
        </is>
      </c>
      <c r="F448" t="inlineStr">
        <is>
          <t>CLIENTES DIVERSOS</t>
        </is>
      </c>
      <c r="G448" s="2" t="inlineStr">
        <is>
          <t>504</t>
        </is>
      </c>
      <c r="H448">
        <f>IFERROR(VLOOKUP(G448&amp;"",PLANO!A:B,2,FALSE),"CONTA NAO EXISTE NO PLANO")</f>
        <v/>
      </c>
      <c r="I448" t="inlineStr">
        <is>
          <t>504</t>
        </is>
      </c>
      <c r="J448" t="inlineStr">
        <is>
          <t>SEM COSMOS</t>
        </is>
      </c>
      <c r="K448" t="inlineStr"/>
      <c r="L448" t="inlineStr"/>
      <c r="M448" t="inlineStr">
        <is>
          <t>MOV TIT COB DISP 06/03S</t>
        </is>
      </c>
    </row>
    <row r="449">
      <c r="A449" t="n">
        <v>448</v>
      </c>
      <c r="B449" t="inlineStr">
        <is>
          <t>06/03/2026</t>
        </is>
      </c>
      <c r="C449" t="inlineStr">
        <is>
          <t>REF. A BOLETO PAGO SUMMIT COSME</t>
        </is>
      </c>
      <c r="D449" s="7" t="n">
        <v>-408.22</v>
      </c>
      <c r="E449" t="inlineStr">
        <is>
          <t>506</t>
        </is>
      </c>
      <c r="F449" t="inlineStr">
        <is>
          <t>FORNECEDORES DIVERSOS</t>
        </is>
      </c>
      <c r="G449" s="2" t="inlineStr">
        <is>
          <t>506</t>
        </is>
      </c>
      <c r="H449">
        <f>IFERROR(VLOOKUP(G449&amp;"",PLANO!A:B,2,FALSE),"CONTA NAO EXISTE NO PLANO")</f>
        <v/>
      </c>
      <c r="I449" t="inlineStr">
        <is>
          <t>506</t>
        </is>
      </c>
      <c r="J449" t="inlineStr">
        <is>
          <t>SEM COSMOS</t>
        </is>
      </c>
      <c r="K449" t="inlineStr"/>
      <c r="L449" t="inlineStr"/>
      <c r="M449" t="inlineStr">
        <is>
          <t>BOLETO PAGO SUMMIT COSME</t>
        </is>
      </c>
    </row>
    <row r="450">
      <c r="A450" t="n">
        <v>449</v>
      </c>
      <c r="B450" t="inlineStr">
        <is>
          <t>06/03/2026</t>
        </is>
      </c>
      <c r="C450" t="inlineStr">
        <is>
          <t>REF. A BOLETO PAGO URBANO SA SO</t>
        </is>
      </c>
      <c r="D450" s="7" t="n">
        <v>-401.3</v>
      </c>
      <c r="E450" t="inlineStr">
        <is>
          <t>350</t>
        </is>
      </c>
      <c r="F450" t="inlineStr">
        <is>
          <t>TAXAS DIVERSAS</t>
        </is>
      </c>
      <c r="G450" s="2" t="inlineStr">
        <is>
          <t>350</t>
        </is>
      </c>
      <c r="H450">
        <f>IFERROR(VLOOKUP(G450&amp;"",PLANO!A:B,2,FALSE),"CONTA NAO EXISTE NO PLANO")</f>
        <v/>
      </c>
      <c r="I450" t="inlineStr">
        <is>
          <t>350</t>
        </is>
      </c>
      <c r="J450" t="inlineStr">
        <is>
          <t>SEM COSMOS</t>
        </is>
      </c>
      <c r="K450" t="inlineStr"/>
      <c r="L450" t="inlineStr"/>
      <c r="M450" t="inlineStr">
        <is>
          <t>BOLETO PAGO URBANO SA SO</t>
        </is>
      </c>
    </row>
    <row r="451">
      <c r="A451" t="n">
        <v>450</v>
      </c>
      <c r="B451" t="inlineStr">
        <is>
          <t>06/03/2026</t>
        </is>
      </c>
      <c r="C451" t="inlineStr">
        <is>
          <t>REF. A BOLETO PAGO M GRINGS E C</t>
        </is>
      </c>
      <c r="D451" s="7" t="n">
        <v>-1063</v>
      </c>
      <c r="E451" t="inlineStr">
        <is>
          <t>506</t>
        </is>
      </c>
      <c r="F451" t="inlineStr">
        <is>
          <t>FORNECEDORES DIVERSOS</t>
        </is>
      </c>
      <c r="G451" s="2" t="inlineStr">
        <is>
          <t>506</t>
        </is>
      </c>
      <c r="H451">
        <f>IFERROR(VLOOKUP(G451&amp;"",PLANO!A:B,2,FALSE),"CONTA NAO EXISTE NO PLANO")</f>
        <v/>
      </c>
      <c r="I451" t="inlineStr">
        <is>
          <t>506</t>
        </is>
      </c>
      <c r="J451" t="inlineStr">
        <is>
          <t>SEM COSMOS</t>
        </is>
      </c>
      <c r="K451" t="inlineStr"/>
      <c r="L451" t="inlineStr"/>
      <c r="M451" t="inlineStr">
        <is>
          <t>BOLETO PAGO M GRINGS E C</t>
        </is>
      </c>
    </row>
    <row r="452">
      <c r="A452" t="n">
        <v>451</v>
      </c>
      <c r="B452" t="inlineStr">
        <is>
          <t>06/03/2026</t>
        </is>
      </c>
      <c r="C452" t="inlineStr">
        <is>
          <t>REF. A BOLETO PAGO NEOSENSE FRA</t>
        </is>
      </c>
      <c r="D452" s="7" t="n">
        <v>-1027.96</v>
      </c>
      <c r="E452" t="inlineStr">
        <is>
          <t>506</t>
        </is>
      </c>
      <c r="F452" t="inlineStr">
        <is>
          <t>FORNECEDORES DIVERSOS</t>
        </is>
      </c>
      <c r="G452" s="2" t="inlineStr">
        <is>
          <t>506</t>
        </is>
      </c>
      <c r="H452">
        <f>IFERROR(VLOOKUP(G452&amp;"",PLANO!A:B,2,FALSE),"CONTA NAO EXISTE NO PLANO")</f>
        <v/>
      </c>
      <c r="I452" t="inlineStr">
        <is>
          <t>506</t>
        </is>
      </c>
      <c r="J452" t="inlineStr">
        <is>
          <t>SEM COSMOS</t>
        </is>
      </c>
      <c r="K452" t="inlineStr"/>
      <c r="L452" t="inlineStr"/>
      <c r="M452" t="inlineStr">
        <is>
          <t>BOLETO PAGO NEOSENSE FRA</t>
        </is>
      </c>
    </row>
    <row r="453">
      <c r="A453" s="4" t="n">
        <v>452</v>
      </c>
      <c r="B453" s="4" t="inlineStr">
        <is>
          <t>09/03/2026</t>
        </is>
      </c>
      <c r="C453" s="4" t="inlineStr">
        <is>
          <t>REF. A SISPAG COSMETICON COMER (OUTRAS ENTRADAS)</t>
        </is>
      </c>
      <c r="D453" s="5" t="n">
        <v>22000</v>
      </c>
      <c r="E453" s="4" t="inlineStr">
        <is>
          <t>663</t>
        </is>
      </c>
      <c r="F453" s="4" t="inlineStr">
        <is>
          <t>EMPRESTIMO COSMETICON COMERCIO (31.494.732/0001-09)</t>
        </is>
      </c>
      <c r="G453" s="6" t="inlineStr">
        <is>
          <t>663</t>
        </is>
      </c>
      <c r="H453" s="4">
        <f>IFERROR(VLOOKUP(G453&amp;"",PLANO!A:B,2,FALSE),"CONTA NAO EXISTE NO PLANO")</f>
        <v/>
      </c>
      <c r="I453" s="4" t="inlineStr">
        <is>
          <t>663</t>
        </is>
      </c>
      <c r="J453" s="4" t="inlineStr">
        <is>
          <t>AJUSTADO</t>
        </is>
      </c>
      <c r="K453" s="4" t="inlineStr">
        <is>
          <t>COSMETICON - conta-corrente unica de mutuo (663)</t>
        </is>
      </c>
      <c r="L453" s="4" t="inlineStr">
        <is>
          <t xml:space="preserve">OUTRAS ENTRADAS | 122/71 | </t>
        </is>
      </c>
      <c r="M453" s="4" t="inlineStr">
        <is>
          <t>SISPAG COSMETICON COMER (OUTRAS ENTRADAS)</t>
        </is>
      </c>
    </row>
    <row r="454">
      <c r="A454" t="n">
        <v>453</v>
      </c>
      <c r="B454" t="inlineStr">
        <is>
          <t>09/03/2026</t>
        </is>
      </c>
      <c r="C454" t="inlineStr">
        <is>
          <t>REF. A MOV TIT COB DISP 09/03S</t>
        </is>
      </c>
      <c r="D454" s="7" t="n">
        <v>2913.36</v>
      </c>
      <c r="E454" t="inlineStr">
        <is>
          <t>504</t>
        </is>
      </c>
      <c r="F454" t="inlineStr">
        <is>
          <t>CLIENTES DIVERSOS</t>
        </is>
      </c>
      <c r="G454" s="2" t="inlineStr">
        <is>
          <t>504</t>
        </is>
      </c>
      <c r="H454">
        <f>IFERROR(VLOOKUP(G454&amp;"",PLANO!A:B,2,FALSE),"CONTA NAO EXISTE NO PLANO")</f>
        <v/>
      </c>
      <c r="I454" t="inlineStr">
        <is>
          <t>504</t>
        </is>
      </c>
      <c r="J454" t="inlineStr">
        <is>
          <t>SEM COSMOS</t>
        </is>
      </c>
      <c r="K454" t="inlineStr"/>
      <c r="L454" t="inlineStr"/>
      <c r="M454" t="inlineStr">
        <is>
          <t>MOV TIT COB DISP 09/03S</t>
        </is>
      </c>
    </row>
    <row r="455">
      <c r="A455" t="n">
        <v>454</v>
      </c>
      <c r="B455" t="inlineStr">
        <is>
          <t>09/03/2026</t>
        </is>
      </c>
      <c r="C455" t="inlineStr">
        <is>
          <t>REF. A PIX TRANSF B CHIC 09/03</t>
        </is>
      </c>
      <c r="D455" s="7" t="n">
        <v>2000</v>
      </c>
      <c r="E455" t="inlineStr">
        <is>
          <t>504</t>
        </is>
      </c>
      <c r="F455" t="inlineStr">
        <is>
          <t>CLIENTES DIVERSOS</t>
        </is>
      </c>
      <c r="G455" s="2" t="inlineStr">
        <is>
          <t>504</t>
        </is>
      </c>
      <c r="H455">
        <f>IFERROR(VLOOKUP(G455&amp;"",PLANO!A:B,2,FALSE),"CONTA NAO EXISTE NO PLANO")</f>
        <v/>
      </c>
      <c r="I455" t="inlineStr">
        <is>
          <t>504</t>
        </is>
      </c>
      <c r="J455" t="inlineStr">
        <is>
          <t>SEM COSMOS</t>
        </is>
      </c>
      <c r="K455" t="inlineStr"/>
      <c r="L455" t="inlineStr"/>
      <c r="M455" t="inlineStr">
        <is>
          <t>PIX TRANSF B CHIC 09/03</t>
        </is>
      </c>
    </row>
    <row r="456">
      <c r="A456" s="8" t="n">
        <v>455</v>
      </c>
      <c r="B456" s="8" t="inlineStr">
        <is>
          <t>09/03/2026</t>
        </is>
      </c>
      <c r="C456" s="8" t="inlineStr">
        <is>
          <t>ALLOXY ESPECIALIDADES QUIMICAS LTDAPAGAMENTO REFERENTE A COMPRA DE MATERIA PRIMA,PEROXIDO DE HIDORGENIO, 1130KG</t>
        </is>
      </c>
      <c r="D456" s="9" t="n">
        <v>-2740.5</v>
      </c>
      <c r="E456" s="8" t="inlineStr">
        <is>
          <t>56</t>
        </is>
      </c>
      <c r="F456" s="8" t="inlineStr">
        <is>
          <t>MATÉRIA-PRIMA</t>
        </is>
      </c>
      <c r="G456" s="10" t="inlineStr">
        <is>
          <t>506</t>
        </is>
      </c>
      <c r="H456" s="8">
        <f>IFERROR(VLOOKUP(G456&amp;"",PLANO!A:B,2,FALSE),"CONTA NAO EXISTE NO PLANO")</f>
        <v/>
      </c>
      <c r="I456" s="8" t="inlineStr">
        <is>
          <t>506</t>
        </is>
      </c>
      <c r="J456" s="8" t="inlineStr">
        <is>
          <t>CORRIGIR</t>
        </is>
      </c>
      <c r="K456" s="8" t="inlineStr">
        <is>
          <t>fornecedor com NF (Cosmos: compra MP/embalagem) - pagamento deve baixar fornecedores 506</t>
        </is>
      </c>
      <c r="L456" s="8" t="inlineStr">
        <is>
          <t>ALLOXY ESPECIALIDADES QUIMICAS LTDA | 115/6 | PAGAMENTO REFERENTE A COMPRA DE MATERIA PRIMA, PEROXIDO DE HIDORGENIO, 1130KG</t>
        </is>
      </c>
      <c r="M456" s="8" t="inlineStr">
        <is>
          <t>ALLOXY ESPECIALIDADES QUIMICAS LTDA - PAGAMENTO REFERENTE A COMPRA DE MATERIA PRIMA, PEROXIDO DE HIDORGENIO, 1130KG</t>
        </is>
      </c>
    </row>
    <row r="457">
      <c r="A457" t="n">
        <v>456</v>
      </c>
      <c r="B457" t="inlineStr">
        <is>
          <t>09/03/2026</t>
        </is>
      </c>
      <c r="C457" t="inlineStr">
        <is>
          <t>C - PACK CREATIVE PACKAGING S/A PGTO REF.COMPRA DE MP</t>
        </is>
      </c>
      <c r="D457" s="7" t="n">
        <v>-2999.7</v>
      </c>
      <c r="E457" t="inlineStr">
        <is>
          <t>506</t>
        </is>
      </c>
      <c r="F457" t="inlineStr">
        <is>
          <t>FORNECEDORES DIVERSOS</t>
        </is>
      </c>
      <c r="G457" s="2" t="inlineStr">
        <is>
          <t>506</t>
        </is>
      </c>
      <c r="H457">
        <f>IFERROR(VLOOKUP(G457&amp;"",PLANO!A:B,2,FALSE),"CONTA NAO EXISTE NO PLANO")</f>
        <v/>
      </c>
      <c r="I457" t="inlineStr">
        <is>
          <t>506</t>
        </is>
      </c>
      <c r="J457" t="inlineStr">
        <is>
          <t>OK</t>
        </is>
      </c>
      <c r="K457" t="inlineStr">
        <is>
          <t>fornecedor com NF</t>
        </is>
      </c>
      <c r="L457" t="inlineStr">
        <is>
          <t>C PACK CREATIVE PACKAGING S/A | 115/9 | PGTO REF.COMPRA DE MP</t>
        </is>
      </c>
      <c r="M457" t="inlineStr">
        <is>
          <t>C PACK CREATIVE PACKAGING S/A - PGTO REF.COMPRA DE MP</t>
        </is>
      </c>
    </row>
    <row r="458">
      <c r="A458" s="11" t="n">
        <v>457</v>
      </c>
      <c r="B458" s="11" t="inlineStr">
        <is>
          <t>09/03/2026</t>
        </is>
      </c>
      <c r="C458" s="11" t="inlineStr">
        <is>
          <t>ESGOFOSSA DESENTUPIDORA LTDAPAGAMENTO REFERENTE A COLETA DE RESIDUOSINDUSTRIAIS</t>
        </is>
      </c>
      <c r="D458" s="12" t="n">
        <v>-1425</v>
      </c>
      <c r="E458" s="11" t="inlineStr">
        <is>
          <t>493</t>
        </is>
      </c>
      <c r="F458" s="11" t="inlineStr">
        <is>
          <t>DESPESAS DIVERSAS</t>
        </is>
      </c>
      <c r="G458" s="13" t="inlineStr">
        <is>
          <t>493</t>
        </is>
      </c>
      <c r="H458" s="11">
        <f>IFERROR(VLOOKUP(G458&amp;"",PLANO!A:B,2,FALSE),"CONTA NAO EXISTE NO PLANO")</f>
        <v/>
      </c>
      <c r="I458" s="11" t="inlineStr">
        <is>
          <t>493</t>
        </is>
      </c>
      <c r="J458" s="11" t="inlineStr">
        <is>
          <t>MANTIDO</t>
        </is>
      </c>
      <c r="K458" s="11" t="inlineStr">
        <is>
          <t>servicos diversos (lavanderia, dedetizacao, contabilidade, Plus Sante) | mantida a conta atual (sem informacao que justifique troca)</t>
        </is>
      </c>
      <c r="L458" s="11" t="inlineStr">
        <is>
          <t>ESGOFOSSA DESENTUPIDORA LTDA | 115/45 | PAGAMENTO REFERENTE A COLETA DE RESIDUOS INDUSTRIAIS</t>
        </is>
      </c>
      <c r="M458" s="11" t="inlineStr">
        <is>
          <t>ESGOFOSSA DESENTUPIDORA LTDA - PAGAMENTO REFERENTE A COLETA DE RESIDUOS INDUSTRIAIS</t>
        </is>
      </c>
    </row>
    <row r="459">
      <c r="A459" t="n">
        <v>458</v>
      </c>
      <c r="B459" t="inlineStr">
        <is>
          <t>09/03/2026</t>
        </is>
      </c>
      <c r="C459" t="inlineStr">
        <is>
          <t>QUIMIFORMULA COMERCIO DE PRODUTOS QUIMICOS LTDAPGTO REF. A COMPRA DE MATERIA PRIMA, DC 5KG</t>
        </is>
      </c>
      <c r="D459" s="7" t="n">
        <v>-543.24</v>
      </c>
      <c r="E459" t="inlineStr">
        <is>
          <t>506</t>
        </is>
      </c>
      <c r="F459" t="inlineStr">
        <is>
          <t>FORNECEDORES DIVERSOS</t>
        </is>
      </c>
      <c r="G459" s="2" t="inlineStr">
        <is>
          <t>506</t>
        </is>
      </c>
      <c r="H459">
        <f>IFERROR(VLOOKUP(G459&amp;"",PLANO!A:B,2,FALSE),"CONTA NAO EXISTE NO PLANO")</f>
        <v/>
      </c>
      <c r="I459" t="inlineStr">
        <is>
          <t>506</t>
        </is>
      </c>
      <c r="J459" t="inlineStr">
        <is>
          <t>OK</t>
        </is>
      </c>
      <c r="K459" t="inlineStr">
        <is>
          <t>fornecedor com NF</t>
        </is>
      </c>
      <c r="L459" t="inlineStr">
        <is>
          <t>QUIMIFORMULA COMERCIO DE PRODUTOS QUIMICOS LTDA | 115/6 | PGTO REF. A COMPRA DE MATERIA PRIMA, DC 5KG</t>
        </is>
      </c>
      <c r="M459" t="inlineStr">
        <is>
          <t>QUIMIFORMULA COMERCIO DE PRODUTOS QUIMICOS LTDA - PGTO REF. A COMPRA DE MATERIA PRIMA, DC 5KG</t>
        </is>
      </c>
    </row>
    <row r="460">
      <c r="A460" t="n">
        <v>459</v>
      </c>
      <c r="B460" t="inlineStr">
        <is>
          <t>09/03/2026</t>
        </is>
      </c>
      <c r="C460" t="inlineStr">
        <is>
          <t>GRÁFICA MALIRES LTDAPGTO REF. A COMPRA DE CARTUCHO ALL NATURE</t>
        </is>
      </c>
      <c r="D460" s="7" t="n">
        <v>-6462.33</v>
      </c>
      <c r="E460" t="inlineStr">
        <is>
          <t>506</t>
        </is>
      </c>
      <c r="F460" t="inlineStr">
        <is>
          <t>FORNECEDORES DIVERSOS</t>
        </is>
      </c>
      <c r="G460" s="2" t="inlineStr">
        <is>
          <t>506</t>
        </is>
      </c>
      <c r="H460">
        <f>IFERROR(VLOOKUP(G460&amp;"",PLANO!A:B,2,FALSE),"CONTA NAO EXISTE NO PLANO")</f>
        <v/>
      </c>
      <c r="I460" t="inlineStr">
        <is>
          <t>506</t>
        </is>
      </c>
      <c r="J460" t="inlineStr">
        <is>
          <t>OK</t>
        </is>
      </c>
      <c r="K460" t="inlineStr">
        <is>
          <t>fornecedor com NF</t>
        </is>
      </c>
      <c r="L460" t="inlineStr">
        <is>
          <t>GRÁFICA MALIRES LTDA | 115/9 | PGTO REF. A COMPRA DE CARTUCHO ALL NATURE</t>
        </is>
      </c>
      <c r="M460" t="inlineStr">
        <is>
          <t>GRÁFICA MALIRES LTDA - PGTO REF. A COMPRA DE CARTUCHO ALL NATURE</t>
        </is>
      </c>
    </row>
    <row r="461">
      <c r="A461" t="n">
        <v>460</v>
      </c>
      <c r="B461" t="inlineStr">
        <is>
          <t>09/03/2026</t>
        </is>
      </c>
      <c r="C461" t="inlineStr">
        <is>
          <t>GRÁFICA MALIRES LTDAPGTO REF. A COMPRA DE CARTUCHO ALL NATURE</t>
        </is>
      </c>
      <c r="D461" s="7" t="n">
        <v>-6404.82</v>
      </c>
      <c r="E461" t="inlineStr">
        <is>
          <t>506</t>
        </is>
      </c>
      <c r="F461" t="inlineStr">
        <is>
          <t>FORNECEDORES DIVERSOS</t>
        </is>
      </c>
      <c r="G461" s="2" t="inlineStr">
        <is>
          <t>506</t>
        </is>
      </c>
      <c r="H461">
        <f>IFERROR(VLOOKUP(G461&amp;"",PLANO!A:B,2,FALSE),"CONTA NAO EXISTE NO PLANO")</f>
        <v/>
      </c>
      <c r="I461" t="inlineStr">
        <is>
          <t>506</t>
        </is>
      </c>
      <c r="J461" t="inlineStr">
        <is>
          <t>OK</t>
        </is>
      </c>
      <c r="K461" t="inlineStr">
        <is>
          <t>fornecedor com NF</t>
        </is>
      </c>
      <c r="L461" t="inlineStr">
        <is>
          <t>GRÁFICA MALIRES LTDA | 115/9 | PGTO REF. A COMPRA DE CARTUCHO ALL NATURE</t>
        </is>
      </c>
      <c r="M461" t="inlineStr">
        <is>
          <t>GRÁFICA MALIRES LTDA - PGTO REF. A COMPRA DE CARTUCHO ALL NATURE</t>
        </is>
      </c>
    </row>
    <row r="462">
      <c r="A462" s="11" t="n">
        <v>461</v>
      </c>
      <c r="B462" s="11" t="inlineStr">
        <is>
          <t>09/03/2026</t>
        </is>
      </c>
      <c r="C462" s="11" t="inlineStr">
        <is>
          <t>CALIBRABEM LTDA PAGAMENTO REFERENTE AO SRVICO DE CALIBRAGEMBALANCA DO ENVASE</t>
        </is>
      </c>
      <c r="D462" s="12" t="n">
        <v>-887</v>
      </c>
      <c r="E462" s="11" t="inlineStr">
        <is>
          <t>493</t>
        </is>
      </c>
      <c r="F462" s="11" t="inlineStr">
        <is>
          <t>DESPESAS DIVERSAS</t>
        </is>
      </c>
      <c r="G462" s="13" t="inlineStr">
        <is>
          <t>493</t>
        </is>
      </c>
      <c r="H462" s="11">
        <f>IFERROR(VLOOKUP(G462&amp;"",PLANO!A:B,2,FALSE),"CONTA NAO EXISTE NO PLANO")</f>
        <v/>
      </c>
      <c r="I462" s="11" t="inlineStr">
        <is>
          <t>493</t>
        </is>
      </c>
      <c r="J462" s="11" t="inlineStr">
        <is>
          <t>MANTIDO</t>
        </is>
      </c>
      <c r="K462" s="11" t="inlineStr">
        <is>
          <t>servicos diversos (lavanderia, dedetizacao, contabilidade, Plus Sante) | mantida a conta atual (sem informacao que justifique troca)</t>
        </is>
      </c>
      <c r="L462" s="11" t="inlineStr">
        <is>
          <t>CALIBRABEM LTDA | 115/45 | PAGAMENTO REFERENTE AO SRVICO DE CALIBRAGEM BALANCA DO ENVASE</t>
        </is>
      </c>
      <c r="M462" s="11" t="inlineStr">
        <is>
          <t>CALIBRABEM LTDA - PAGAMENTO REFERENTE AO SRVICO DE CALIBRAGEM BALANCA DO ENVASE</t>
        </is>
      </c>
    </row>
    <row r="463">
      <c r="A463" t="n">
        <v>462</v>
      </c>
      <c r="B463" t="inlineStr">
        <is>
          <t>09/03/2026</t>
        </is>
      </c>
      <c r="C463" t="inlineStr">
        <is>
          <t>EMBACAPS QUIMICA E FARMACEUTICA LTDAPAGAMENTO REFERENTE A COMPRA DE MATERIA PRIMA,GLICERINA BD, 550KG</t>
        </is>
      </c>
      <c r="D463" s="7" t="n">
        <v>-1595</v>
      </c>
      <c r="E463" t="inlineStr">
        <is>
          <t>506</t>
        </is>
      </c>
      <c r="F463" t="inlineStr">
        <is>
          <t>FORNECEDORES DIVERSOS</t>
        </is>
      </c>
      <c r="G463" s="2" t="inlineStr">
        <is>
          <t>506</t>
        </is>
      </c>
      <c r="H463">
        <f>IFERROR(VLOOKUP(G463&amp;"",PLANO!A:B,2,FALSE),"CONTA NAO EXISTE NO PLANO")</f>
        <v/>
      </c>
      <c r="I463" t="inlineStr">
        <is>
          <t>506</t>
        </is>
      </c>
      <c r="J463" t="inlineStr">
        <is>
          <t>OK</t>
        </is>
      </c>
      <c r="K463" t="inlineStr">
        <is>
          <t>fornecedor com NF</t>
        </is>
      </c>
      <c r="L463" t="inlineStr">
        <is>
          <t>EMBACAPS QUIMICA E FARMACEUTICA LTDA | 115/6 | PAGAMENTO REFERENTE A COMPRA DE MATERIA PRIMA, GLICERINA BD, 550KG</t>
        </is>
      </c>
      <c r="M463" t="inlineStr">
        <is>
          <t>EMBACAPS QUIMICA E FARMACEUTICA LTDA - PAGAMENTO REFERENTE A COMPRA DE MATERIA PRIMA, GLICERINA BD, 550KG</t>
        </is>
      </c>
    </row>
    <row r="464">
      <c r="A464" s="11" t="n">
        <v>463</v>
      </c>
      <c r="B464" s="11" t="inlineStr">
        <is>
          <t>09/03/2026</t>
        </is>
      </c>
      <c r="C464" s="11" t="inlineStr">
        <is>
          <t>INSETCONTROL SERVICOS DE HIGIENE LTDA PGTO REF.SERVIÇOS PRESTADOS CONF.CONTRATO</t>
        </is>
      </c>
      <c r="D464" s="12" t="n">
        <v>-660</v>
      </c>
      <c r="E464" s="11" t="inlineStr">
        <is>
          <t>506</t>
        </is>
      </c>
      <c r="F464" s="11" t="inlineStr">
        <is>
          <t>FORNECEDORES DIVERSOS</t>
        </is>
      </c>
      <c r="G464" s="13" t="inlineStr">
        <is>
          <t>506</t>
        </is>
      </c>
      <c r="H464" s="11">
        <f>IFERROR(VLOOKUP(G464&amp;"",PLANO!A:B,2,FALSE),"CONTA NAO EXISTE NO PLANO")</f>
        <v/>
      </c>
      <c r="I464" s="11" t="inlineStr">
        <is>
          <t>506</t>
        </is>
      </c>
      <c r="J464" s="11" t="inlineStr">
        <is>
          <t>MANTIDO</t>
        </is>
      </c>
      <c r="K464" s="11" t="inlineStr">
        <is>
          <t>servicos diversos (lavanderia, dedetizacao, contabilidade, Plus Sante) | mantida a conta atual (sem informacao que justifique troca)</t>
        </is>
      </c>
      <c r="L464" s="11" t="inlineStr">
        <is>
          <t>INSETCONTROL SERVICOS DE HIGIENE LTDA | 115/45 | PGTO REF.SERVIÇOS PRESTADOS CONF.CONTRATO</t>
        </is>
      </c>
      <c r="M464" s="11" t="inlineStr">
        <is>
          <t>INSETCONTROL SERVICOS DE HIGIENE LTDA - PGTO REF.SERVIÇOS PRESTADOS CONF.CONTRATO</t>
        </is>
      </c>
    </row>
    <row r="465">
      <c r="A465" t="n">
        <v>464</v>
      </c>
      <c r="B465" t="inlineStr">
        <is>
          <t>09/03/2026</t>
        </is>
      </c>
      <c r="C465" t="inlineStr">
        <is>
          <t>GRÁFICA MALIRES LTDAPGTO REF. A COMPRA DE CAIXA E BERÇO PARA PERFUME</t>
        </is>
      </c>
      <c r="D465" s="7" t="n">
        <v>-2611.13</v>
      </c>
      <c r="E465" t="inlineStr">
        <is>
          <t>506</t>
        </is>
      </c>
      <c r="F465" t="inlineStr">
        <is>
          <t>FORNECEDORES DIVERSOS</t>
        </is>
      </c>
      <c r="G465" s="2" t="inlineStr">
        <is>
          <t>506</t>
        </is>
      </c>
      <c r="H465">
        <f>IFERROR(VLOOKUP(G465&amp;"",PLANO!A:B,2,FALSE),"CONTA NAO EXISTE NO PLANO")</f>
        <v/>
      </c>
      <c r="I465" t="inlineStr">
        <is>
          <t>506</t>
        </is>
      </c>
      <c r="J465" t="inlineStr">
        <is>
          <t>OK</t>
        </is>
      </c>
      <c r="K465" t="inlineStr">
        <is>
          <t>fornecedor com NF</t>
        </is>
      </c>
      <c r="L465" t="inlineStr">
        <is>
          <t>GRÁFICA MALIRES LTDA | 115/9 | PGTO REF. A COMPRA DE CAIXA E BERÇO PARA PERFUME</t>
        </is>
      </c>
      <c r="M465" t="inlineStr">
        <is>
          <t>GRÁFICA MALIRES LTDA - PGTO REF. A COMPRA DE CAIXA E BERÇO PARA PERFUME</t>
        </is>
      </c>
    </row>
    <row r="466">
      <c r="A466" t="n">
        <v>465</v>
      </c>
      <c r="B466" t="inlineStr">
        <is>
          <t>10/03/2026</t>
        </is>
      </c>
      <c r="C466" t="inlineStr">
        <is>
          <t>REF. A MOV TIT COB DISP 10/03S</t>
        </is>
      </c>
      <c r="D466" s="7" t="n">
        <v>1084.64</v>
      </c>
      <c r="E466" t="inlineStr">
        <is>
          <t>504</t>
        </is>
      </c>
      <c r="F466" t="inlineStr">
        <is>
          <t>CLIENTES DIVERSOS</t>
        </is>
      </c>
      <c r="G466" s="2" t="inlineStr">
        <is>
          <t>504</t>
        </is>
      </c>
      <c r="H466">
        <f>IFERROR(VLOOKUP(G466&amp;"",PLANO!A:B,2,FALSE),"CONTA NAO EXISTE NO PLANO")</f>
        <v/>
      </c>
      <c r="I466" t="inlineStr">
        <is>
          <t>504</t>
        </is>
      </c>
      <c r="J466" t="inlineStr">
        <is>
          <t>SEM COSMOS</t>
        </is>
      </c>
      <c r="K466" t="inlineStr"/>
      <c r="L466" t="inlineStr"/>
      <c r="M466" t="inlineStr">
        <is>
          <t>MOV TIT COB DISP 10/03S</t>
        </is>
      </c>
    </row>
    <row r="467">
      <c r="A467" t="n">
        <v>466</v>
      </c>
      <c r="B467" t="inlineStr">
        <is>
          <t>10/03/2026</t>
        </is>
      </c>
      <c r="C467" t="inlineStr">
        <is>
          <t>REF. A PIX TRANSF ONIXSUL10/03</t>
        </is>
      </c>
      <c r="D467" s="7" t="n">
        <v>9972.65</v>
      </c>
      <c r="E467" t="inlineStr">
        <is>
          <t>504</t>
        </is>
      </c>
      <c r="F467" t="inlineStr">
        <is>
          <t>CLIENTES DIVERSOS</t>
        </is>
      </c>
      <c r="G467" s="2" t="inlineStr">
        <is>
          <t>504</t>
        </is>
      </c>
      <c r="H467">
        <f>IFERROR(VLOOKUP(G467&amp;"",PLANO!A:B,2,FALSE),"CONTA NAO EXISTE NO PLANO")</f>
        <v/>
      </c>
      <c r="I467" t="inlineStr">
        <is>
          <t>504</t>
        </is>
      </c>
      <c r="J467" t="inlineStr">
        <is>
          <t>SEM COSMOS</t>
        </is>
      </c>
      <c r="K467" t="inlineStr"/>
      <c r="L467" t="inlineStr"/>
      <c r="M467" t="inlineStr">
        <is>
          <t>PIX TRANSF ONIXSUL10/03</t>
        </is>
      </c>
    </row>
    <row r="468">
      <c r="A468" t="n">
        <v>467</v>
      </c>
      <c r="B468" t="inlineStr">
        <is>
          <t>10/03/2026</t>
        </is>
      </c>
      <c r="C468" t="inlineStr">
        <is>
          <t>REF. A PIX TRANSF SALETE 10/03</t>
        </is>
      </c>
      <c r="D468" s="7" t="n">
        <v>9000</v>
      </c>
      <c r="E468" t="inlineStr">
        <is>
          <t>504</t>
        </is>
      </c>
      <c r="F468" t="inlineStr">
        <is>
          <t>CLIENTES DIVERSOS</t>
        </is>
      </c>
      <c r="G468" s="2" t="inlineStr">
        <is>
          <t>504</t>
        </is>
      </c>
      <c r="H468">
        <f>IFERROR(VLOOKUP(G468&amp;"",PLANO!A:B,2,FALSE),"CONTA NAO EXISTE NO PLANO")</f>
        <v/>
      </c>
      <c r="I468" t="inlineStr">
        <is>
          <t>504</t>
        </is>
      </c>
      <c r="J468" t="inlineStr">
        <is>
          <t>SEM COSMOS</t>
        </is>
      </c>
      <c r="K468" t="inlineStr"/>
      <c r="L468" t="inlineStr"/>
      <c r="M468" t="inlineStr">
        <is>
          <t>PIX TRANSF SALETE 10/03</t>
        </is>
      </c>
    </row>
    <row r="469">
      <c r="A469" t="n">
        <v>468</v>
      </c>
      <c r="B469" t="inlineStr">
        <is>
          <t>10/03/2026</t>
        </is>
      </c>
      <c r="C469" t="inlineStr">
        <is>
          <t>REF. A TED 363.0001.RNX F M D R</t>
        </is>
      </c>
      <c r="D469" s="7" t="n">
        <v>6775.09</v>
      </c>
      <c r="E469" t="inlineStr">
        <is>
          <t>504</t>
        </is>
      </c>
      <c r="F469" t="inlineStr">
        <is>
          <t>CLIENTES DIVERSOS</t>
        </is>
      </c>
      <c r="G469" s="2" t="inlineStr">
        <is>
          <t>504</t>
        </is>
      </c>
      <c r="H469">
        <f>IFERROR(VLOOKUP(G469&amp;"",PLANO!A:B,2,FALSE),"CONTA NAO EXISTE NO PLANO")</f>
        <v/>
      </c>
      <c r="I469" t="inlineStr">
        <is>
          <t>504</t>
        </is>
      </c>
      <c r="J469" t="inlineStr">
        <is>
          <t>SEM COSMOS</t>
        </is>
      </c>
      <c r="K469" t="inlineStr"/>
      <c r="L469" t="inlineStr"/>
      <c r="M469" t="inlineStr">
        <is>
          <t>TED 363.0001.RNX F M D R</t>
        </is>
      </c>
    </row>
    <row r="470">
      <c r="A470" t="n">
        <v>469</v>
      </c>
      <c r="B470" t="inlineStr">
        <is>
          <t>10/03/2026</t>
        </is>
      </c>
      <c r="C470" t="inlineStr">
        <is>
          <t>M CASSAB COMERCIO E INDUSTRIA LTDA</t>
        </is>
      </c>
      <c r="D470" s="7" t="n">
        <v>-3080.28</v>
      </c>
      <c r="E470" t="inlineStr">
        <is>
          <t>506</t>
        </is>
      </c>
      <c r="F470" t="inlineStr">
        <is>
          <t>FORNECEDORES DIVERSOS</t>
        </is>
      </c>
      <c r="G470" s="2" t="inlineStr">
        <is>
          <t>506</t>
        </is>
      </c>
      <c r="H470">
        <f>IFERROR(VLOOKUP(G470&amp;"",PLANO!A:B,2,FALSE),"CONTA NAO EXISTE NO PLANO")</f>
        <v/>
      </c>
      <c r="I470" t="inlineStr">
        <is>
          <t>506</t>
        </is>
      </c>
      <c r="J470" t="inlineStr">
        <is>
          <t>OK</t>
        </is>
      </c>
      <c r="K470" t="inlineStr">
        <is>
          <t>fornecedor com NF</t>
        </is>
      </c>
      <c r="L470" t="inlineStr">
        <is>
          <t xml:space="preserve">M CASSAB COMERCIO E INDUSTRIA LTDA | 113/78 | </t>
        </is>
      </c>
      <c r="M470" t="inlineStr">
        <is>
          <t>M CASSAB COMERCIO E INDUSTRIA LTDA</t>
        </is>
      </c>
    </row>
    <row r="471">
      <c r="A471" t="n">
        <v>470</v>
      </c>
      <c r="B471" t="inlineStr">
        <is>
          <t>10/03/2026</t>
        </is>
      </c>
      <c r="C471" t="inlineStr">
        <is>
          <t>SUZAN CRISTINA ROSSIPGTO REF.SERVIÇOS PRESTADOS CONF.CONTRATO</t>
        </is>
      </c>
      <c r="D471" s="7" t="n">
        <v>-7623.72</v>
      </c>
      <c r="E471" t="inlineStr">
        <is>
          <t>362</t>
        </is>
      </c>
      <c r="F471" t="inlineStr">
        <is>
          <t>SERVIÇOS PRESTADOS POR TERCEIROS</t>
        </is>
      </c>
      <c r="G471" s="2" t="inlineStr">
        <is>
          <t>362</t>
        </is>
      </c>
      <c r="H471">
        <f>IFERROR(VLOOKUP(G471&amp;"",PLANO!A:B,2,FALSE),"CONTA NAO EXISTE NO PLANO")</f>
        <v/>
      </c>
      <c r="I471" t="inlineStr">
        <is>
          <t>362</t>
        </is>
      </c>
      <c r="J471" t="inlineStr">
        <is>
          <t>OK</t>
        </is>
      </c>
      <c r="K471" t="inlineStr">
        <is>
          <t>servico prestado</t>
        </is>
      </c>
      <c r="L471" t="inlineStr">
        <is>
          <t>SUZAN CRISTINA ROSSI | 115/81 | PGTO REF.SERVIÇOS PRESTADOS CONF.CONTRATO</t>
        </is>
      </c>
      <c r="M471" t="inlineStr">
        <is>
          <t>SUZAN CRISTINA ROSSI - PGTO REF.SERVIÇOS PRESTADOS CONF.CONTRATO</t>
        </is>
      </c>
    </row>
    <row r="472">
      <c r="A472" s="4" t="n">
        <v>471</v>
      </c>
      <c r="B472" s="4" t="inlineStr">
        <is>
          <t>10/03/2026</t>
        </is>
      </c>
      <c r="C472" s="4" t="inlineStr">
        <is>
          <t>REF. A PIX ENVIADO GULA COSMETI (OUTRAS SAIDAS)</t>
        </is>
      </c>
      <c r="D472" s="5" t="n">
        <v>-11000</v>
      </c>
      <c r="E472" s="4" t="inlineStr">
        <is>
          <t>506</t>
        </is>
      </c>
      <c r="F472" s="4" t="inlineStr">
        <is>
          <t>FORNECEDORES DIVERSOS</t>
        </is>
      </c>
      <c r="G472" s="6" t="inlineStr">
        <is>
          <t>366</t>
        </is>
      </c>
      <c r="H472" s="4">
        <f>IFERROR(VLOOKUP(G472&amp;"",PLANO!A:B,2,FALSE),"CONTA NAO EXISTE NO PLANO")</f>
        <v/>
      </c>
      <c r="I472" s="4" t="inlineStr">
        <is>
          <t>672</t>
        </is>
      </c>
      <c r="J472" s="4" t="inlineStr">
        <is>
          <t>AJUSTADO</t>
        </is>
      </c>
      <c r="K472" s="4" t="inlineStr">
        <is>
          <t>GULA/FIQUE BEM (mesmo CNPJ, empresa do grupo) - mutuo em EMPRESTIMOS A TERCEIROS (366); nao e fornecedor</t>
        </is>
      </c>
      <c r="L472" s="4" t="inlineStr">
        <is>
          <t xml:space="preserve">OUTRAS SAIDAS | 123/71 | </t>
        </is>
      </c>
      <c r="M472" s="4" t="inlineStr">
        <is>
          <t>PIX ENVIADO GULA COSMETI (OUTRAS SAIDAS)</t>
        </is>
      </c>
    </row>
    <row r="473">
      <c r="A473" t="n">
        <v>472</v>
      </c>
      <c r="B473" t="inlineStr">
        <is>
          <t>10/03/2026</t>
        </is>
      </c>
      <c r="C473" t="inlineStr">
        <is>
          <t>EFITRANS TRANSPORTES LTDAPAGAMENTO REFERENTE A FRETE SOBRE COMPRA</t>
        </is>
      </c>
      <c r="D473" s="7" t="n">
        <v>-273.26</v>
      </c>
      <c r="E473" t="inlineStr">
        <is>
          <t>312</t>
        </is>
      </c>
      <c r="F473" t="inlineStr">
        <is>
          <t>FRETES E CARRETOS</t>
        </is>
      </c>
      <c r="G473" s="2" t="inlineStr">
        <is>
          <t>312</t>
        </is>
      </c>
      <c r="H473">
        <f>IFERROR(VLOOKUP(G473&amp;"",PLANO!A:B,2,FALSE),"CONTA NAO EXISTE NO PLANO")</f>
        <v/>
      </c>
      <c r="I473" t="inlineStr">
        <is>
          <t>312</t>
        </is>
      </c>
      <c r="J473" t="inlineStr">
        <is>
          <t>OK</t>
        </is>
      </c>
      <c r="K473" t="inlineStr">
        <is>
          <t>categoria Cosmos 97</t>
        </is>
      </c>
      <c r="L473" t="inlineStr">
        <is>
          <t>EFITRANS TRANSPORTES LTDA | 115/97 | PAGAMENTO REFERENTE A FRETE SOBRE COMPRA</t>
        </is>
      </c>
      <c r="M473" t="inlineStr">
        <is>
          <t>EFITRANS TRANSPORTES LTDA - PAGAMENTO REFERENTE A FRETE SOBRE COMPRA</t>
        </is>
      </c>
    </row>
    <row r="474">
      <c r="A474" t="n">
        <v>473</v>
      </c>
      <c r="B474" t="inlineStr">
        <is>
          <t>10/03/2026</t>
        </is>
      </c>
      <c r="C474" t="inlineStr">
        <is>
          <t>LOVIZ ENTRETENIMENTO E TELECOMUNICACOES LTDAPGTO REF.INTERNET 10 GIGA</t>
        </is>
      </c>
      <c r="D474" s="7" t="n">
        <v>-199.99</v>
      </c>
      <c r="E474" t="inlineStr">
        <is>
          <t>555</t>
        </is>
      </c>
      <c r="F474" t="inlineStr">
        <is>
          <t>INTERNET</t>
        </is>
      </c>
      <c r="G474" s="2" t="inlineStr">
        <is>
          <t>555</t>
        </is>
      </c>
      <c r="H474">
        <f>IFERROR(VLOOKUP(G474&amp;"",PLANO!A:B,2,FALSE),"CONTA NAO EXISTE NO PLANO")</f>
        <v/>
      </c>
      <c r="I474" t="inlineStr">
        <is>
          <t>555</t>
        </is>
      </c>
      <c r="J474" t="inlineStr">
        <is>
          <t>OK</t>
        </is>
      </c>
      <c r="K474" t="inlineStr">
        <is>
          <t>categoria Cosmos 14</t>
        </is>
      </c>
      <c r="L474" t="inlineStr">
        <is>
          <t>LOVIZ ENTRETENIMENTO E TELECOMUNICACOES LTDA | 115/14 | PGTO REF.INTERNET 10 GIGA</t>
        </is>
      </c>
      <c r="M474" t="inlineStr">
        <is>
          <t>LOVIZ ENTRETENIMENTO E TELECOMUNICACOES LTDA - PGTO REF.INTERNET 10 GIGA</t>
        </is>
      </c>
    </row>
    <row r="475">
      <c r="A475" s="4" t="n">
        <v>474</v>
      </c>
      <c r="B475" s="4" t="inlineStr">
        <is>
          <t>10/03/2026</t>
        </is>
      </c>
      <c r="C475" s="4" t="inlineStr">
        <is>
          <t>VR BENEFICIOS E SERVICOS DE PROCESSAMENTO S.APGTO REF.SISTEMA DE RESGISTRO DE PONTO</t>
        </is>
      </c>
      <c r="D475" s="5" t="n">
        <v>-137.29</v>
      </c>
      <c r="E475" s="4" t="inlineStr">
        <is>
          <t>640</t>
        </is>
      </c>
      <c r="F475" s="4" t="inlineStr">
        <is>
          <t>SOFTWARE/SISTEMA</t>
        </is>
      </c>
      <c r="G475" s="6" t="inlineStr">
        <is>
          <t>640</t>
        </is>
      </c>
      <c r="H475" s="4">
        <f>IFERROR(VLOOKUP(G475&amp;"",PLANO!A:B,2,FALSE),"CONTA NAO EXISTE NO PLANO")</f>
        <v/>
      </c>
      <c r="I475" s="4" t="inlineStr">
        <is>
          <t>640</t>
        </is>
      </c>
      <c r="J475" s="4" t="inlineStr">
        <is>
          <t>AJUSTADO</t>
        </is>
      </c>
      <c r="K475" s="4" t="inlineStr">
        <is>
          <t>software/sistema (Cosmos cat. 47)</t>
        </is>
      </c>
      <c r="L475" s="4" t="inlineStr">
        <is>
          <t>VR BENEFICIOS E SERVICOS DE PROCESSAMENTO S.A | 115/47 | PGTO REF.SISTEMA DE RESGISTRO DE PONTO</t>
        </is>
      </c>
      <c r="M475" s="4" t="inlineStr">
        <is>
          <t>VR BENEFICIOS E SERVICOS DE PROCESSAMENTO S.A - PGTO REF.SISTEMA DE RESGISTRO DE PONTO</t>
        </is>
      </c>
    </row>
    <row r="476">
      <c r="A476" t="n">
        <v>475</v>
      </c>
      <c r="B476" t="inlineStr">
        <is>
          <t>10/03/2026</t>
        </is>
      </c>
      <c r="C476" t="inlineStr">
        <is>
          <t>YAHWEH PRINT BRASIL LTDAPAGAMENTO REFERENTE A COMPRA DE ROTULO MASCARAPERFECT BLOND</t>
        </is>
      </c>
      <c r="D476" s="7" t="n">
        <v>-723.5599999999999</v>
      </c>
      <c r="E476" t="inlineStr">
        <is>
          <t>506</t>
        </is>
      </c>
      <c r="F476" t="inlineStr">
        <is>
          <t>FORNECEDORES DIVERSOS</t>
        </is>
      </c>
      <c r="G476" s="2" t="inlineStr">
        <is>
          <t>506</t>
        </is>
      </c>
      <c r="H476">
        <f>IFERROR(VLOOKUP(G476&amp;"",PLANO!A:B,2,FALSE),"CONTA NAO EXISTE NO PLANO")</f>
        <v/>
      </c>
      <c r="I476" t="inlineStr">
        <is>
          <t>506</t>
        </is>
      </c>
      <c r="J476" t="inlineStr">
        <is>
          <t>OK</t>
        </is>
      </c>
      <c r="K476" t="inlineStr">
        <is>
          <t>fornecedor com NF</t>
        </is>
      </c>
      <c r="L476" t="inlineStr">
        <is>
          <t>YAHWEH PRINT BRASIL LTDA | 115/9 | PAGAMENTO REFERENTE A COMPRA DE ROTULO MASCARA PERFECT BLOND</t>
        </is>
      </c>
      <c r="M476" t="inlineStr">
        <is>
          <t>YAHWEH PRINT BRASIL LTDA - PAGAMENTO REFERENTE A COMPRA DE ROTULO MASCARA PERFECT BLOND</t>
        </is>
      </c>
    </row>
    <row r="477">
      <c r="A477" t="n">
        <v>476</v>
      </c>
      <c r="B477" t="inlineStr">
        <is>
          <t>10/03/2026</t>
        </is>
      </c>
      <c r="C477" t="inlineStr">
        <is>
          <t>YAHWEH PRINT BRASIL LTDAPAGAMENTO REFERENTE A COMPRA DE ETIQUETA BISNAGAGENERICA MORENA ILUMINADA 25.000UN</t>
        </is>
      </c>
      <c r="D477" s="7" t="n">
        <v>-907</v>
      </c>
      <c r="E477" t="inlineStr">
        <is>
          <t>506</t>
        </is>
      </c>
      <c r="F477" t="inlineStr">
        <is>
          <t>FORNECEDORES DIVERSOS</t>
        </is>
      </c>
      <c r="G477" s="2" t="inlineStr">
        <is>
          <t>506</t>
        </is>
      </c>
      <c r="H477">
        <f>IFERROR(VLOOKUP(G477&amp;"",PLANO!A:B,2,FALSE),"CONTA NAO EXISTE NO PLANO")</f>
        <v/>
      </c>
      <c r="I477" t="inlineStr">
        <is>
          <t>506</t>
        </is>
      </c>
      <c r="J477" t="inlineStr">
        <is>
          <t>OK</t>
        </is>
      </c>
      <c r="K477" t="inlineStr">
        <is>
          <t>fornecedor com NF</t>
        </is>
      </c>
      <c r="L477" t="inlineStr">
        <is>
          <t>YAHWEH PRINT BRASIL LTDA | 115/9 | PAGAMENTO REFERENTE A COMPRA DE ETIQUETA BISNAGA GENERICA MORENA ILUMINADA 25.000UN</t>
        </is>
      </c>
      <c r="M477" t="inlineStr">
        <is>
          <t>YAHWEH PRINT BRASIL LTDA - PAGAMENTO REFERENTE A COMPRA DE ETIQUETA BISNAGA GENERICA MORENA ILUMINADA 25.00</t>
        </is>
      </c>
    </row>
    <row r="478">
      <c r="A478" s="4" t="n">
        <v>477</v>
      </c>
      <c r="B478" s="4" t="inlineStr">
        <is>
          <t>11/03/2026</t>
        </is>
      </c>
      <c r="C478" s="4" t="inlineStr">
        <is>
          <t>REF. A SISPAG GULA COSMETICOS (OUTRAS SAIDAS)</t>
        </is>
      </c>
      <c r="D478" s="5" t="n">
        <v>500</v>
      </c>
      <c r="E478" s="4" t="inlineStr">
        <is>
          <t>664</t>
        </is>
      </c>
      <c r="F478" s="4" t="inlineStr">
        <is>
          <t>COSMETICON COMERCIO DE COSMETICOS LTDA</t>
        </is>
      </c>
      <c r="G478" s="6" t="inlineStr">
        <is>
          <t>366</t>
        </is>
      </c>
      <c r="H478" s="4">
        <f>IFERROR(VLOOKUP(G478&amp;"",PLANO!A:B,2,FALSE),"CONTA NAO EXISTE NO PLANO")</f>
        <v/>
      </c>
      <c r="I478" s="4" t="inlineStr">
        <is>
          <t>672</t>
        </is>
      </c>
      <c r="J478" s="4" t="inlineStr">
        <is>
          <t>AJUSTADO</t>
        </is>
      </c>
      <c r="K478" s="4" t="inlineStr">
        <is>
          <t>GULA/FIQUE BEM (mesmo CNPJ, empresa do grupo) - mutuo em EMPRESTIMOS A TERCEIROS (366); nao e fornecedor</t>
        </is>
      </c>
      <c r="L478" s="4" t="inlineStr">
        <is>
          <t xml:space="preserve">OUTRAS ENTRADAS | 122/71 | </t>
        </is>
      </c>
      <c r="M478" s="4" t="inlineStr">
        <is>
          <t>SISPAG GULA COSMETICOS (OUTRAS SAIDAS)</t>
        </is>
      </c>
    </row>
    <row r="479">
      <c r="A479" t="n">
        <v>478</v>
      </c>
      <c r="B479" t="inlineStr">
        <is>
          <t>11/03/2026</t>
        </is>
      </c>
      <c r="C479" t="inlineStr">
        <is>
          <t>REF. A REDE VISA AT0081996543</t>
        </is>
      </c>
      <c r="D479" s="7" t="n">
        <v>3414.95</v>
      </c>
      <c r="E479" t="inlineStr">
        <is>
          <t>504</t>
        </is>
      </c>
      <c r="F479" t="inlineStr">
        <is>
          <t>CLIENTES DIVERSOS</t>
        </is>
      </c>
      <c r="G479" s="2" t="inlineStr">
        <is>
          <t>504</t>
        </is>
      </c>
      <c r="H479">
        <f>IFERROR(VLOOKUP(G479&amp;"",PLANO!A:B,2,FALSE),"CONTA NAO EXISTE NO PLANO")</f>
        <v/>
      </c>
      <c r="I479" t="inlineStr">
        <is>
          <t>504</t>
        </is>
      </c>
      <c r="J479" t="inlineStr">
        <is>
          <t>SEM COSMOS</t>
        </is>
      </c>
      <c r="K479" t="inlineStr"/>
      <c r="L479" t="inlineStr"/>
      <c r="M479" t="inlineStr">
        <is>
          <t>REDE VISA AT0081996543</t>
        </is>
      </c>
    </row>
    <row r="480">
      <c r="A480" t="n">
        <v>479</v>
      </c>
      <c r="B480" t="inlineStr">
        <is>
          <t>11/03/2026</t>
        </is>
      </c>
      <c r="C480" t="inlineStr">
        <is>
          <t>REF. A PIX TRANSF R E S C11/03</t>
        </is>
      </c>
      <c r="D480" s="7" t="n">
        <v>696</v>
      </c>
      <c r="E480" t="inlineStr">
        <is>
          <t>504</t>
        </is>
      </c>
      <c r="F480" t="inlineStr">
        <is>
          <t>CLIENTES DIVERSOS</t>
        </is>
      </c>
      <c r="G480" s="2" t="inlineStr">
        <is>
          <t>504</t>
        </is>
      </c>
      <c r="H480">
        <f>IFERROR(VLOOKUP(G480&amp;"",PLANO!A:B,2,FALSE),"CONTA NAO EXISTE NO PLANO")</f>
        <v/>
      </c>
      <c r="I480" t="inlineStr">
        <is>
          <t>504</t>
        </is>
      </c>
      <c r="J480" t="inlineStr">
        <is>
          <t>SEM COSMOS</t>
        </is>
      </c>
      <c r="K480" t="inlineStr"/>
      <c r="L480" t="inlineStr"/>
      <c r="M480" t="inlineStr">
        <is>
          <t>PIX TRANSF R E S C11/03</t>
        </is>
      </c>
    </row>
    <row r="481">
      <c r="A481" t="n">
        <v>480</v>
      </c>
      <c r="B481" t="inlineStr">
        <is>
          <t>11/03/2026</t>
        </is>
      </c>
      <c r="C481" t="inlineStr">
        <is>
          <t>SKIN LAB INDUSTRIA E COMERCIO DE COSMETICOS LTDA PAGAMENTO REFERENTE AO SALDO (PARCELADO) DO PEDIDODE POLAWAX</t>
        </is>
      </c>
      <c r="D481" s="7" t="n">
        <v>-3655</v>
      </c>
      <c r="E481" t="inlineStr">
        <is>
          <t>506</t>
        </is>
      </c>
      <c r="F481" t="inlineStr">
        <is>
          <t>FORNECEDORES DIVERSOS</t>
        </is>
      </c>
      <c r="G481" s="2" t="inlineStr">
        <is>
          <t>506</t>
        </is>
      </c>
      <c r="H481">
        <f>IFERROR(VLOOKUP(G481&amp;"",PLANO!A:B,2,FALSE),"CONTA NAO EXISTE NO PLANO")</f>
        <v/>
      </c>
      <c r="I481" t="inlineStr">
        <is>
          <t>506</t>
        </is>
      </c>
      <c r="J481" t="inlineStr">
        <is>
          <t>OK</t>
        </is>
      </c>
      <c r="K481" t="inlineStr">
        <is>
          <t>fornecedor com NF</t>
        </is>
      </c>
      <c r="L481" t="inlineStr">
        <is>
          <t>SKIN LAB INDUSTRIA E COMERCIO DE COSMETICOS LTDA | 115/6 | PAGAMENTO REFERENTE AO SALDO (PARCELADO) DO PEDIDO DE POLAWAX</t>
        </is>
      </c>
      <c r="M481" t="inlineStr">
        <is>
          <t>SKIN LAB INDUSTRIA E COMERCIO DE COSMETICOS LTDA - PAGAMENTO REFERENTE AO SALDO (PARCELADO) DO PEDIDO DE POLAWAX</t>
        </is>
      </c>
    </row>
    <row r="482">
      <c r="A482" t="n">
        <v>481</v>
      </c>
      <c r="B482" t="inlineStr">
        <is>
          <t>11/03/2026</t>
        </is>
      </c>
      <c r="C482" t="inlineStr">
        <is>
          <t>NOVA PIRAMIDAL THERMOPLASTICS S.A</t>
        </is>
      </c>
      <c r="D482" s="7" t="n">
        <v>-3066.53</v>
      </c>
      <c r="E482" t="inlineStr">
        <is>
          <t>506</t>
        </is>
      </c>
      <c r="F482" t="inlineStr">
        <is>
          <t>FORNECEDORES DIVERSOS</t>
        </is>
      </c>
      <c r="G482" s="2" t="inlineStr">
        <is>
          <t>506</t>
        </is>
      </c>
      <c r="H482">
        <f>IFERROR(VLOOKUP(G482&amp;"",PLANO!A:B,2,FALSE),"CONTA NAO EXISTE NO PLANO")</f>
        <v/>
      </c>
      <c r="I482" t="inlineStr">
        <is>
          <t>506</t>
        </is>
      </c>
      <c r="J482" t="inlineStr">
        <is>
          <t>OK</t>
        </is>
      </c>
      <c r="K482" t="inlineStr">
        <is>
          <t>fornecedor com NF</t>
        </is>
      </c>
      <c r="L482" t="inlineStr">
        <is>
          <t xml:space="preserve">NOVA PIRAMIDAL THERMOPLASTICS S.A. | 113/78 | </t>
        </is>
      </c>
      <c r="M482" t="inlineStr">
        <is>
          <t>NOVA PIRAMIDAL THERMOPLASTICS S.A.</t>
        </is>
      </c>
    </row>
    <row r="483">
      <c r="A483" t="n">
        <v>482</v>
      </c>
      <c r="B483" t="inlineStr">
        <is>
          <t>11/03/2026</t>
        </is>
      </c>
      <c r="C483" t="inlineStr">
        <is>
          <t>DECORBEL INDUSTRIA E COMERCIO DE EMBALAGENS EIRELI</t>
        </is>
      </c>
      <c r="D483" s="7" t="n">
        <v>-3600</v>
      </c>
      <c r="E483" t="inlineStr">
        <is>
          <t>506</t>
        </is>
      </c>
      <c r="F483" t="inlineStr">
        <is>
          <t>FORNECEDORES DIVERSOS</t>
        </is>
      </c>
      <c r="G483" s="2" t="inlineStr">
        <is>
          <t>506</t>
        </is>
      </c>
      <c r="H483">
        <f>IFERROR(VLOOKUP(G483&amp;"",PLANO!A:B,2,FALSE),"CONTA NAO EXISTE NO PLANO")</f>
        <v/>
      </c>
      <c r="I483" t="inlineStr">
        <is>
          <t>506</t>
        </is>
      </c>
      <c r="J483" t="inlineStr">
        <is>
          <t>OK</t>
        </is>
      </c>
      <c r="K483" t="inlineStr">
        <is>
          <t>fornecedor com NF</t>
        </is>
      </c>
      <c r="L483" t="inlineStr">
        <is>
          <t xml:space="preserve">DECORBEL INDUSTRIA E COMERCIO DE EMBALAGENS EIRELI | 113/78 | </t>
        </is>
      </c>
      <c r="M483" t="inlineStr">
        <is>
          <t>DECORBEL INDUSTRIA E COMERCIO DE EMBALAGENS EIRELI</t>
        </is>
      </c>
    </row>
    <row r="484">
      <c r="A484" t="n">
        <v>483</v>
      </c>
      <c r="B484" t="inlineStr">
        <is>
          <t>12/03/2026</t>
        </is>
      </c>
      <c r="C484" t="inlineStr">
        <is>
          <t>REF. A MOV TIT COB DISP 12/03S</t>
        </is>
      </c>
      <c r="D484" s="7" t="n">
        <v>1141.87</v>
      </c>
      <c r="E484" t="inlineStr">
        <is>
          <t>504</t>
        </is>
      </c>
      <c r="F484" t="inlineStr">
        <is>
          <t>CLIENTES DIVERSOS</t>
        </is>
      </c>
      <c r="G484" s="2" t="inlineStr">
        <is>
          <t>504</t>
        </is>
      </c>
      <c r="H484">
        <f>IFERROR(VLOOKUP(G484&amp;"",PLANO!A:B,2,FALSE),"CONTA NAO EXISTE NO PLANO")</f>
        <v/>
      </c>
      <c r="I484" t="inlineStr">
        <is>
          <t>504</t>
        </is>
      </c>
      <c r="J484" t="inlineStr">
        <is>
          <t>SEM COSMOS</t>
        </is>
      </c>
      <c r="K484" t="inlineStr"/>
      <c r="L484" t="inlineStr"/>
      <c r="M484" t="inlineStr">
        <is>
          <t>MOV TIT COB DISP 12/03S</t>
        </is>
      </c>
    </row>
    <row r="485">
      <c r="A485" t="n">
        <v>484</v>
      </c>
      <c r="B485" t="inlineStr">
        <is>
          <t>12/03/2026</t>
        </is>
      </c>
      <c r="C485" t="inlineStr">
        <is>
          <t>REF. A PIX TRANSF LL DIST12/03</t>
        </is>
      </c>
      <c r="D485" s="7" t="n">
        <v>3870</v>
      </c>
      <c r="E485" t="inlineStr">
        <is>
          <t>504</t>
        </is>
      </c>
      <c r="F485" t="inlineStr">
        <is>
          <t>CLIENTES DIVERSOS</t>
        </is>
      </c>
      <c r="G485" s="2" t="inlineStr">
        <is>
          <t>504</t>
        </is>
      </c>
      <c r="H485">
        <f>IFERROR(VLOOKUP(G485&amp;"",PLANO!A:B,2,FALSE),"CONTA NAO EXISTE NO PLANO")</f>
        <v/>
      </c>
      <c r="I485" t="inlineStr">
        <is>
          <t>504</t>
        </is>
      </c>
      <c r="J485" t="inlineStr">
        <is>
          <t>SEM COSMOS</t>
        </is>
      </c>
      <c r="K485" t="inlineStr"/>
      <c r="L485" t="inlineStr"/>
      <c r="M485" t="inlineStr">
        <is>
          <t>PIX TRANSF LL DIST12/03</t>
        </is>
      </c>
    </row>
    <row r="486">
      <c r="A486" t="n">
        <v>485</v>
      </c>
      <c r="B486" t="inlineStr">
        <is>
          <t>12/03/2026</t>
        </is>
      </c>
      <c r="C486" t="inlineStr">
        <is>
          <t>REF. A PIX TRANSF NELIO J12/03</t>
        </is>
      </c>
      <c r="D486" s="7" t="n">
        <v>948</v>
      </c>
      <c r="E486" t="inlineStr">
        <is>
          <t>504</t>
        </is>
      </c>
      <c r="F486" t="inlineStr">
        <is>
          <t>CLIENTES DIVERSOS</t>
        </is>
      </c>
      <c r="G486" s="2" t="inlineStr">
        <is>
          <t>504</t>
        </is>
      </c>
      <c r="H486">
        <f>IFERROR(VLOOKUP(G486&amp;"",PLANO!A:B,2,FALSE),"CONTA NAO EXISTE NO PLANO")</f>
        <v/>
      </c>
      <c r="I486" t="inlineStr">
        <is>
          <t>504</t>
        </is>
      </c>
      <c r="J486" t="inlineStr">
        <is>
          <t>SEM COSMOS</t>
        </is>
      </c>
      <c r="K486" t="inlineStr"/>
      <c r="L486" t="inlineStr"/>
      <c r="M486" t="inlineStr">
        <is>
          <t>PIX TRANSF NELIO J12/03</t>
        </is>
      </c>
    </row>
    <row r="487">
      <c r="A487" t="n">
        <v>486</v>
      </c>
      <c r="B487" t="inlineStr">
        <is>
          <t>12/03/2026</t>
        </is>
      </c>
      <c r="C487" t="inlineStr">
        <is>
          <t>REF. A PIX TRANSF STYLEBA12/03</t>
        </is>
      </c>
      <c r="D487" s="7" t="n">
        <v>6872.71</v>
      </c>
      <c r="E487" t="inlineStr">
        <is>
          <t>504</t>
        </is>
      </c>
      <c r="F487" t="inlineStr">
        <is>
          <t>CLIENTES DIVERSOS</t>
        </is>
      </c>
      <c r="G487" s="2" t="inlineStr">
        <is>
          <t>504</t>
        </is>
      </c>
      <c r="H487">
        <f>IFERROR(VLOOKUP(G487&amp;"",PLANO!A:B,2,FALSE),"CONTA NAO EXISTE NO PLANO")</f>
        <v/>
      </c>
      <c r="I487" t="inlineStr">
        <is>
          <t>504</t>
        </is>
      </c>
      <c r="J487" t="inlineStr">
        <is>
          <t>SEM COSMOS</t>
        </is>
      </c>
      <c r="K487" t="inlineStr"/>
      <c r="L487" t="inlineStr"/>
      <c r="M487" t="inlineStr">
        <is>
          <t>PIX TRANSF STYLEBA12/03</t>
        </is>
      </c>
    </row>
    <row r="488">
      <c r="A488" t="n">
        <v>487</v>
      </c>
      <c r="B488" t="inlineStr">
        <is>
          <t>12/03/2026</t>
        </is>
      </c>
      <c r="C488" t="inlineStr">
        <is>
          <t>REF. A TED 363.0001.RNX F M D R</t>
        </is>
      </c>
      <c r="D488" s="7" t="n">
        <v>26318.75</v>
      </c>
      <c r="E488" t="inlineStr">
        <is>
          <t>504</t>
        </is>
      </c>
      <c r="F488" t="inlineStr">
        <is>
          <t>CLIENTES DIVERSOS</t>
        </is>
      </c>
      <c r="G488" s="2" t="inlineStr">
        <is>
          <t>504</t>
        </is>
      </c>
      <c r="H488">
        <f>IFERROR(VLOOKUP(G488&amp;"",PLANO!A:B,2,FALSE),"CONTA NAO EXISTE NO PLANO")</f>
        <v/>
      </c>
      <c r="I488" t="inlineStr">
        <is>
          <t>504</t>
        </is>
      </c>
      <c r="J488" t="inlineStr">
        <is>
          <t>SEM COSMOS</t>
        </is>
      </c>
      <c r="K488" t="inlineStr"/>
      <c r="L488" t="inlineStr"/>
      <c r="M488" t="inlineStr">
        <is>
          <t>TED 363.0001.RNX F M D R</t>
        </is>
      </c>
    </row>
    <row r="489">
      <c r="A489" t="n">
        <v>488</v>
      </c>
      <c r="B489" t="inlineStr">
        <is>
          <t>12/03/2026</t>
        </is>
      </c>
      <c r="C489" t="inlineStr">
        <is>
          <t>ELVIS DA SILVA SANTOSPAGAMENTO REFERENTE A SERVICO DE SERIGRAFIAPRESTADO NO MES DE FEVEREIRO</t>
        </is>
      </c>
      <c r="D489" s="7" t="n">
        <v>-6829.82</v>
      </c>
      <c r="E489" t="inlineStr">
        <is>
          <t>506</t>
        </is>
      </c>
      <c r="F489" t="inlineStr">
        <is>
          <t>FORNECEDORES DIVERSOS</t>
        </is>
      </c>
      <c r="G489" s="2" t="inlineStr">
        <is>
          <t>506</t>
        </is>
      </c>
      <c r="H489">
        <f>IFERROR(VLOOKUP(G489&amp;"",PLANO!A:B,2,FALSE),"CONTA NAO EXISTE NO PLANO")</f>
        <v/>
      </c>
      <c r="I489" t="inlineStr">
        <is>
          <t>506</t>
        </is>
      </c>
      <c r="J489" t="inlineStr">
        <is>
          <t>OK</t>
        </is>
      </c>
      <c r="K489" t="inlineStr">
        <is>
          <t>fornecedor com NF</t>
        </is>
      </c>
      <c r="L489" t="inlineStr">
        <is>
          <t>ELVIS DA SILVA SANTOS | 115/9 | PAGAMENTO REFERENTE A SERVICO DE SERIGRAFIA PRESTADO NO MES DE FEVEREIRO</t>
        </is>
      </c>
      <c r="M489" t="inlineStr">
        <is>
          <t>ELVIS DA SILVA SANTOS - PAGAMENTO REFERENTE A SERVICO DE SERIGRAFIA PRESTADO NO MES DE FEVEREIRO</t>
        </is>
      </c>
    </row>
    <row r="490">
      <c r="A490" s="4" t="n">
        <v>489</v>
      </c>
      <c r="B490" s="4" t="inlineStr">
        <is>
          <t>12/03/2026</t>
        </is>
      </c>
      <c r="C490" s="4" t="inlineStr">
        <is>
          <t>REF. A PIX ENVIADO COSMETICON C</t>
        </is>
      </c>
      <c r="D490" s="5" t="n">
        <v>-3000</v>
      </c>
      <c r="E490" s="4" t="inlineStr">
        <is>
          <t>664</t>
        </is>
      </c>
      <c r="F490" s="4" t="inlineStr">
        <is>
          <t>COSMETICON COMERCIO DE COSMETICOS LTDA</t>
        </is>
      </c>
      <c r="G490" s="6" t="inlineStr">
        <is>
          <t>663</t>
        </is>
      </c>
      <c r="H490" s="4">
        <f>IFERROR(VLOOKUP(G490&amp;"",PLANO!A:B,2,FALSE),"CONTA NAO EXISTE NO PLANO")</f>
        <v/>
      </c>
      <c r="I490" s="4" t="inlineStr">
        <is>
          <t>663</t>
        </is>
      </c>
      <c r="J490" s="4" t="inlineStr">
        <is>
          <t>AJUSTADO</t>
        </is>
      </c>
      <c r="K490" s="4" t="inlineStr">
        <is>
          <t>COSMETICON - conta-corrente unica de mutuo (663)</t>
        </is>
      </c>
      <c r="L490" s="4" t="inlineStr">
        <is>
          <t xml:space="preserve">OUTRAS SAIDAS | 123/71 | </t>
        </is>
      </c>
      <c r="M490" s="4" t="inlineStr">
        <is>
          <t>PIX ENVIADO COSMETICON C</t>
        </is>
      </c>
    </row>
    <row r="491">
      <c r="A491" t="n">
        <v>490</v>
      </c>
      <c r="B491" t="inlineStr">
        <is>
          <t>12/03/2026</t>
        </is>
      </c>
      <c r="C491" t="inlineStr">
        <is>
          <t>C - PACK CREATIVE PACKAGING S/A PGTO REF.COMPRA DE MP</t>
        </is>
      </c>
      <c r="D491" s="7" t="n">
        <v>-3441.58</v>
      </c>
      <c r="E491" t="inlineStr">
        <is>
          <t>506</t>
        </is>
      </c>
      <c r="F491" t="inlineStr">
        <is>
          <t>FORNECEDORES DIVERSOS</t>
        </is>
      </c>
      <c r="G491" s="2" t="inlineStr">
        <is>
          <t>506</t>
        </is>
      </c>
      <c r="H491">
        <f>IFERROR(VLOOKUP(G491&amp;"",PLANO!A:B,2,FALSE),"CONTA NAO EXISTE NO PLANO")</f>
        <v/>
      </c>
      <c r="I491" t="inlineStr">
        <is>
          <t>506</t>
        </is>
      </c>
      <c r="J491" t="inlineStr">
        <is>
          <t>OK</t>
        </is>
      </c>
      <c r="K491" t="inlineStr">
        <is>
          <t>fornecedor com NF</t>
        </is>
      </c>
      <c r="L491" t="inlineStr">
        <is>
          <t>C PACK CREATIVE PACKAGING S/A | 115/9 | PGTO REF.COMPRA DE MP</t>
        </is>
      </c>
      <c r="M491" t="inlineStr">
        <is>
          <t>C PACK CREATIVE PACKAGING S/A - PGTO REF.COMPRA DE MP</t>
        </is>
      </c>
    </row>
    <row r="492">
      <c r="A492" t="n">
        <v>491</v>
      </c>
      <c r="B492" t="inlineStr">
        <is>
          <t>13/03/2026</t>
        </is>
      </c>
      <c r="C492" t="inlineStr">
        <is>
          <t>REF. A MOV TIT COB DISP 13/03S</t>
        </is>
      </c>
      <c r="D492" s="7" t="n">
        <v>2364.94</v>
      </c>
      <c r="E492" t="inlineStr">
        <is>
          <t>504</t>
        </is>
      </c>
      <c r="F492" t="inlineStr">
        <is>
          <t>CLIENTES DIVERSOS</t>
        </is>
      </c>
      <c r="G492" s="2" t="inlineStr">
        <is>
          <t>504</t>
        </is>
      </c>
      <c r="H492">
        <f>IFERROR(VLOOKUP(G492&amp;"",PLANO!A:B,2,FALSE),"CONTA NAO EXISTE NO PLANO")</f>
        <v/>
      </c>
      <c r="I492" t="inlineStr">
        <is>
          <t>504</t>
        </is>
      </c>
      <c r="J492" t="inlineStr">
        <is>
          <t>SEM COSMOS</t>
        </is>
      </c>
      <c r="K492" t="inlineStr"/>
      <c r="L492" t="inlineStr"/>
      <c r="M492" t="inlineStr">
        <is>
          <t>MOV TIT COB DISP 13/03S</t>
        </is>
      </c>
    </row>
    <row r="493">
      <c r="A493" t="n">
        <v>492</v>
      </c>
      <c r="B493" t="inlineStr">
        <is>
          <t>13/03/2026</t>
        </is>
      </c>
      <c r="C493" t="inlineStr">
        <is>
          <t>REF. A PIX TRANSF DILSON 13/03</t>
        </is>
      </c>
      <c r="D493" s="7" t="n">
        <v>3000</v>
      </c>
      <c r="E493" t="inlineStr">
        <is>
          <t>504</t>
        </is>
      </c>
      <c r="F493" t="inlineStr">
        <is>
          <t>CLIENTES DIVERSOS</t>
        </is>
      </c>
      <c r="G493" s="2" t="inlineStr">
        <is>
          <t>504</t>
        </is>
      </c>
      <c r="H493">
        <f>IFERROR(VLOOKUP(G493&amp;"",PLANO!A:B,2,FALSE),"CONTA NAO EXISTE NO PLANO")</f>
        <v/>
      </c>
      <c r="I493" t="inlineStr">
        <is>
          <t>504</t>
        </is>
      </c>
      <c r="J493" t="inlineStr">
        <is>
          <t>SEM COSMOS</t>
        </is>
      </c>
      <c r="K493" t="inlineStr"/>
      <c r="L493" t="inlineStr"/>
      <c r="M493" t="inlineStr">
        <is>
          <t>PIX TRANSF DILSON 13/03</t>
        </is>
      </c>
    </row>
    <row r="494">
      <c r="A494" t="n">
        <v>493</v>
      </c>
      <c r="B494" t="inlineStr">
        <is>
          <t>13/03/2026</t>
        </is>
      </c>
      <c r="C494" t="inlineStr">
        <is>
          <t>REF. A PIX TRANSF ESSENDA13/03</t>
        </is>
      </c>
      <c r="D494" s="7" t="n">
        <v>2500</v>
      </c>
      <c r="E494" t="inlineStr">
        <is>
          <t>504</t>
        </is>
      </c>
      <c r="F494" t="inlineStr">
        <is>
          <t>CLIENTES DIVERSOS</t>
        </is>
      </c>
      <c r="G494" s="2" t="inlineStr">
        <is>
          <t>504</t>
        </is>
      </c>
      <c r="H494">
        <f>IFERROR(VLOOKUP(G494&amp;"",PLANO!A:B,2,FALSE),"CONTA NAO EXISTE NO PLANO")</f>
        <v/>
      </c>
      <c r="I494" t="inlineStr">
        <is>
          <t>504</t>
        </is>
      </c>
      <c r="J494" t="inlineStr">
        <is>
          <t>SEM COSMOS</t>
        </is>
      </c>
      <c r="K494" t="inlineStr"/>
      <c r="L494" t="inlineStr"/>
      <c r="M494" t="inlineStr">
        <is>
          <t>PIX TRANSF ESSENDA13/03</t>
        </is>
      </c>
    </row>
    <row r="495">
      <c r="A495" t="n">
        <v>494</v>
      </c>
      <c r="B495" t="inlineStr">
        <is>
          <t>13/03/2026</t>
        </is>
      </c>
      <c r="C495" t="inlineStr">
        <is>
          <t>REF. A PIX TRANSF LUAN PA13/03</t>
        </is>
      </c>
      <c r="D495" s="7" t="n">
        <v>6000</v>
      </c>
      <c r="E495" t="inlineStr">
        <is>
          <t>504</t>
        </is>
      </c>
      <c r="F495" t="inlineStr">
        <is>
          <t>CLIENTES DIVERSOS</t>
        </is>
      </c>
      <c r="G495" s="2" t="inlineStr">
        <is>
          <t>504</t>
        </is>
      </c>
      <c r="H495">
        <f>IFERROR(VLOOKUP(G495&amp;"",PLANO!A:B,2,FALSE),"CONTA NAO EXISTE NO PLANO")</f>
        <v/>
      </c>
      <c r="I495" t="inlineStr">
        <is>
          <t>504</t>
        </is>
      </c>
      <c r="J495" t="inlineStr">
        <is>
          <t>SEM COSMOS</t>
        </is>
      </c>
      <c r="K495" t="inlineStr"/>
      <c r="L495" t="inlineStr"/>
      <c r="M495" t="inlineStr">
        <is>
          <t>PIX TRANSF LUAN PA13/03</t>
        </is>
      </c>
    </row>
    <row r="496">
      <c r="A496" t="n">
        <v>495</v>
      </c>
      <c r="B496" t="inlineStr">
        <is>
          <t>13/03/2026</t>
        </is>
      </c>
      <c r="C496" t="inlineStr">
        <is>
          <t>REF. A TED 363.0001.RNX F M D R</t>
        </is>
      </c>
      <c r="D496" s="7" t="n">
        <v>7105.18</v>
      </c>
      <c r="E496" t="inlineStr">
        <is>
          <t>504</t>
        </is>
      </c>
      <c r="F496" t="inlineStr">
        <is>
          <t>CLIENTES DIVERSOS</t>
        </is>
      </c>
      <c r="G496" s="2" t="inlineStr">
        <is>
          <t>504</t>
        </is>
      </c>
      <c r="H496">
        <f>IFERROR(VLOOKUP(G496&amp;"",PLANO!A:B,2,FALSE),"CONTA NAO EXISTE NO PLANO")</f>
        <v/>
      </c>
      <c r="I496" t="inlineStr">
        <is>
          <t>504</t>
        </is>
      </c>
      <c r="J496" t="inlineStr">
        <is>
          <t>SEM COSMOS</t>
        </is>
      </c>
      <c r="K496" t="inlineStr"/>
      <c r="L496" t="inlineStr"/>
      <c r="M496" t="inlineStr">
        <is>
          <t>TED 363.0001.RNX F M D R</t>
        </is>
      </c>
    </row>
    <row r="497">
      <c r="A497" t="n">
        <v>496</v>
      </c>
      <c r="B497" t="inlineStr">
        <is>
          <t>13/03/2026</t>
        </is>
      </c>
      <c r="C497" t="inlineStr">
        <is>
          <t>SKIN LAB INDUSTRIA E COMERCIO DE COSMETICOS LTDA</t>
        </is>
      </c>
      <c r="D497" s="7" t="n">
        <v>-2802.91</v>
      </c>
      <c r="E497" t="inlineStr">
        <is>
          <t>506</t>
        </is>
      </c>
      <c r="F497" t="inlineStr">
        <is>
          <t>FORNECEDORES DIVERSOS</t>
        </is>
      </c>
      <c r="G497" s="2" t="inlineStr">
        <is>
          <t>506</t>
        </is>
      </c>
      <c r="H497">
        <f>IFERROR(VLOOKUP(G497&amp;"",PLANO!A:B,2,FALSE),"CONTA NAO EXISTE NO PLANO")</f>
        <v/>
      </c>
      <c r="I497" t="inlineStr">
        <is>
          <t>506</t>
        </is>
      </c>
      <c r="J497" t="inlineStr">
        <is>
          <t>OK</t>
        </is>
      </c>
      <c r="K497" t="inlineStr">
        <is>
          <t>fornecedor com NF</t>
        </is>
      </c>
      <c r="L497" t="inlineStr">
        <is>
          <t xml:space="preserve">SKIN LAB INDUSTRIA E COMERCIO DE COSMETICOS LTDA | 113/78 | </t>
        </is>
      </c>
      <c r="M497" t="inlineStr">
        <is>
          <t>SKIN LAB INDUSTRIA E COMERCIO DE COSMETICOS LTDA</t>
        </is>
      </c>
    </row>
    <row r="498">
      <c r="A498" t="n">
        <v>497</v>
      </c>
      <c r="B498" t="inlineStr">
        <is>
          <t>13/03/2026</t>
        </is>
      </c>
      <c r="C498" t="inlineStr">
        <is>
          <t>PIX ENVIADO ALINE DA SIL</t>
        </is>
      </c>
      <c r="D498" s="7" t="n">
        <v>-3655</v>
      </c>
      <c r="E498" t="inlineStr">
        <is>
          <t>506</t>
        </is>
      </c>
      <c r="F498" t="inlineStr">
        <is>
          <t>FORNECEDORES DIVERSOS</t>
        </is>
      </c>
      <c r="G498" s="2" t="inlineStr">
        <is>
          <t>506</t>
        </is>
      </c>
      <c r="H498">
        <f>IFERROR(VLOOKUP(G498&amp;"",PLANO!A:B,2,FALSE),"CONTA NAO EXISTE NO PLANO")</f>
        <v/>
      </c>
      <c r="I498" t="inlineStr">
        <is>
          <t>506</t>
        </is>
      </c>
      <c r="J498" t="inlineStr">
        <is>
          <t>SEM COSMOS</t>
        </is>
      </c>
      <c r="K498" t="inlineStr"/>
      <c r="L498" t="inlineStr"/>
      <c r="M498" t="inlineStr">
        <is>
          <t>PIX ENVIADO ALINE DA SIL</t>
        </is>
      </c>
    </row>
    <row r="499">
      <c r="A499" s="4" t="n">
        <v>498</v>
      </c>
      <c r="B499" s="4" t="inlineStr">
        <is>
          <t>13/03/2026</t>
        </is>
      </c>
      <c r="C499" s="4" t="inlineStr">
        <is>
          <t>REF. A PIX ENVIADO GULA COSMETI</t>
        </is>
      </c>
      <c r="D499" s="5" t="n">
        <v>-7000</v>
      </c>
      <c r="E499" s="4" t="inlineStr">
        <is>
          <t>506</t>
        </is>
      </c>
      <c r="F499" s="4" t="inlineStr">
        <is>
          <t>FORNECEDORES DIVERSOS</t>
        </is>
      </c>
      <c r="G499" s="6" t="inlineStr">
        <is>
          <t>366</t>
        </is>
      </c>
      <c r="H499" s="4">
        <f>IFERROR(VLOOKUP(G499&amp;"",PLANO!A:B,2,FALSE),"CONTA NAO EXISTE NO PLANO")</f>
        <v/>
      </c>
      <c r="I499" s="4" t="inlineStr">
        <is>
          <t>672</t>
        </is>
      </c>
      <c r="J499" s="4" t="inlineStr">
        <is>
          <t>AJUSTADO</t>
        </is>
      </c>
      <c r="K499" s="4" t="inlineStr">
        <is>
          <t>GULA/FIQUE BEM (mesmo CNPJ, empresa do grupo) - mutuo em EMPRESTIMOS A TERCEIROS (366); nao e fornecedor</t>
        </is>
      </c>
      <c r="L499" s="4" t="inlineStr">
        <is>
          <t xml:space="preserve">OUTRAS SAIDAS | 123/71 | </t>
        </is>
      </c>
      <c r="M499" s="4" t="inlineStr">
        <is>
          <t>PIX ENVIADO GULA COSMETI</t>
        </is>
      </c>
    </row>
    <row r="500">
      <c r="A500" t="n">
        <v>499</v>
      </c>
      <c r="B500" t="inlineStr">
        <is>
          <t>13/03/2026</t>
        </is>
      </c>
      <c r="C500" t="inlineStr">
        <is>
          <t>DECORBEL INDUSTRIA E COMERCIO DE EMBALAGENS EIRELI</t>
        </is>
      </c>
      <c r="D500" s="7" t="n">
        <v>-3600</v>
      </c>
      <c r="E500" t="inlineStr">
        <is>
          <t>506</t>
        </is>
      </c>
      <c r="F500" t="inlineStr">
        <is>
          <t>FORNECEDORES DIVERSOS</t>
        </is>
      </c>
      <c r="G500" s="2" t="inlineStr">
        <is>
          <t>506</t>
        </is>
      </c>
      <c r="H500">
        <f>IFERROR(VLOOKUP(G500&amp;"",PLANO!A:B,2,FALSE),"CONTA NAO EXISTE NO PLANO")</f>
        <v/>
      </c>
      <c r="I500" t="inlineStr">
        <is>
          <t>506</t>
        </is>
      </c>
      <c r="J500" t="inlineStr">
        <is>
          <t>OK</t>
        </is>
      </c>
      <c r="K500" t="inlineStr">
        <is>
          <t>fornecedor com NF</t>
        </is>
      </c>
      <c r="L500" t="inlineStr">
        <is>
          <t xml:space="preserve">DECORBEL INDUSTRIA E COMERCIO DE EMBALAGENS EIRELI | 113/78 | </t>
        </is>
      </c>
      <c r="M500" t="inlineStr">
        <is>
          <t>DECORBEL INDUSTRIA E COMERCIO DE EMBALAGENS EIRELI</t>
        </is>
      </c>
    </row>
    <row r="501">
      <c r="A501" s="4" t="n">
        <v>500</v>
      </c>
      <c r="B501" s="4" t="inlineStr">
        <is>
          <t>13/03/2026</t>
        </is>
      </c>
      <c r="C501" s="4" t="inlineStr">
        <is>
          <t>REF. A PIX ENVIADO COSMETICON C (OUTRAS SAIDAS)</t>
        </is>
      </c>
      <c r="D501" s="5" t="n">
        <v>-6500</v>
      </c>
      <c r="E501" s="4" t="inlineStr">
        <is>
          <t>664</t>
        </is>
      </c>
      <c r="F501" s="4" t="inlineStr">
        <is>
          <t>COSMETICON COMERCIO DE COSMETICOS LTDA</t>
        </is>
      </c>
      <c r="G501" s="6" t="inlineStr">
        <is>
          <t>663</t>
        </is>
      </c>
      <c r="H501" s="4">
        <f>IFERROR(VLOOKUP(G501&amp;"",PLANO!A:B,2,FALSE),"CONTA NAO EXISTE NO PLANO")</f>
        <v/>
      </c>
      <c r="I501" s="4" t="inlineStr">
        <is>
          <t>663</t>
        </is>
      </c>
      <c r="J501" s="4" t="inlineStr">
        <is>
          <t>AJUSTADO</t>
        </is>
      </c>
      <c r="K501" s="4" t="inlineStr">
        <is>
          <t>COSMETICON - conta-corrente unica de mutuo (663)</t>
        </is>
      </c>
      <c r="L501" s="4" t="inlineStr">
        <is>
          <t xml:space="preserve">OUTRAS SAIDAS | 123/71 | </t>
        </is>
      </c>
      <c r="M501" s="4" t="inlineStr">
        <is>
          <t>PIX ENVIADO COSMETICON C (OUTRAS SAIDAS)</t>
        </is>
      </c>
    </row>
    <row r="502">
      <c r="A502" t="n">
        <v>501</v>
      </c>
      <c r="B502" t="inlineStr">
        <is>
          <t>13/03/2026</t>
        </is>
      </c>
      <c r="C502" t="inlineStr">
        <is>
          <t>H S INKLASER LTDA PAGAMENTO REFERENTE A COMPRA DE CARTUCHO DE TINTAPARA A DATADORA DE CARTUCHOS</t>
        </is>
      </c>
      <c r="D502" s="7" t="n">
        <v>-1074.5</v>
      </c>
      <c r="E502" t="inlineStr">
        <is>
          <t>506</t>
        </is>
      </c>
      <c r="F502" t="inlineStr">
        <is>
          <t>FORNECEDORES DIVERSOS</t>
        </is>
      </c>
      <c r="G502" s="2" t="inlineStr">
        <is>
          <t>506</t>
        </is>
      </c>
      <c r="H502">
        <f>IFERROR(VLOOKUP(G502&amp;"",PLANO!A:B,2,FALSE),"CONTA NAO EXISTE NO PLANO")</f>
        <v/>
      </c>
      <c r="I502" t="inlineStr">
        <is>
          <t>506</t>
        </is>
      </c>
      <c r="J502" t="inlineStr">
        <is>
          <t>OK</t>
        </is>
      </c>
      <c r="K502" t="inlineStr">
        <is>
          <t>fornecedor com NF</t>
        </is>
      </c>
      <c r="L502" t="inlineStr">
        <is>
          <t>H S INKLASER LTDA | 115/116 | PAGAMENTO REFERENTE A COMPRA DE CARTUCHO DE TINTA PARA A DATADORA DE CARTUCHOS</t>
        </is>
      </c>
      <c r="M502" t="inlineStr">
        <is>
          <t>H S INKLASER LTDA - PAGAMENTO REFERENTE A COMPRA DE CARTUCHO DE TINTA PARA A DATADORA DE CARTUCHOS</t>
        </is>
      </c>
    </row>
    <row r="503">
      <c r="A503" t="n">
        <v>502</v>
      </c>
      <c r="B503" t="inlineStr">
        <is>
          <t>13/03/2026</t>
        </is>
      </c>
      <c r="C503" t="inlineStr">
        <is>
          <t>TRANS TOMAZ - TRANSPORTES RODOVIARIOS DE CARGAS EIRELIPAGAMENTO REFERENTE A FRETE SOBRE COMPRA</t>
        </is>
      </c>
      <c r="D503" s="7" t="n">
        <v>-432.7</v>
      </c>
      <c r="E503" t="inlineStr">
        <is>
          <t>312</t>
        </is>
      </c>
      <c r="F503" t="inlineStr">
        <is>
          <t>FRETES E CARRETOS</t>
        </is>
      </c>
      <c r="G503" s="2" t="inlineStr">
        <is>
          <t>312</t>
        </is>
      </c>
      <c r="H503">
        <f>IFERROR(VLOOKUP(G503&amp;"",PLANO!A:B,2,FALSE),"CONTA NAO EXISTE NO PLANO")</f>
        <v/>
      </c>
      <c r="I503" t="inlineStr">
        <is>
          <t>312</t>
        </is>
      </c>
      <c r="J503" t="inlineStr">
        <is>
          <t>OK</t>
        </is>
      </c>
      <c r="K503" t="inlineStr">
        <is>
          <t>categoria Cosmos 4</t>
        </is>
      </c>
      <c r="L503" t="inlineStr">
        <is>
          <t>TRANS TOMAZ TRANSPORTES RODOVIARIOS DE CARGAS EIRELI | 115/4 | PAGAMENTO REFERENTE A FRETE SOBRE COMPRA</t>
        </is>
      </c>
      <c r="M503" t="inlineStr">
        <is>
          <t>TRANS TOMAZ TRANSPORTES RODOVIARIOS DE CARGAS EIRELI - PAGAMENTO REFERENTE A FRETE SOBRE COMPRA</t>
        </is>
      </c>
    </row>
    <row r="504">
      <c r="A504" t="n">
        <v>503</v>
      </c>
      <c r="B504" t="inlineStr">
        <is>
          <t>16/03/2026</t>
        </is>
      </c>
      <c r="C504" t="inlineStr">
        <is>
          <t>REF. A SISPAG GUIDI COSMETICOS</t>
        </is>
      </c>
      <c r="D504" s="7" t="n">
        <v>1800</v>
      </c>
      <c r="E504" t="inlineStr">
        <is>
          <t>504</t>
        </is>
      </c>
      <c r="F504" t="inlineStr">
        <is>
          <t>CLIENTES DIVERSOS</t>
        </is>
      </c>
      <c r="G504" s="2" t="inlineStr">
        <is>
          <t>504</t>
        </is>
      </c>
      <c r="H504">
        <f>IFERROR(VLOOKUP(G504&amp;"",PLANO!A:B,2,FALSE),"CONTA NAO EXISTE NO PLANO")</f>
        <v/>
      </c>
      <c r="I504" t="inlineStr">
        <is>
          <t>504</t>
        </is>
      </c>
      <c r="J504" t="inlineStr">
        <is>
          <t>SEM COSMOS</t>
        </is>
      </c>
      <c r="K504" t="inlineStr"/>
      <c r="L504" t="inlineStr"/>
      <c r="M504" t="inlineStr">
        <is>
          <t>SISPAG GUIDI COSMETICOS</t>
        </is>
      </c>
    </row>
    <row r="505">
      <c r="A505" t="n">
        <v>504</v>
      </c>
      <c r="B505" t="inlineStr">
        <is>
          <t>16/03/2026</t>
        </is>
      </c>
      <c r="C505" t="inlineStr">
        <is>
          <t>REF. A MOV TIT COB DISP 16/03S</t>
        </is>
      </c>
      <c r="D505" s="7" t="n">
        <v>233.07</v>
      </c>
      <c r="E505" t="inlineStr">
        <is>
          <t>504</t>
        </is>
      </c>
      <c r="F505" t="inlineStr">
        <is>
          <t>CLIENTES DIVERSOS</t>
        </is>
      </c>
      <c r="G505" s="2" t="inlineStr">
        <is>
          <t>504</t>
        </is>
      </c>
      <c r="H505">
        <f>IFERROR(VLOOKUP(G505&amp;"",PLANO!A:B,2,FALSE),"CONTA NAO EXISTE NO PLANO")</f>
        <v/>
      </c>
      <c r="I505" t="inlineStr">
        <is>
          <t>504</t>
        </is>
      </c>
      <c r="J505" t="inlineStr">
        <is>
          <t>SEM COSMOS</t>
        </is>
      </c>
      <c r="K505" t="inlineStr"/>
      <c r="L505" t="inlineStr"/>
      <c r="M505" t="inlineStr">
        <is>
          <t>MOV TIT COB DISP 16/03S</t>
        </is>
      </c>
    </row>
    <row r="506">
      <c r="A506" t="n">
        <v>505</v>
      </c>
      <c r="B506" t="inlineStr">
        <is>
          <t>16/03/2026</t>
        </is>
      </c>
      <c r="C506" t="inlineStr">
        <is>
          <t>REF. A REDE MAST AT0081996543</t>
        </is>
      </c>
      <c r="D506" s="7" t="n">
        <v>941</v>
      </c>
      <c r="E506" t="inlineStr">
        <is>
          <t>504</t>
        </is>
      </c>
      <c r="F506" t="inlineStr">
        <is>
          <t>CLIENTES DIVERSOS</t>
        </is>
      </c>
      <c r="G506" s="2" t="inlineStr">
        <is>
          <t>504</t>
        </is>
      </c>
      <c r="H506">
        <f>IFERROR(VLOOKUP(G506&amp;"",PLANO!A:B,2,FALSE),"CONTA NAO EXISTE NO PLANO")</f>
        <v/>
      </c>
      <c r="I506" t="inlineStr">
        <is>
          <t>504</t>
        </is>
      </c>
      <c r="J506" t="inlineStr">
        <is>
          <t>SEM COSMOS</t>
        </is>
      </c>
      <c r="K506" t="inlineStr"/>
      <c r="L506" t="inlineStr"/>
      <c r="M506" t="inlineStr">
        <is>
          <t>REDE MAST AT0081996543</t>
        </is>
      </c>
    </row>
    <row r="507">
      <c r="A507" t="n">
        <v>506</v>
      </c>
      <c r="B507" t="inlineStr">
        <is>
          <t>16/03/2026</t>
        </is>
      </c>
      <c r="C507" t="inlineStr">
        <is>
          <t>REF. A REDE VISA AT0081996543</t>
        </is>
      </c>
      <c r="D507" s="7" t="n">
        <v>9342.08</v>
      </c>
      <c r="E507" t="inlineStr">
        <is>
          <t>504</t>
        </is>
      </c>
      <c r="F507" t="inlineStr">
        <is>
          <t>CLIENTES DIVERSOS</t>
        </is>
      </c>
      <c r="G507" s="2" t="inlineStr">
        <is>
          <t>504</t>
        </is>
      </c>
      <c r="H507">
        <f>IFERROR(VLOOKUP(G507&amp;"",PLANO!A:B,2,FALSE),"CONTA NAO EXISTE NO PLANO")</f>
        <v/>
      </c>
      <c r="I507" t="inlineStr">
        <is>
          <t>504</t>
        </is>
      </c>
      <c r="J507" t="inlineStr">
        <is>
          <t>SEM COSMOS</t>
        </is>
      </c>
      <c r="K507" t="inlineStr"/>
      <c r="L507" t="inlineStr"/>
      <c r="M507" t="inlineStr">
        <is>
          <t>REDE VISA AT0081996543</t>
        </is>
      </c>
    </row>
    <row r="508">
      <c r="A508" s="4" t="n">
        <v>507</v>
      </c>
      <c r="B508" s="4" t="inlineStr">
        <is>
          <t>16/03/2026</t>
        </is>
      </c>
      <c r="C508" s="4" t="inlineStr">
        <is>
          <t>REF. A PIX ENVIADO GULA COSMETI (OUTRAS SAIDAS)</t>
        </is>
      </c>
      <c r="D508" s="5" t="n">
        <v>-13500</v>
      </c>
      <c r="E508" s="4" t="inlineStr">
        <is>
          <t>506</t>
        </is>
      </c>
      <c r="F508" s="4" t="inlineStr">
        <is>
          <t>FORNECEDORES DIVERSOS</t>
        </is>
      </c>
      <c r="G508" s="6" t="inlineStr">
        <is>
          <t>366</t>
        </is>
      </c>
      <c r="H508" s="4">
        <f>IFERROR(VLOOKUP(G508&amp;"",PLANO!A:B,2,FALSE),"CONTA NAO EXISTE NO PLANO")</f>
        <v/>
      </c>
      <c r="I508" s="4" t="inlineStr">
        <is>
          <t>672</t>
        </is>
      </c>
      <c r="J508" s="4" t="inlineStr">
        <is>
          <t>AJUSTADO</t>
        </is>
      </c>
      <c r="K508" s="4" t="inlineStr">
        <is>
          <t>GULA/FIQUE BEM (mesmo CNPJ, empresa do grupo) - mutuo em EMPRESTIMOS A TERCEIROS (366); nao e fornecedor</t>
        </is>
      </c>
      <c r="L508" s="4" t="inlineStr">
        <is>
          <t xml:space="preserve">OUTRAS SAIDAS | 123/71 | </t>
        </is>
      </c>
      <c r="M508" s="4" t="inlineStr">
        <is>
          <t>PIX ENVIADO GULA COSMETI (OUTRAS SAIDAS)</t>
        </is>
      </c>
    </row>
    <row r="509">
      <c r="A509" s="4" t="n">
        <v>508</v>
      </c>
      <c r="B509" s="4" t="inlineStr">
        <is>
          <t>16/03/2026</t>
        </is>
      </c>
      <c r="C509" s="4" t="inlineStr">
        <is>
          <t>REF. A PIX ENVIADO COSMETICON C</t>
        </is>
      </c>
      <c r="D509" s="5" t="n">
        <v>-4000</v>
      </c>
      <c r="E509" s="4" t="inlineStr">
        <is>
          <t>664</t>
        </is>
      </c>
      <c r="F509" s="4" t="inlineStr">
        <is>
          <t>COSMETICON COMERCIO DE COSMETICOS LTDA</t>
        </is>
      </c>
      <c r="G509" s="6" t="inlineStr">
        <is>
          <t>663</t>
        </is>
      </c>
      <c r="H509" s="4">
        <f>IFERROR(VLOOKUP(G509&amp;"",PLANO!A:B,2,FALSE),"CONTA NAO EXISTE NO PLANO")</f>
        <v/>
      </c>
      <c r="I509" s="4" t="inlineStr">
        <is>
          <t>663</t>
        </is>
      </c>
      <c r="J509" s="4" t="inlineStr">
        <is>
          <t>AJUSTADO</t>
        </is>
      </c>
      <c r="K509" s="4" t="inlineStr">
        <is>
          <t>COSMETICON - conta-corrente unica de mutuo (663)</t>
        </is>
      </c>
      <c r="L509" s="4" t="inlineStr"/>
      <c r="M509" s="4" t="inlineStr">
        <is>
          <t>PIX ENVIADO COSMETICON C</t>
        </is>
      </c>
    </row>
    <row r="510">
      <c r="A510" t="n">
        <v>509</v>
      </c>
      <c r="B510" t="inlineStr">
        <is>
          <t>16/03/2026</t>
        </is>
      </c>
      <c r="C510" t="inlineStr">
        <is>
          <t>COPEL TELECOMUNICACOES S.A. PGTO REF.SERVIÇO DE IP FIXO  (LIGGA INTERNET)</t>
        </is>
      </c>
      <c r="D510" s="7" t="n">
        <v>-559.92</v>
      </c>
      <c r="E510" t="inlineStr">
        <is>
          <t>555</t>
        </is>
      </c>
      <c r="F510" t="inlineStr">
        <is>
          <t>INTERNET</t>
        </is>
      </c>
      <c r="G510" s="2" t="inlineStr">
        <is>
          <t>555</t>
        </is>
      </c>
      <c r="H510">
        <f>IFERROR(VLOOKUP(G510&amp;"",PLANO!A:B,2,FALSE),"CONTA NAO EXISTE NO PLANO")</f>
        <v/>
      </c>
      <c r="I510" t="inlineStr">
        <is>
          <t>555</t>
        </is>
      </c>
      <c r="J510" t="inlineStr">
        <is>
          <t>OK</t>
        </is>
      </c>
      <c r="K510" t="inlineStr">
        <is>
          <t>categoria Cosmos 14</t>
        </is>
      </c>
      <c r="L510" t="inlineStr">
        <is>
          <t>COPEL TELECOMUNICACOES S.A. | 115/14 | PGTO REF.SERVIÇO DE IP FIXO</t>
        </is>
      </c>
      <c r="M510" t="inlineStr">
        <is>
          <t>COPEL TELECOMUNICACOES S.A. - PGTO REF.SERVIÇO DE IP FIXO</t>
        </is>
      </c>
    </row>
    <row r="511">
      <c r="A511" t="n">
        <v>510</v>
      </c>
      <c r="B511" t="inlineStr">
        <is>
          <t>16/03/2026</t>
        </is>
      </c>
      <c r="C511" t="inlineStr">
        <is>
          <t>AZUL LINHAS AEREAS BRASILEIRAS S.A. PAG REF A FRETE SOBRE VENDAS</t>
        </is>
      </c>
      <c r="D511" s="7" t="n">
        <v>-243.12</v>
      </c>
      <c r="E511" t="inlineStr">
        <is>
          <t>312</t>
        </is>
      </c>
      <c r="F511" t="inlineStr">
        <is>
          <t>FRETES E CARRETOS</t>
        </is>
      </c>
      <c r="G511" s="2" t="inlineStr">
        <is>
          <t>312</t>
        </is>
      </c>
      <c r="H511">
        <f>IFERROR(VLOOKUP(G511&amp;"",PLANO!A:B,2,FALSE),"CONTA NAO EXISTE NO PLANO")</f>
        <v/>
      </c>
      <c r="I511" t="inlineStr">
        <is>
          <t>312</t>
        </is>
      </c>
      <c r="J511" t="inlineStr">
        <is>
          <t>OK</t>
        </is>
      </c>
      <c r="K511" t="inlineStr">
        <is>
          <t>categoria Cosmos 97</t>
        </is>
      </c>
      <c r="L511" t="inlineStr">
        <is>
          <t>AZUL LINHAS AEREAS BRASILEIRAS S.A. | 115/97 | PAG REF A FRETE SOBRE VENDAS</t>
        </is>
      </c>
      <c r="M511" t="inlineStr">
        <is>
          <t>AZUL LINHAS AEREAS BRASILEIRAS S.A. - PAG REF A FRETE SOBRE VENDAS</t>
        </is>
      </c>
    </row>
    <row r="512">
      <c r="A512" t="n">
        <v>511</v>
      </c>
      <c r="B512" t="inlineStr">
        <is>
          <t>16/03/2026</t>
        </is>
      </c>
      <c r="C512" t="inlineStr">
        <is>
          <t>EMBACAPS QUIMICA E FARMACEUTICA LTDA PAGAMENTO REFERENTE A COMPRA DE MATERIA PRIMA,ALCOOL CETO 1TON E TEXAPON ZACD 50KG</t>
        </is>
      </c>
      <c r="D512" s="7" t="n">
        <v>-3182.48</v>
      </c>
      <c r="E512" t="inlineStr">
        <is>
          <t>506</t>
        </is>
      </c>
      <c r="F512" t="inlineStr">
        <is>
          <t>FORNECEDORES DIVERSOS</t>
        </is>
      </c>
      <c r="G512" s="2" t="inlineStr">
        <is>
          <t>506</t>
        </is>
      </c>
      <c r="H512">
        <f>IFERROR(VLOOKUP(G512&amp;"",PLANO!A:B,2,FALSE),"CONTA NAO EXISTE NO PLANO")</f>
        <v/>
      </c>
      <c r="I512" t="inlineStr">
        <is>
          <t>506</t>
        </is>
      </c>
      <c r="J512" t="inlineStr">
        <is>
          <t>OK</t>
        </is>
      </c>
      <c r="K512" t="inlineStr">
        <is>
          <t>fornecedor com NF</t>
        </is>
      </c>
      <c r="L512" t="inlineStr">
        <is>
          <t>EMBACAPS QUIMICA E FARMACEUTICA LTDA | 115/6 | PAGAMENTO REFERENTE A COMPRA DE MATERIA PRIMA, ALCOOL CETO 1TON E TEXAPON ZACD 50KG</t>
        </is>
      </c>
      <c r="M512" t="inlineStr">
        <is>
          <t>EMBACAPS QUIMICA E FARMACEUTICA LTDA - PAGAMENTO REFERENTE A COMPRA DE MATERIA PRIMA, ALCOOL CETO 1TON E TEXAPON ZACD 5</t>
        </is>
      </c>
    </row>
    <row r="513">
      <c r="A513" t="n">
        <v>512</v>
      </c>
      <c r="B513" t="inlineStr">
        <is>
          <t>17/03/2026</t>
        </is>
      </c>
      <c r="C513" t="inlineStr">
        <is>
          <t>REF. A MOV TIT COB DISP 17/03S</t>
        </is>
      </c>
      <c r="D513" s="7" t="n">
        <v>949.85</v>
      </c>
      <c r="E513" t="inlineStr">
        <is>
          <t>504</t>
        </is>
      </c>
      <c r="F513" t="inlineStr">
        <is>
          <t>CLIENTES DIVERSOS</t>
        </is>
      </c>
      <c r="G513" s="2" t="inlineStr">
        <is>
          <t>504</t>
        </is>
      </c>
      <c r="H513">
        <f>IFERROR(VLOOKUP(G513&amp;"",PLANO!A:B,2,FALSE),"CONTA NAO EXISTE NO PLANO")</f>
        <v/>
      </c>
      <c r="I513" t="inlineStr">
        <is>
          <t>504</t>
        </is>
      </c>
      <c r="J513" t="inlineStr">
        <is>
          <t>SEM COSMOS</t>
        </is>
      </c>
      <c r="K513" t="inlineStr"/>
      <c r="L513" t="inlineStr"/>
      <c r="M513" t="inlineStr">
        <is>
          <t>MOV TIT COB DISP 17/03S</t>
        </is>
      </c>
    </row>
    <row r="514">
      <c r="A514" t="n">
        <v>513</v>
      </c>
      <c r="B514" t="inlineStr">
        <is>
          <t>17/03/2026</t>
        </is>
      </c>
      <c r="C514" t="inlineStr">
        <is>
          <t>REF. A PIX TRANSF JRB COS17/03</t>
        </is>
      </c>
      <c r="D514" s="7" t="n">
        <v>4000</v>
      </c>
      <c r="E514" t="inlineStr">
        <is>
          <t>504</t>
        </is>
      </c>
      <c r="F514" t="inlineStr">
        <is>
          <t>CLIENTES DIVERSOS</t>
        </is>
      </c>
      <c r="G514" s="2" t="inlineStr">
        <is>
          <t>504</t>
        </is>
      </c>
      <c r="H514">
        <f>IFERROR(VLOOKUP(G514&amp;"",PLANO!A:B,2,FALSE),"CONTA NAO EXISTE NO PLANO")</f>
        <v/>
      </c>
      <c r="I514" t="inlineStr">
        <is>
          <t>504</t>
        </is>
      </c>
      <c r="J514" t="inlineStr">
        <is>
          <t>SEM COSMOS</t>
        </is>
      </c>
      <c r="K514" t="inlineStr"/>
      <c r="L514" t="inlineStr"/>
      <c r="M514" t="inlineStr">
        <is>
          <t>PIX TRANSF JRB COS17/03</t>
        </is>
      </c>
    </row>
    <row r="515">
      <c r="A515" s="8" t="n">
        <v>514</v>
      </c>
      <c r="B515" s="8" t="inlineStr">
        <is>
          <t>17/03/2026</t>
        </is>
      </c>
      <c r="C515" s="8" t="inlineStr">
        <is>
          <t>SKIN LAB INDUSTRIA E COMERCIO DE COSMETICOS LTDA PAGAMENTO REFERENTE AO SALDO (PARCELADO) DO PEDIDODE POLAWAX</t>
        </is>
      </c>
      <c r="D515" s="9" t="n">
        <v>-3655</v>
      </c>
      <c r="E515" s="8" t="inlineStr">
        <is>
          <t>493</t>
        </is>
      </c>
      <c r="F515" s="8" t="inlineStr">
        <is>
          <t>DESPESAS DIVERSAS</t>
        </is>
      </c>
      <c r="G515" s="10" t="inlineStr">
        <is>
          <t>506</t>
        </is>
      </c>
      <c r="H515" s="8">
        <f>IFERROR(VLOOKUP(G515&amp;"",PLANO!A:B,2,FALSE),"CONTA NAO EXISTE NO PLANO")</f>
        <v/>
      </c>
      <c r="I515" s="8" t="inlineStr">
        <is>
          <t>506</t>
        </is>
      </c>
      <c r="J515" s="8" t="inlineStr">
        <is>
          <t>CORRIGIR</t>
        </is>
      </c>
      <c r="K515" s="8" t="inlineStr">
        <is>
          <t>fornecedor com NF (Cosmos: compra MP/embalagem) - pagamento deve baixar fornecedores 506</t>
        </is>
      </c>
      <c r="L515" s="8" t="inlineStr">
        <is>
          <t>SKIN LAB INDUSTRIA E COMERCIO DE COSMETICOS LTDA | 115/6 | PAGAMENTO REFERENTE AO SALDO (PARCELADO) DO PEDIDO DE POLAWAX</t>
        </is>
      </c>
      <c r="M515" s="8" t="inlineStr">
        <is>
          <t>SKIN LAB INDUSTRIA E COMERCIO DE COSMETICOS LTDA - PAGAMENTO REFERENTE AO SALDO (PARCELADO) DO PEDIDO DE POLAWAX</t>
        </is>
      </c>
    </row>
    <row r="516">
      <c r="A516" t="n">
        <v>515</v>
      </c>
      <c r="B516" t="inlineStr">
        <is>
          <t>17/03/2026</t>
        </is>
      </c>
      <c r="C516" t="inlineStr">
        <is>
          <t>NOVA PIRAMIDAL THERMOPLASTICS S.A.</t>
        </is>
      </c>
      <c r="D516" s="7" t="n">
        <v>-611.75</v>
      </c>
      <c r="E516" t="inlineStr">
        <is>
          <t>506</t>
        </is>
      </c>
      <c r="F516" t="inlineStr">
        <is>
          <t>FORNECEDORES DIVERSOS</t>
        </is>
      </c>
      <c r="G516" s="2" t="inlineStr">
        <is>
          <t>506</t>
        </is>
      </c>
      <c r="H516">
        <f>IFERROR(VLOOKUP(G516&amp;"",PLANO!A:B,2,FALSE),"CONTA NAO EXISTE NO PLANO")</f>
        <v/>
      </c>
      <c r="I516" t="inlineStr">
        <is>
          <t>506</t>
        </is>
      </c>
      <c r="J516" t="inlineStr">
        <is>
          <t>OK</t>
        </is>
      </c>
      <c r="K516" t="inlineStr">
        <is>
          <t>fornecedor com NF</t>
        </is>
      </c>
      <c r="L516" t="inlineStr">
        <is>
          <t xml:space="preserve">NOVA PIRAMIDAL THERMOPLASTICS S.A. | 113/78 | </t>
        </is>
      </c>
      <c r="M516" t="inlineStr">
        <is>
          <t>NOVA PIRAMIDAL THERMOPLASTICS S.A.</t>
        </is>
      </c>
    </row>
    <row r="517">
      <c r="A517" s="4" t="n">
        <v>516</v>
      </c>
      <c r="B517" s="4" t="inlineStr">
        <is>
          <t>17/03/2026</t>
        </is>
      </c>
      <c r="C517" s="4" t="inlineStr">
        <is>
          <t>REF. A PIX ENVIADO GULA COSMETI (OUTRAS SAIDAS)</t>
        </is>
      </c>
      <c r="D517" s="5" t="n">
        <v>-2000</v>
      </c>
      <c r="E517" s="4" t="inlineStr">
        <is>
          <t>506</t>
        </is>
      </c>
      <c r="F517" s="4" t="inlineStr">
        <is>
          <t>FORNECEDORES DIVERSOS</t>
        </is>
      </c>
      <c r="G517" s="6" t="inlineStr">
        <is>
          <t>366</t>
        </is>
      </c>
      <c r="H517" s="4">
        <f>IFERROR(VLOOKUP(G517&amp;"",PLANO!A:B,2,FALSE),"CONTA NAO EXISTE NO PLANO")</f>
        <v/>
      </c>
      <c r="I517" s="4" t="inlineStr">
        <is>
          <t>672</t>
        </is>
      </c>
      <c r="J517" s="4" t="inlineStr">
        <is>
          <t>AJUSTADO</t>
        </is>
      </c>
      <c r="K517" s="4" t="inlineStr">
        <is>
          <t>GULA/FIQUE BEM (mesmo CNPJ, empresa do grupo) - mutuo em EMPRESTIMOS A TERCEIROS (366); nao e fornecedor</t>
        </is>
      </c>
      <c r="L517" s="4" t="inlineStr">
        <is>
          <t xml:space="preserve">OUTRAS SAIDAS | 123/71 | </t>
        </is>
      </c>
      <c r="M517" s="4" t="inlineStr">
        <is>
          <t>PIX ENVIADO GULA COSMETI (OUTRAS SAIDAS)</t>
        </is>
      </c>
    </row>
    <row r="518">
      <c r="A518" t="n">
        <v>517</v>
      </c>
      <c r="B518" t="inlineStr">
        <is>
          <t>17/03/2026</t>
        </is>
      </c>
      <c r="C518" t="inlineStr">
        <is>
          <t>C - PACK CREATIVE PACKAGING S/A PGTO REF.COMPRA DE MP</t>
        </is>
      </c>
      <c r="D518" s="7" t="n">
        <v>-2999.7</v>
      </c>
      <c r="E518" t="inlineStr">
        <is>
          <t>506</t>
        </is>
      </c>
      <c r="F518" t="inlineStr">
        <is>
          <t>FORNECEDORES DIVERSOS</t>
        </is>
      </c>
      <c r="G518" s="2" t="inlineStr">
        <is>
          <t>506</t>
        </is>
      </c>
      <c r="H518">
        <f>IFERROR(VLOOKUP(G518&amp;"",PLANO!A:B,2,FALSE),"CONTA NAO EXISTE NO PLANO")</f>
        <v/>
      </c>
      <c r="I518" t="inlineStr">
        <is>
          <t>506</t>
        </is>
      </c>
      <c r="J518" t="inlineStr">
        <is>
          <t>OK</t>
        </is>
      </c>
      <c r="K518" t="inlineStr">
        <is>
          <t>fornecedor com NF</t>
        </is>
      </c>
      <c r="L518" t="inlineStr">
        <is>
          <t>C PACK CREATIVE PACKAGING S/A | 115/9 | PGTO REF.COMPRA DE MP</t>
        </is>
      </c>
      <c r="M518" t="inlineStr">
        <is>
          <t>C PACK CREATIVE PACKAGING S/A - PGTO REF.COMPRA DE MP</t>
        </is>
      </c>
    </row>
    <row r="519">
      <c r="A519" s="11" t="n">
        <v>518</v>
      </c>
      <c r="B519" s="11" t="inlineStr">
        <is>
          <t>17/03/2026</t>
        </is>
      </c>
      <c r="C519" s="11" t="inlineStr">
        <is>
          <t>L.C.Q.PQ - LABORATORIO DE CONTROLE DE QUALIDADE E PESQUISA L PGTO REF.AMOSTRA PARA ANÁLISE</t>
        </is>
      </c>
      <c r="D519" s="12" t="n">
        <v>-102.3</v>
      </c>
      <c r="E519" s="11" t="inlineStr">
        <is>
          <t>506</t>
        </is>
      </c>
      <c r="F519" s="11" t="inlineStr">
        <is>
          <t>FORNECEDORES DIVERSOS</t>
        </is>
      </c>
      <c r="G519" s="13" t="inlineStr">
        <is>
          <t>506</t>
        </is>
      </c>
      <c r="H519" s="11">
        <f>IFERROR(VLOOKUP(G519&amp;"",PLANO!A:B,2,FALSE),"CONTA NAO EXISTE NO PLANO")</f>
        <v/>
      </c>
      <c r="I519" s="11" t="inlineStr">
        <is>
          <t>506</t>
        </is>
      </c>
      <c r="J519" s="11" t="inlineStr">
        <is>
          <t>MANTIDO</t>
        </is>
      </c>
      <c r="K519" s="11" t="inlineStr">
        <is>
          <t>material laboratorio/contratipagem | mantida a conta atual (sem informacao que justifique troca)</t>
        </is>
      </c>
      <c r="L519" s="11" t="inlineStr">
        <is>
          <t>L.C.Q.PQ LABORATORIO DE CONTROLE DE QUALIDADE E PESQUISA L | 115/103 | PGTO REF.AMOSTRA PARA ANÁLISE</t>
        </is>
      </c>
      <c r="M519" s="11" t="inlineStr">
        <is>
          <t>L.C.Q.PQ LABORATORIO DE CONTROLE DE QUALIDADE E PESQUISA L - PGTO REF.AMOSTRA PARA ANÁLISE</t>
        </is>
      </c>
    </row>
    <row r="520">
      <c r="A520" s="11" t="n">
        <v>519</v>
      </c>
      <c r="B520" s="11" t="inlineStr">
        <is>
          <t>17/03/2026</t>
        </is>
      </c>
      <c r="C520" s="11" t="inlineStr">
        <is>
          <t>ECOPLUS - LAVANDERIA INDUSTRIAL - EIRELI PAGAMENTO REFERENTE A ALUGUEL DE PANOS DE LIMPEZA</t>
        </is>
      </c>
      <c r="D520" s="12" t="n">
        <v>-672</v>
      </c>
      <c r="E520" s="11" t="inlineStr">
        <is>
          <t>506</t>
        </is>
      </c>
      <c r="F520" s="11" t="inlineStr">
        <is>
          <t>FORNECEDORES DIVERSOS</t>
        </is>
      </c>
      <c r="G520" s="13" t="inlineStr">
        <is>
          <t>506</t>
        </is>
      </c>
      <c r="H520" s="11">
        <f>IFERROR(VLOOKUP(G520&amp;"",PLANO!A:B,2,FALSE),"CONTA NAO EXISTE NO PLANO")</f>
        <v/>
      </c>
      <c r="I520" s="11" t="inlineStr">
        <is>
          <t>506</t>
        </is>
      </c>
      <c r="J520" s="11" t="inlineStr">
        <is>
          <t>MANTIDO</t>
        </is>
      </c>
      <c r="K520" s="11" t="inlineStr">
        <is>
          <t>servicos diversos (lavanderia, dedetizacao, contabilidade, Plus Sante) | mantida a conta atual (sem informacao que justifique troca)</t>
        </is>
      </c>
      <c r="L520" s="11" t="inlineStr">
        <is>
          <t>ECOPLUS LAVANDERIA INDUSTRIAL EIRELI | 115/45 | PAGAMENTO REFERENTE A ALUGUEL DE PANOS DE LIMPEZA</t>
        </is>
      </c>
      <c r="M520" s="11" t="inlineStr">
        <is>
          <t>ECOPLUS LAVANDERIA INDUSTRIAL EIRELI - PAGAMENTO REFERENTE A ALUGUEL DE PANOS DE LIMPEZA</t>
        </is>
      </c>
    </row>
    <row r="521">
      <c r="A521" t="n">
        <v>520</v>
      </c>
      <c r="B521" t="inlineStr">
        <is>
          <t>17/03/2026</t>
        </is>
      </c>
      <c r="C521" t="inlineStr">
        <is>
          <t>TRANSAL TRANSPORTADORA SALVAN LTDAPGTO REF.FRETE S/COMPRAS</t>
        </is>
      </c>
      <c r="D521" s="7" t="n">
        <v>-242.14</v>
      </c>
      <c r="E521" t="inlineStr">
        <is>
          <t>312</t>
        </is>
      </c>
      <c r="F521" t="inlineStr">
        <is>
          <t>FRETES E CARRETOS</t>
        </is>
      </c>
      <c r="G521" s="2" t="inlineStr">
        <is>
          <t>312</t>
        </is>
      </c>
      <c r="H521">
        <f>IFERROR(VLOOKUP(G521&amp;"",PLANO!A:B,2,FALSE),"CONTA NAO EXISTE NO PLANO")</f>
        <v/>
      </c>
      <c r="I521" t="inlineStr">
        <is>
          <t>312</t>
        </is>
      </c>
      <c r="J521" t="inlineStr">
        <is>
          <t>OK</t>
        </is>
      </c>
      <c r="K521" t="inlineStr">
        <is>
          <t>categoria Cosmos 4</t>
        </is>
      </c>
      <c r="L521" t="inlineStr">
        <is>
          <t>TRANSAL TRANSPORTADORA SALVAN LTDA | 115/4 | PGTO REF.FRETE S/COMPRAS</t>
        </is>
      </c>
      <c r="M521" t="inlineStr">
        <is>
          <t>TRANSAL TRANSPORTADORA SALVAN LTDA - PGTO REF.FRETE S/COMPRAS</t>
        </is>
      </c>
    </row>
    <row r="522">
      <c r="A522" s="4" t="n">
        <v>521</v>
      </c>
      <c r="B522" s="4" t="inlineStr">
        <is>
          <t>17/03/2026</t>
        </is>
      </c>
      <c r="C522" s="4" t="inlineStr">
        <is>
          <t>CRMTECH SISTEMAS DE INFORMACAO LTDAPGTO REF.UTILIZAÇÃO SISTEMA COSMOS</t>
        </is>
      </c>
      <c r="D522" s="5" t="n">
        <v>-2917.39</v>
      </c>
      <c r="E522" s="4" t="inlineStr">
        <is>
          <t>640</t>
        </is>
      </c>
      <c r="F522" s="4" t="inlineStr">
        <is>
          <t>SOFTWARE/SISTEMA</t>
        </is>
      </c>
      <c r="G522" s="6" t="inlineStr">
        <is>
          <t>640</t>
        </is>
      </c>
      <c r="H522" s="4">
        <f>IFERROR(VLOOKUP(G522&amp;"",PLANO!A:B,2,FALSE),"CONTA NAO EXISTE NO PLANO")</f>
        <v/>
      </c>
      <c r="I522" s="4" t="inlineStr">
        <is>
          <t>640</t>
        </is>
      </c>
      <c r="J522" s="4" t="inlineStr">
        <is>
          <t>AJUSTADO</t>
        </is>
      </c>
      <c r="K522" s="4" t="inlineStr">
        <is>
          <t>software/sistema (Cosmos cat. 47)</t>
        </is>
      </c>
      <c r="L522" s="4" t="inlineStr">
        <is>
          <t>CRMTECH SISTEMAS DE INFORMACAO LTDA | 115/47 | PGTO REF.UTILIZAÇÃO SISTEMA COSMOS</t>
        </is>
      </c>
      <c r="M522" s="4" t="inlineStr">
        <is>
          <t>CRMTECH SISTEMAS DE INFORMACAO LTDA - PGTO REF.UTILIZAÇÃO SISTEMA COSMOS</t>
        </is>
      </c>
    </row>
    <row r="523">
      <c r="A523" s="11" t="n">
        <v>522</v>
      </c>
      <c r="B523" s="11" t="inlineStr">
        <is>
          <t>17/03/2026</t>
        </is>
      </c>
      <c r="C523" s="11" t="inlineStr">
        <is>
          <t>FARMACIA E DROGARIA NISSEI LTDAPGTO REF.CONVENIO FARMACIA DESCONTADO EM FOLHA</t>
        </is>
      </c>
      <c r="D523" s="12" t="n">
        <v>-134.94</v>
      </c>
      <c r="E523" s="11" t="inlineStr">
        <is>
          <t>493</t>
        </is>
      </c>
      <c r="F523" s="11" t="inlineStr">
        <is>
          <t>DESPESAS DIVERSAS</t>
        </is>
      </c>
      <c r="G523" s="13" t="inlineStr">
        <is>
          <t>493</t>
        </is>
      </c>
      <c r="H523" s="11">
        <f>IFERROR(VLOOKUP(G523&amp;"",PLANO!A:B,2,FALSE),"CONTA NAO EXISTE NO PLANO")</f>
        <v/>
      </c>
      <c r="I523" s="11" t="inlineStr">
        <is>
          <t>493</t>
        </is>
      </c>
      <c r="J523" s="11" t="inlineStr">
        <is>
          <t>MANTIDO</t>
        </is>
      </c>
      <c r="K523" s="11" t="inlineStr">
        <is>
          <t>folha/convenio farmacia desconto em folha | mantida a conta atual (sem informacao que justifique troca)</t>
        </is>
      </c>
      <c r="L523" s="11" t="inlineStr">
        <is>
          <t>FARMACIA E DROGARIA NISSEI LTDA | 115/17 | PGTO REF.CONVENIO FARMACIA DESCONTADO EM FOLHA</t>
        </is>
      </c>
      <c r="M523" s="11" t="inlineStr">
        <is>
          <t>FARMACIA E DROGARIA NISSEI LTDA - PGTO REF.CONVENIO FARMACIA DESCONTADO EM FOLHA</t>
        </is>
      </c>
    </row>
    <row r="524">
      <c r="A524" t="n">
        <v>523</v>
      </c>
      <c r="B524" t="inlineStr">
        <is>
          <t>17/03/2026</t>
        </is>
      </c>
      <c r="C524" t="inlineStr">
        <is>
          <t>AVIOES TRANSPORTES LTDA PAG REF A FRETE SOBRE VENDAS NF 7690</t>
        </is>
      </c>
      <c r="D524" s="7" t="n">
        <v>-446.32</v>
      </c>
      <c r="E524" t="inlineStr">
        <is>
          <t>312</t>
        </is>
      </c>
      <c r="F524" t="inlineStr">
        <is>
          <t>FRETES E CARRETOS</t>
        </is>
      </c>
      <c r="G524" s="2" t="inlineStr">
        <is>
          <t>312</t>
        </is>
      </c>
      <c r="H524">
        <f>IFERROR(VLOOKUP(G524&amp;"",PLANO!A:B,2,FALSE),"CONTA NAO EXISTE NO PLANO")</f>
        <v/>
      </c>
      <c r="I524" t="inlineStr">
        <is>
          <t>312</t>
        </is>
      </c>
      <c r="J524" t="inlineStr">
        <is>
          <t>OK</t>
        </is>
      </c>
      <c r="K524" t="inlineStr">
        <is>
          <t>categoria Cosmos 97</t>
        </is>
      </c>
      <c r="L524" t="inlineStr">
        <is>
          <t>AVIOES TRANSPORTES LTDA | 115/97 | PAG REF A FRETE SOBRE VENDAS NF 7690</t>
        </is>
      </c>
      <c r="M524" t="inlineStr">
        <is>
          <t>AVIOES TRANSPORTES LTDA - PAG REF A FRETE SOBRE VENDAS NF 7690</t>
        </is>
      </c>
    </row>
    <row r="525">
      <c r="A525" t="n">
        <v>524</v>
      </c>
      <c r="B525" t="inlineStr">
        <is>
          <t>18/03/2026</t>
        </is>
      </c>
      <c r="C525" t="inlineStr">
        <is>
          <t>REF. A SISPAG A F VOLCAO</t>
        </is>
      </c>
      <c r="D525" s="7" t="n">
        <v>1700</v>
      </c>
      <c r="E525" t="inlineStr">
        <is>
          <t>504</t>
        </is>
      </c>
      <c r="F525" t="inlineStr">
        <is>
          <t>CLIENTES DIVERSOS</t>
        </is>
      </c>
      <c r="G525" s="2" t="inlineStr">
        <is>
          <t>504</t>
        </is>
      </c>
      <c r="H525">
        <f>IFERROR(VLOOKUP(G525&amp;"",PLANO!A:B,2,FALSE),"CONTA NAO EXISTE NO PLANO")</f>
        <v/>
      </c>
      <c r="I525" t="inlineStr">
        <is>
          <t>504</t>
        </is>
      </c>
      <c r="J525" t="inlineStr">
        <is>
          <t>SEM COSMOS</t>
        </is>
      </c>
      <c r="K525" t="inlineStr"/>
      <c r="L525" t="inlineStr"/>
      <c r="M525" t="inlineStr">
        <is>
          <t>SISPAG A F VOLCAO</t>
        </is>
      </c>
    </row>
    <row r="526">
      <c r="A526" t="n">
        <v>525</v>
      </c>
      <c r="B526" t="inlineStr">
        <is>
          <t>18/03/2026</t>
        </is>
      </c>
      <c r="C526" t="inlineStr">
        <is>
          <t>REF. A TED 363.0001.RNX F M D R</t>
        </is>
      </c>
      <c r="D526" s="7" t="n">
        <v>5487.25</v>
      </c>
      <c r="E526" t="inlineStr">
        <is>
          <t>504</t>
        </is>
      </c>
      <c r="F526" t="inlineStr">
        <is>
          <t>CLIENTES DIVERSOS</t>
        </is>
      </c>
      <c r="G526" s="2" t="inlineStr">
        <is>
          <t>504</t>
        </is>
      </c>
      <c r="H526">
        <f>IFERROR(VLOOKUP(G526&amp;"",PLANO!A:B,2,FALSE),"CONTA NAO EXISTE NO PLANO")</f>
        <v/>
      </c>
      <c r="I526" t="inlineStr">
        <is>
          <t>504</t>
        </is>
      </c>
      <c r="J526" t="inlineStr">
        <is>
          <t>SEM COSMOS</t>
        </is>
      </c>
      <c r="K526" t="inlineStr"/>
      <c r="L526" t="inlineStr"/>
      <c r="M526" t="inlineStr">
        <is>
          <t>TED 363.0001.RNX F M D R</t>
        </is>
      </c>
    </row>
    <row r="527">
      <c r="A527" s="4" t="n">
        <v>526</v>
      </c>
      <c r="B527" s="4" t="inlineStr">
        <is>
          <t>18/03/2026</t>
        </is>
      </c>
      <c r="C527" s="4" t="inlineStr">
        <is>
          <t>REF. A BOLETO PAGO PLUS SANTE PGTO REF.SERVIÇOS PRESTADOS DE ATENDIMENTO EENCAMINHAMENTO CONF.CONTRATO</t>
        </is>
      </c>
      <c r="D527" s="5" t="n">
        <v>-350.98</v>
      </c>
      <c r="E527" s="4" t="inlineStr">
        <is>
          <t>653</t>
        </is>
      </c>
      <c r="F527" s="4" t="inlineStr">
        <is>
          <t>PLANO DE SAÚDE EMPREGADO</t>
        </is>
      </c>
      <c r="G527" s="6" t="inlineStr">
        <is>
          <t>653</t>
        </is>
      </c>
      <c r="H527" s="4">
        <f>IFERROR(VLOOKUP(G527&amp;"",PLANO!A:B,2,FALSE),"CONTA NAO EXISTE NO PLANO")</f>
        <v/>
      </c>
      <c r="I527" s="4" t="inlineStr">
        <is>
          <t>653</t>
        </is>
      </c>
      <c r="J527" s="4" t="inlineStr">
        <is>
          <t>AJUSTADO</t>
        </is>
      </c>
      <c r="K527" s="4" t="inlineStr">
        <is>
          <t>atendimento medico empregados</t>
        </is>
      </c>
      <c r="L527" s="4" t="inlineStr">
        <is>
          <t>PLUS SANTE | 115/45 | PGTO REF.SERVIÇOS PRESTADOS DE ATENDIMENTO E ENCAMINHAMENTO CONF.CONTRATO</t>
        </is>
      </c>
      <c r="M527" s="4" t="inlineStr">
        <is>
          <t>PLUS SANTE - PGTO REF.SERVIÇOS PRESTADOS DE ATENDIMENTO E ENCAMINHAMENTO CONF.CONTRATO</t>
        </is>
      </c>
    </row>
    <row r="528">
      <c r="A528" t="n">
        <v>527</v>
      </c>
      <c r="B528" t="inlineStr">
        <is>
          <t>18/03/2026</t>
        </is>
      </c>
      <c r="C528" t="inlineStr">
        <is>
          <t>COSMOTEC INTERNATIONAL ESPECIALIDADES COSMETICAS LTDA. PAGAMENTO REFERENTE A COMPRA DE MATERIA PRIMA, SF253, 20KG</t>
        </is>
      </c>
      <c r="D528" s="7" t="n">
        <v>-447.26</v>
      </c>
      <c r="E528" t="inlineStr">
        <is>
          <t>506</t>
        </is>
      </c>
      <c r="F528" t="inlineStr">
        <is>
          <t>FORNECEDORES DIVERSOS</t>
        </is>
      </c>
      <c r="G528" s="2" t="inlineStr">
        <is>
          <t>506</t>
        </is>
      </c>
      <c r="H528">
        <f>IFERROR(VLOOKUP(G528&amp;"",PLANO!A:B,2,FALSE),"CONTA NAO EXISTE NO PLANO")</f>
        <v/>
      </c>
      <c r="I528" t="inlineStr">
        <is>
          <t>506</t>
        </is>
      </c>
      <c r="J528" t="inlineStr">
        <is>
          <t>OK</t>
        </is>
      </c>
      <c r="K528" t="inlineStr">
        <is>
          <t>fornecedor com NF</t>
        </is>
      </c>
      <c r="L528" t="inlineStr">
        <is>
          <t>COSMOTEC INTERNATIONAL ESPECIALIDADES COSMETICAS LTDA. | 115/6 | PAGAMENTO REFERENTE A COMPRA DE MATERIA PRIMA, SF 253, 20KG</t>
        </is>
      </c>
      <c r="M528" t="inlineStr">
        <is>
          <t>COSMOTEC INTERNATIONAL ESPECIALIDADES COSMETICAS LTDA. - PAGAMENTO REFERENTE A COMPRA DE MATERIA PRIMA, SF 253, 20KG</t>
        </is>
      </c>
    </row>
    <row r="529">
      <c r="A529" t="n">
        <v>528</v>
      </c>
      <c r="B529" t="inlineStr">
        <is>
          <t>18/03/2026</t>
        </is>
      </c>
      <c r="C529" t="inlineStr">
        <is>
          <t>TEX COURIER S.A PAG REF A FRETE SOBRE VENDAS</t>
        </is>
      </c>
      <c r="D529" s="7" t="n">
        <v>-673.8099999999999</v>
      </c>
      <c r="E529" t="inlineStr">
        <is>
          <t>312</t>
        </is>
      </c>
      <c r="F529" t="inlineStr">
        <is>
          <t>FRETES E CARRETOS</t>
        </is>
      </c>
      <c r="G529" s="2" t="inlineStr">
        <is>
          <t>312</t>
        </is>
      </c>
      <c r="H529">
        <f>IFERROR(VLOOKUP(G529&amp;"",PLANO!A:B,2,FALSE),"CONTA NAO EXISTE NO PLANO")</f>
        <v/>
      </c>
      <c r="I529" t="inlineStr">
        <is>
          <t>312</t>
        </is>
      </c>
      <c r="J529" t="inlineStr">
        <is>
          <t>OK</t>
        </is>
      </c>
      <c r="K529" t="inlineStr">
        <is>
          <t>categoria Cosmos 97</t>
        </is>
      </c>
      <c r="L529" t="inlineStr">
        <is>
          <t>TEX COURIER S.A | 115/97 | PAG REF A FRETE SOBRE VENDAS</t>
        </is>
      </c>
      <c r="M529" t="inlineStr">
        <is>
          <t>TEX COURIER S.A - PAG REF A FRETE SOBRE VENDAS</t>
        </is>
      </c>
    </row>
    <row r="530">
      <c r="A530" t="n">
        <v>529</v>
      </c>
      <c r="B530" t="inlineStr">
        <is>
          <t>18/03/2026</t>
        </is>
      </c>
      <c r="C530" t="inlineStr">
        <is>
          <t>REF. A BOLETO PAGO TECNOPONTO T</t>
        </is>
      </c>
      <c r="D530" s="7" t="n">
        <v>-166.67</v>
      </c>
      <c r="E530" t="inlineStr">
        <is>
          <t>506</t>
        </is>
      </c>
      <c r="F530" t="inlineStr">
        <is>
          <t>FORNECEDORES DIVERSOS</t>
        </is>
      </c>
      <c r="G530" s="2" t="inlineStr">
        <is>
          <t>506</t>
        </is>
      </c>
      <c r="H530">
        <f>IFERROR(VLOOKUP(G530&amp;"",PLANO!A:B,2,FALSE),"CONTA NAO EXISTE NO PLANO")</f>
        <v/>
      </c>
      <c r="I530" t="inlineStr">
        <is>
          <t>506</t>
        </is>
      </c>
      <c r="J530" t="inlineStr">
        <is>
          <t>SEM COSMOS</t>
        </is>
      </c>
      <c r="K530" t="inlineStr"/>
      <c r="L530" t="inlineStr"/>
      <c r="M530" t="inlineStr">
        <is>
          <t>BOLETO PAGO TECNOPONTO T</t>
        </is>
      </c>
    </row>
    <row r="531">
      <c r="A531" t="n">
        <v>530</v>
      </c>
      <c r="B531" t="inlineStr">
        <is>
          <t>18/03/2026</t>
        </is>
      </c>
      <c r="C531" t="inlineStr">
        <is>
          <t>DENTAL UNI COOPERATIVA ODONTOLOGICAPGTO REF.PRESTAÇÃO DE SERVIÇOS</t>
        </is>
      </c>
      <c r="D531" s="7" t="n">
        <v>-249.64</v>
      </c>
      <c r="E531" t="inlineStr">
        <is>
          <t>628</t>
        </is>
      </c>
      <c r="F531" t="inlineStr">
        <is>
          <t>PLANO ODONTOLOGICO</t>
        </is>
      </c>
      <c r="G531" s="2" t="inlineStr">
        <is>
          <t>628</t>
        </is>
      </c>
      <c r="H531">
        <f>IFERROR(VLOOKUP(G531&amp;"",PLANO!A:B,2,FALSE),"CONTA NAO EXISTE NO PLANO")</f>
        <v/>
      </c>
      <c r="I531" t="inlineStr">
        <is>
          <t>628</t>
        </is>
      </c>
      <c r="J531" t="inlineStr">
        <is>
          <t>OK</t>
        </is>
      </c>
      <c r="K531" t="inlineStr">
        <is>
          <t>categoria Cosmos 89</t>
        </is>
      </c>
      <c r="L531" t="inlineStr">
        <is>
          <t>DENTAL UNI COOPERATIVA ODONTOLOGICA | 115/89 | PGTO REF.PRESTAÇÃO DE SERVIÇOS</t>
        </is>
      </c>
      <c r="M531" t="inlineStr">
        <is>
          <t>DENTAL UNI COOPERATIVA ODONTOLOGICA - PGTO REF.PRESTAÇÃO DE SERVIÇOS</t>
        </is>
      </c>
    </row>
    <row r="532">
      <c r="A532" t="n">
        <v>531</v>
      </c>
      <c r="B532" t="inlineStr">
        <is>
          <t>18/03/2026</t>
        </is>
      </c>
      <c r="C532" t="inlineStr">
        <is>
          <t>OAK FRAGRANCES INDUSTRIA E COMERCIO IMPORTACAO E EXPORTACAO LTDAPAGAMENTO REFERENTE A COMPRA DE MATERIA PRIMA,FRAGRANCIA BIRIBA 20KG</t>
        </is>
      </c>
      <c r="D532" s="7" t="n">
        <v>-587.91</v>
      </c>
      <c r="E532" t="inlineStr">
        <is>
          <t>506</t>
        </is>
      </c>
      <c r="F532" t="inlineStr">
        <is>
          <t>FORNECEDORES DIVERSOS</t>
        </is>
      </c>
      <c r="G532" s="2" t="inlineStr">
        <is>
          <t>506</t>
        </is>
      </c>
      <c r="H532">
        <f>IFERROR(VLOOKUP(G532&amp;"",PLANO!A:B,2,FALSE),"CONTA NAO EXISTE NO PLANO")</f>
        <v/>
      </c>
      <c r="I532" t="inlineStr">
        <is>
          <t>506</t>
        </is>
      </c>
      <c r="J532" t="inlineStr">
        <is>
          <t>OK</t>
        </is>
      </c>
      <c r="K532" t="inlineStr">
        <is>
          <t>fornecedor com NF</t>
        </is>
      </c>
      <c r="L532" t="inlineStr">
        <is>
          <t>OAK FRAGRANCES INDUSTRIA E COMERCIO IMPORTACAO E EXPORTACAO LTDA | 115/6 | PAGAMENTO REFERENTE A COMPRA DE MATERIA PRIMA, FRAGRANCIA BIRIBA 20KG</t>
        </is>
      </c>
      <c r="M532" t="inlineStr">
        <is>
          <t>OAK FRAGRANCES INDUSTRIA E COMERCIO IMPORTACAO E EXPORTACAO LTDA - PAGAMENTO REFERENTE A COMPRA DE MATERIA PRIMA, FRAGRANCIA BIRIBA 20KG</t>
        </is>
      </c>
    </row>
    <row r="533">
      <c r="A533" t="n">
        <v>532</v>
      </c>
      <c r="B533" t="inlineStr">
        <is>
          <t>18/03/2026</t>
        </is>
      </c>
      <c r="C533" t="inlineStr">
        <is>
          <t>SINDICATO IND PROD HIG PESSOAL COMS PERF PR PGTO REF.MENSALIDADE SINDICATO PATRONALCONF.CLAUSULA DE ASSOCIAÇÃO</t>
        </is>
      </c>
      <c r="D533" s="7" t="n">
        <v>-358.58</v>
      </c>
      <c r="E533" t="inlineStr">
        <is>
          <t>350</t>
        </is>
      </c>
      <c r="F533" t="inlineStr">
        <is>
          <t>TAXAS DIVERSAS</t>
        </is>
      </c>
      <c r="G533" s="2" t="inlineStr">
        <is>
          <t>350</t>
        </is>
      </c>
      <c r="H533">
        <f>IFERROR(VLOOKUP(G533&amp;"",PLANO!A:B,2,FALSE),"CONTA NAO EXISTE NO PLANO")</f>
        <v/>
      </c>
      <c r="I533" t="inlineStr">
        <is>
          <t>350</t>
        </is>
      </c>
      <c r="J533" t="inlineStr">
        <is>
          <t>OK</t>
        </is>
      </c>
      <c r="K533" t="inlineStr">
        <is>
          <t>categoria Cosmos 124</t>
        </is>
      </c>
      <c r="L533" t="inlineStr">
        <is>
          <t>SINDICATO IND PROD HIG PESSOAL COMS PERF PR | 115/124 | PGTO REF.MENSALIDADE SINDICATO PATRONAL CONF.CLAUSULA DE ASSOCIAÇÃO</t>
        </is>
      </c>
      <c r="M533" t="inlineStr">
        <is>
          <t>SINDICATO IND PROD HIG PESSOAL COMS PERF PR - PGTO REF.MENSALIDADE SINDICATO PATRONAL CONF.CLAUSULA DE ASSOCIAÇÃO</t>
        </is>
      </c>
    </row>
    <row r="534">
      <c r="A534" t="n">
        <v>533</v>
      </c>
      <c r="B534" t="inlineStr">
        <is>
          <t>19/03/2026</t>
        </is>
      </c>
      <c r="C534" t="inlineStr">
        <is>
          <t>REF. A PIX TRANSF GISLENE19/03</t>
        </is>
      </c>
      <c r="D534" s="7" t="n">
        <v>200.95</v>
      </c>
      <c r="E534" t="inlineStr">
        <is>
          <t>504</t>
        </is>
      </c>
      <c r="F534" t="inlineStr">
        <is>
          <t>CLIENTES DIVERSOS</t>
        </is>
      </c>
      <c r="G534" s="2" t="inlineStr">
        <is>
          <t>504</t>
        </is>
      </c>
      <c r="H534">
        <f>IFERROR(VLOOKUP(G534&amp;"",PLANO!A:B,2,FALSE),"CONTA NAO EXISTE NO PLANO")</f>
        <v/>
      </c>
      <c r="I534" t="inlineStr">
        <is>
          <t>504</t>
        </is>
      </c>
      <c r="J534" t="inlineStr">
        <is>
          <t>SEM COSMOS</t>
        </is>
      </c>
      <c r="K534" t="inlineStr"/>
      <c r="L534" t="inlineStr"/>
      <c r="M534" t="inlineStr">
        <is>
          <t>PIX TRANSF GISLENE19/03</t>
        </is>
      </c>
    </row>
    <row r="535">
      <c r="A535" t="n">
        <v>534</v>
      </c>
      <c r="B535" t="inlineStr">
        <is>
          <t>19/03/2026</t>
        </is>
      </c>
      <c r="C535" t="inlineStr">
        <is>
          <t>RODONAVES TRANSPORTES E ENCOMENDAS LTDA PGTO REF.FRETE S/NFE</t>
        </is>
      </c>
      <c r="D535" s="7" t="n">
        <v>-200.95</v>
      </c>
      <c r="E535" t="inlineStr">
        <is>
          <t>312</t>
        </is>
      </c>
      <c r="F535" t="inlineStr">
        <is>
          <t>FRETES E CARRETOS</t>
        </is>
      </c>
      <c r="G535" s="2" t="inlineStr">
        <is>
          <t>312</t>
        </is>
      </c>
      <c r="H535">
        <f>IFERROR(VLOOKUP(G535&amp;"",PLANO!A:B,2,FALSE),"CONTA NAO EXISTE NO PLANO")</f>
        <v/>
      </c>
      <c r="I535" t="inlineStr">
        <is>
          <t>312</t>
        </is>
      </c>
      <c r="J535" t="inlineStr">
        <is>
          <t>OK</t>
        </is>
      </c>
      <c r="K535" t="inlineStr">
        <is>
          <t>categoria Cosmos 97</t>
        </is>
      </c>
      <c r="L535" t="inlineStr">
        <is>
          <t>RODONAVES TRANSPORTES E ENCOMENDAS LTDA | 115/97 | PGTO REF.FRETE S/NFE</t>
        </is>
      </c>
      <c r="M535" t="inlineStr">
        <is>
          <t>RODONAVES TRANSPORTES E ENCOMENDAS LTDA - PGTO REF.FRETE S/NFE</t>
        </is>
      </c>
    </row>
    <row r="536">
      <c r="A536" t="n">
        <v>535</v>
      </c>
      <c r="B536" t="inlineStr">
        <is>
          <t>19/03/2026</t>
        </is>
      </c>
      <c r="C536" t="inlineStr">
        <is>
          <t>RODONAVES TRANSPORTES E ENCOMENDAS LTDAPGTO REF.FRETE S/NFE</t>
        </is>
      </c>
      <c r="D536" s="7" t="n">
        <v>-260.61</v>
      </c>
      <c r="E536" t="inlineStr">
        <is>
          <t>312</t>
        </is>
      </c>
      <c r="F536" t="inlineStr">
        <is>
          <t>FRETES E CARRETOS</t>
        </is>
      </c>
      <c r="G536" s="2" t="inlineStr">
        <is>
          <t>312</t>
        </is>
      </c>
      <c r="H536">
        <f>IFERROR(VLOOKUP(G536&amp;"",PLANO!A:B,2,FALSE),"CONTA NAO EXISTE NO PLANO")</f>
        <v/>
      </c>
      <c r="I536" t="inlineStr">
        <is>
          <t>312</t>
        </is>
      </c>
      <c r="J536" t="inlineStr">
        <is>
          <t>OK</t>
        </is>
      </c>
      <c r="K536" t="inlineStr">
        <is>
          <t>categoria Cosmos 97</t>
        </is>
      </c>
      <c r="L536" t="inlineStr">
        <is>
          <t>RODONAVES TRANSPORTES E ENCOMENDAS LTDA | 115/97 | PGTO REF.FRETE S/NFE</t>
        </is>
      </c>
      <c r="M536" t="inlineStr">
        <is>
          <t>RODONAVES TRANSPORTES E ENCOMENDAS LTDA - PGTO REF.FRETE S/NFE</t>
        </is>
      </c>
    </row>
    <row r="537">
      <c r="A537" t="n">
        <v>536</v>
      </c>
      <c r="B537" t="inlineStr">
        <is>
          <t>19/03/2026</t>
        </is>
      </c>
      <c r="C537" t="inlineStr">
        <is>
          <t>DINACO IMPORTACAO, COMERCIO LTDA. 115 6 4 0,00 6.621,89 -571.834,01PAGAMENTO REFERENTE A COMPRA DE MATERIA PRIMA,PIGMENTO 25KG E CARBOPOL 5KG (PAGAR BOLETO DAREMAZZO)</t>
        </is>
      </c>
      <c r="D537" s="7" t="n">
        <v>-6621.83</v>
      </c>
      <c r="E537" t="inlineStr">
        <is>
          <t>506</t>
        </is>
      </c>
      <c r="F537" t="inlineStr">
        <is>
          <t>FORNECEDORES DIVERSOS</t>
        </is>
      </c>
      <c r="G537" s="2" t="inlineStr">
        <is>
          <t>506</t>
        </is>
      </c>
      <c r="H537">
        <f>IFERROR(VLOOKUP(G537&amp;"",PLANO!A:B,2,FALSE),"CONTA NAO EXISTE NO PLANO")</f>
        <v/>
      </c>
      <c r="I537" t="inlineStr">
        <is>
          <t>506</t>
        </is>
      </c>
      <c r="J537" t="inlineStr">
        <is>
          <t>SEM COSMOS</t>
        </is>
      </c>
      <c r="K537" t="inlineStr"/>
      <c r="L537" t="inlineStr"/>
      <c r="M537" t="inlineStr">
        <is>
          <t>DINACO IMPORTACAO, COMERCIO LTDA. 115 6 4 0,00 6.621,89 -571.834,01PAGAMENTO REFERENTE A COMPRA DE MATERIA PRIMA,PIGMENTO 25KG E CARBOPOL 5KG (PAGAR B</t>
        </is>
      </c>
    </row>
    <row r="538">
      <c r="A538" s="4" t="n">
        <v>537</v>
      </c>
      <c r="B538" s="4" t="inlineStr">
        <is>
          <t>19/03/2026</t>
        </is>
      </c>
      <c r="C538" s="4" t="inlineStr">
        <is>
          <t>VR BENEFICIOS E SERVICOS DE PROCESSAMENTO S.APGTO REF.SISTEMA DE RESGISTRO DE PONTO</t>
        </is>
      </c>
      <c r="D538" s="5" t="n">
        <v>-70.95999999999999</v>
      </c>
      <c r="E538" s="4" t="inlineStr">
        <is>
          <t>640</t>
        </is>
      </c>
      <c r="F538" s="4" t="inlineStr">
        <is>
          <t>SOFTWARE/SISTEMA</t>
        </is>
      </c>
      <c r="G538" s="6" t="inlineStr">
        <is>
          <t>640</t>
        </is>
      </c>
      <c r="H538" s="4">
        <f>IFERROR(VLOOKUP(G538&amp;"",PLANO!A:B,2,FALSE),"CONTA NAO EXISTE NO PLANO")</f>
        <v/>
      </c>
      <c r="I538" s="4" t="inlineStr">
        <is>
          <t>640</t>
        </is>
      </c>
      <c r="J538" s="4" t="inlineStr">
        <is>
          <t>AJUSTADO</t>
        </is>
      </c>
      <c r="K538" s="4" t="inlineStr">
        <is>
          <t>software/sistema (Cosmos cat. 47)</t>
        </is>
      </c>
      <c r="L538" s="4" t="inlineStr">
        <is>
          <t>VR BENEFICIOS E SERVICOS DE PROCESSAMENTO S.A | 115/47 | PGTO REF.SISTEMA DE RESGISTRO DE PONTO</t>
        </is>
      </c>
      <c r="M538" s="4" t="inlineStr">
        <is>
          <t>VR BENEFICIOS E SERVICOS DE PROCESSAMENTO S.A - PGTO REF.SISTEMA DE RESGISTRO DE PONTO</t>
        </is>
      </c>
    </row>
    <row r="539">
      <c r="A539" t="n">
        <v>538</v>
      </c>
      <c r="B539" t="inlineStr">
        <is>
          <t>20/03/2026</t>
        </is>
      </c>
      <c r="C539" t="inlineStr">
        <is>
          <t>REF. A REDE MAST AT0081996543</t>
        </is>
      </c>
      <c r="D539" s="7" t="n">
        <v>2507.26</v>
      </c>
      <c r="E539" t="inlineStr">
        <is>
          <t>504</t>
        </is>
      </c>
      <c r="F539" t="inlineStr">
        <is>
          <t>CLIENTES DIVERSOS</t>
        </is>
      </c>
      <c r="G539" s="2" t="inlineStr">
        <is>
          <t>504</t>
        </is>
      </c>
      <c r="H539">
        <f>IFERROR(VLOOKUP(G539&amp;"",PLANO!A:B,2,FALSE),"CONTA NAO EXISTE NO PLANO")</f>
        <v/>
      </c>
      <c r="I539" t="inlineStr">
        <is>
          <t>504</t>
        </is>
      </c>
      <c r="J539" t="inlineStr">
        <is>
          <t>SEM COSMOS</t>
        </is>
      </c>
      <c r="K539" t="inlineStr"/>
      <c r="L539" t="inlineStr"/>
      <c r="M539" t="inlineStr">
        <is>
          <t>REDE MAST AT0081996543</t>
        </is>
      </c>
    </row>
    <row r="540">
      <c r="A540" t="n">
        <v>539</v>
      </c>
      <c r="B540" t="inlineStr">
        <is>
          <t>20/03/2026</t>
        </is>
      </c>
      <c r="C540" t="inlineStr">
        <is>
          <t>REF. A TED 363.0001.RNX F M D R</t>
        </is>
      </c>
      <c r="D540" s="7" t="n">
        <v>8886.559999999999</v>
      </c>
      <c r="E540" t="inlineStr">
        <is>
          <t>504</t>
        </is>
      </c>
      <c r="F540" t="inlineStr">
        <is>
          <t>CLIENTES DIVERSOS</t>
        </is>
      </c>
      <c r="G540" s="2" t="inlineStr">
        <is>
          <t>504</t>
        </is>
      </c>
      <c r="H540">
        <f>IFERROR(VLOOKUP(G540&amp;"",PLANO!A:B,2,FALSE),"CONTA NAO EXISTE NO PLANO")</f>
        <v/>
      </c>
      <c r="I540" t="inlineStr">
        <is>
          <t>504</t>
        </is>
      </c>
      <c r="J540" t="inlineStr">
        <is>
          <t>SEM COSMOS</t>
        </is>
      </c>
      <c r="K540" t="inlineStr"/>
      <c r="L540" t="inlineStr"/>
      <c r="M540" t="inlineStr">
        <is>
          <t>TED 363.0001.RNX F M D R</t>
        </is>
      </c>
    </row>
    <row r="541">
      <c r="A541" t="n">
        <v>540</v>
      </c>
      <c r="B541" t="inlineStr">
        <is>
          <t>20/03/2026</t>
        </is>
      </c>
      <c r="C541" t="inlineStr">
        <is>
          <t>REF. A TED 363.0001.RNX F M D R</t>
        </is>
      </c>
      <c r="D541" s="7" t="n">
        <v>3992.4</v>
      </c>
      <c r="E541" t="inlineStr">
        <is>
          <t>504</t>
        </is>
      </c>
      <c r="F541" t="inlineStr">
        <is>
          <t>CLIENTES DIVERSOS</t>
        </is>
      </c>
      <c r="G541" s="2" t="inlineStr">
        <is>
          <t>504</t>
        </is>
      </c>
      <c r="H541">
        <f>IFERROR(VLOOKUP(G541&amp;"",PLANO!A:B,2,FALSE),"CONTA NAO EXISTE NO PLANO")</f>
        <v/>
      </c>
      <c r="I541" t="inlineStr">
        <is>
          <t>504</t>
        </is>
      </c>
      <c r="J541" t="inlineStr">
        <is>
          <t>SEM COSMOS</t>
        </is>
      </c>
      <c r="K541" t="inlineStr"/>
      <c r="L541" t="inlineStr"/>
      <c r="M541" t="inlineStr">
        <is>
          <t>TED 363.0001.RNX F M D R</t>
        </is>
      </c>
    </row>
    <row r="542">
      <c r="A542" s="4" t="n">
        <v>541</v>
      </c>
      <c r="B542" s="4" t="inlineStr">
        <is>
          <t>20/03/2026</t>
        </is>
      </c>
      <c r="C542" s="4" t="inlineStr">
        <is>
          <t>REF. A PIX ENVIADO COSMETICON C (OUTRAS SAIDAS)</t>
        </is>
      </c>
      <c r="D542" s="5" t="n">
        <v>-200</v>
      </c>
      <c r="E542" s="4" t="inlineStr">
        <is>
          <t>664</t>
        </is>
      </c>
      <c r="F542" s="4" t="inlineStr">
        <is>
          <t>COSMETICON COMERCIO DE COSMETICOS LTDA</t>
        </is>
      </c>
      <c r="G542" s="6" t="inlineStr">
        <is>
          <t>663</t>
        </is>
      </c>
      <c r="H542" s="4">
        <f>IFERROR(VLOOKUP(G542&amp;"",PLANO!A:B,2,FALSE),"CONTA NAO EXISTE NO PLANO")</f>
        <v/>
      </c>
      <c r="I542" s="4" t="inlineStr">
        <is>
          <t>663</t>
        </is>
      </c>
      <c r="J542" s="4" t="inlineStr">
        <is>
          <t>AJUSTADO</t>
        </is>
      </c>
      <c r="K542" s="4" t="inlineStr">
        <is>
          <t>COSMETICON - conta-corrente unica de mutuo (663)</t>
        </is>
      </c>
      <c r="L542" s="4" t="inlineStr">
        <is>
          <t xml:space="preserve">OUTRAS SAIDAS | 123/71 | </t>
        </is>
      </c>
      <c r="M542" s="4" t="inlineStr">
        <is>
          <t>PIX ENVIADO COSMETICON C (OUTRAS SAIDAS)</t>
        </is>
      </c>
    </row>
    <row r="543">
      <c r="A543" t="n">
        <v>542</v>
      </c>
      <c r="B543" t="inlineStr">
        <is>
          <t>20/03/2026</t>
        </is>
      </c>
      <c r="C543" t="inlineStr">
        <is>
          <t>SKIN LAB INDUSTRIA E COMERCIO DE COSMETICOS LTDA 115 6 7 0,00 3.655,00 -578.668,69PAGAMENTO REFERENTE AO SALDO (PARCELADO) DO PEDIDODE POLAWAX</t>
        </is>
      </c>
      <c r="D543" s="7" t="n">
        <v>-3655</v>
      </c>
      <c r="E543" t="inlineStr">
        <is>
          <t>506</t>
        </is>
      </c>
      <c r="F543" t="inlineStr">
        <is>
          <t>FORNECEDORES DIVERSOS</t>
        </is>
      </c>
      <c r="G543" s="2" t="inlineStr">
        <is>
          <t>506</t>
        </is>
      </c>
      <c r="H543">
        <f>IFERROR(VLOOKUP(G543&amp;"",PLANO!A:B,2,FALSE),"CONTA NAO EXISTE NO PLANO")</f>
        <v/>
      </c>
      <c r="I543" t="inlineStr">
        <is>
          <t>506</t>
        </is>
      </c>
      <c r="J543" t="inlineStr">
        <is>
          <t>OK</t>
        </is>
      </c>
      <c r="K543" t="inlineStr">
        <is>
          <t>fornecedor com NF</t>
        </is>
      </c>
      <c r="L543" t="inlineStr">
        <is>
          <t>SKIN LAB INDUSTRIA E COMERCIO DE COSMETICOS LTDA | 115/6 | PAGAMENTO REFERENTE AO SALDO (PARCELADO) DO PEDIDO DE POLAWAX</t>
        </is>
      </c>
      <c r="M543" t="inlineStr">
        <is>
          <t>SKIN LAB INDUSTRIA E COMERCIO DE COSMETICOS LTDA - PAGAMENTO REFERENTE AO SALDO (PARCELADO) DO PEDIDO DE POLAWAX</t>
        </is>
      </c>
    </row>
    <row r="544">
      <c r="A544" s="4" t="n">
        <v>543</v>
      </c>
      <c r="B544" s="4" t="inlineStr">
        <is>
          <t>20/03/2026</t>
        </is>
      </c>
      <c r="C544" s="4" t="inlineStr">
        <is>
          <t>REF. A PIX ENVIADO F.V.S COMERC (OUTRAS SAIDAS)</t>
        </is>
      </c>
      <c r="D544" s="5" t="n">
        <v>-4000</v>
      </c>
      <c r="E544" s="4" t="inlineStr">
        <is>
          <t>671</t>
        </is>
      </c>
      <c r="F544" s="4" t="inlineStr">
        <is>
          <t>F.V.S COMERCIO DE COSMETICOS LTDA</t>
        </is>
      </c>
      <c r="G544" s="6" t="inlineStr">
        <is>
          <t>662</t>
        </is>
      </c>
      <c r="H544" s="4">
        <f>IFERROR(VLOOKUP(G544&amp;"",PLANO!A:B,2,FALSE),"CONTA NAO EXISTE NO PLANO")</f>
        <v/>
      </c>
      <c r="I544" s="4" t="inlineStr">
        <is>
          <t>662</t>
        </is>
      </c>
      <c r="J544" s="4" t="inlineStr">
        <is>
          <t>AJUSTADO</t>
        </is>
      </c>
      <c r="K544" s="4" t="inlineStr">
        <is>
          <t>F.V.S - conta-corrente unica de mutuo (662)</t>
        </is>
      </c>
      <c r="L544" s="4" t="inlineStr">
        <is>
          <t xml:space="preserve">OUTRAS SAIDAS | 123/71 | </t>
        </is>
      </c>
      <c r="M544" s="4" t="inlineStr">
        <is>
          <t>PIX ENVIADO F.V.S COMERC (OUTRAS SAIDAS)</t>
        </is>
      </c>
    </row>
    <row r="545">
      <c r="A545" t="n">
        <v>544</v>
      </c>
      <c r="B545" t="inlineStr">
        <is>
          <t>20/03/2026</t>
        </is>
      </c>
      <c r="C545" t="inlineStr">
        <is>
          <t>SKIN LAB INDUSTRIA E COMERCIO DE COSMETICOS LTDA</t>
        </is>
      </c>
      <c r="D545" s="7" t="n">
        <v>-2802.92</v>
      </c>
      <c r="E545" t="inlineStr">
        <is>
          <t>506</t>
        </is>
      </c>
      <c r="F545" t="inlineStr">
        <is>
          <t>FORNECEDORES DIVERSOS</t>
        </is>
      </c>
      <c r="G545" s="2" t="inlineStr">
        <is>
          <t>506</t>
        </is>
      </c>
      <c r="H545">
        <f>IFERROR(VLOOKUP(G545&amp;"",PLANO!A:B,2,FALSE),"CONTA NAO EXISTE NO PLANO")</f>
        <v/>
      </c>
      <c r="I545" t="inlineStr">
        <is>
          <t>506</t>
        </is>
      </c>
      <c r="J545" t="inlineStr">
        <is>
          <t>OK</t>
        </is>
      </c>
      <c r="K545" t="inlineStr">
        <is>
          <t>fornecedor com NF</t>
        </is>
      </c>
      <c r="L545" t="inlineStr">
        <is>
          <t xml:space="preserve">SKIN LAB INDUSTRIA E COMERCIO DE COSMETICOS LTDA | 113/78 | </t>
        </is>
      </c>
      <c r="M545" t="inlineStr">
        <is>
          <t>SKIN LAB INDUSTRIA E COMERCIO DE COSMETICOS LTDA</t>
        </is>
      </c>
    </row>
    <row r="546">
      <c r="A546" s="4" t="n">
        <v>545</v>
      </c>
      <c r="B546" s="4" t="inlineStr">
        <is>
          <t>20/03/2026</t>
        </is>
      </c>
      <c r="C546" s="4" t="inlineStr">
        <is>
          <t>REF. A PIX ENVIADO GULA COSMETI (OUTRAS SAIDAS)</t>
        </is>
      </c>
      <c r="D546" s="5" t="n">
        <v>-3000</v>
      </c>
      <c r="E546" s="4" t="inlineStr">
        <is>
          <t>506</t>
        </is>
      </c>
      <c r="F546" s="4" t="inlineStr">
        <is>
          <t>FORNECEDORES DIVERSOS</t>
        </is>
      </c>
      <c r="G546" s="6" t="inlineStr">
        <is>
          <t>366</t>
        </is>
      </c>
      <c r="H546" s="4">
        <f>IFERROR(VLOOKUP(G546&amp;"",PLANO!A:B,2,FALSE),"CONTA NAO EXISTE NO PLANO")</f>
        <v/>
      </c>
      <c r="I546" s="4" t="inlineStr">
        <is>
          <t>672</t>
        </is>
      </c>
      <c r="J546" s="4" t="inlineStr">
        <is>
          <t>AJUSTADO</t>
        </is>
      </c>
      <c r="K546" s="4" t="inlineStr">
        <is>
          <t>GULA/FIQUE BEM (mesmo CNPJ, empresa do grupo) - mutuo em EMPRESTIMOS A TERCEIROS (366); nao e fornecedor</t>
        </is>
      </c>
      <c r="L546" s="4" t="inlineStr">
        <is>
          <t xml:space="preserve">OUTRAS SAIDAS | 123/71 | </t>
        </is>
      </c>
      <c r="M546" s="4" t="inlineStr">
        <is>
          <t>PIX ENVIADO GULA COSMETI (OUTRAS SAIDAS)</t>
        </is>
      </c>
    </row>
    <row r="547">
      <c r="A547" t="n">
        <v>546</v>
      </c>
      <c r="B547" t="inlineStr">
        <is>
          <t>20/03/2026</t>
        </is>
      </c>
      <c r="C547" t="inlineStr">
        <is>
          <t>EMBACAPS QUIMICA E FARMACEUTICA LTDA 115 6 4 0,00 3.179,68 -575.013,69PAGAMENTO REFERENTE A COMPRA DE MATERIA PRIMA,ALCOOL CETO 1TON E TEXAPON ZACD 50KG</t>
        </is>
      </c>
      <c r="D547" s="7" t="n">
        <v>-3179.68</v>
      </c>
      <c r="E547" t="inlineStr">
        <is>
          <t>506</t>
        </is>
      </c>
      <c r="F547" t="inlineStr">
        <is>
          <t>FORNECEDORES DIVERSOS</t>
        </is>
      </c>
      <c r="G547" s="2" t="inlineStr">
        <is>
          <t>506</t>
        </is>
      </c>
      <c r="H547">
        <f>IFERROR(VLOOKUP(G547&amp;"",PLANO!A:B,2,FALSE),"CONTA NAO EXISTE NO PLANO")</f>
        <v/>
      </c>
      <c r="I547" t="inlineStr">
        <is>
          <t>506</t>
        </is>
      </c>
      <c r="J547" t="inlineStr">
        <is>
          <t>OK</t>
        </is>
      </c>
      <c r="K547" t="inlineStr">
        <is>
          <t>fornecedor com NF</t>
        </is>
      </c>
      <c r="L547" t="inlineStr">
        <is>
          <t>EMBACAPS QUIMICA E FARMACEUTICA LTDA | 115/6 | PAGAMENTO REFERENTE A COMPRA DE MATERIA PRIMA, ALCOOL CETO 1TON E TEXAPON ZACD 50KG</t>
        </is>
      </c>
      <c r="M547" t="inlineStr">
        <is>
          <t>EMBACAPS QUIMICA E FARMACEUTICA LTDA - PAGAMENTO REFERENTE A COMPRA DE MATERIA PRIMA, ALCOOL CETO 1TON E TEXAPON ZACD 5</t>
        </is>
      </c>
    </row>
    <row r="548">
      <c r="A548" s="4" t="n">
        <v>547</v>
      </c>
      <c r="B548" s="4" t="inlineStr">
        <is>
          <t>23/03/2026</t>
        </is>
      </c>
      <c r="C548" s="4" t="inlineStr">
        <is>
          <t>REF. A SISPAG GULA COSMETICOS (OUTRAS ENTRADAS)</t>
        </is>
      </c>
      <c r="D548" s="5" t="n">
        <v>1000</v>
      </c>
      <c r="E548" s="4" t="inlineStr">
        <is>
          <t>664</t>
        </is>
      </c>
      <c r="F548" s="4" t="inlineStr">
        <is>
          <t>COSMETICON COMERCIO DE COSMETICOS LTDA</t>
        </is>
      </c>
      <c r="G548" s="6" t="inlineStr">
        <is>
          <t>366</t>
        </is>
      </c>
      <c r="H548" s="4">
        <f>IFERROR(VLOOKUP(G548&amp;"",PLANO!A:B,2,FALSE),"CONTA NAO EXISTE NO PLANO")</f>
        <v/>
      </c>
      <c r="I548" s="4" t="inlineStr">
        <is>
          <t>672</t>
        </is>
      </c>
      <c r="J548" s="4" t="inlineStr">
        <is>
          <t>AJUSTADO</t>
        </is>
      </c>
      <c r="K548" s="4" t="inlineStr">
        <is>
          <t>GULA/FIQUE BEM (mesmo CNPJ, empresa do grupo) - mutuo em EMPRESTIMOS A TERCEIROS (366); nao e fornecedor</t>
        </is>
      </c>
      <c r="L548" s="4" t="inlineStr">
        <is>
          <t xml:space="preserve">OUTRAS ENTRADAS | 122/71 | </t>
        </is>
      </c>
      <c r="M548" s="4" t="inlineStr">
        <is>
          <t>SISPAG GULA COSMETICOS (OUTRAS ENTRADAS)</t>
        </is>
      </c>
    </row>
    <row r="549">
      <c r="A549" t="n">
        <v>548</v>
      </c>
      <c r="B549" t="inlineStr">
        <is>
          <t>23/03/2026</t>
        </is>
      </c>
      <c r="C549" t="inlineStr">
        <is>
          <t>REF. A MOV TIT COB DISP 23/03S</t>
        </is>
      </c>
      <c r="D549" s="7" t="n">
        <v>3080.63</v>
      </c>
      <c r="E549" t="inlineStr">
        <is>
          <t>504</t>
        </is>
      </c>
      <c r="F549" t="inlineStr">
        <is>
          <t>CLIENTES DIVERSOS</t>
        </is>
      </c>
      <c r="G549" s="2" t="inlineStr">
        <is>
          <t>504</t>
        </is>
      </c>
      <c r="H549">
        <f>IFERROR(VLOOKUP(G549&amp;"",PLANO!A:B,2,FALSE),"CONTA NAO EXISTE NO PLANO")</f>
        <v/>
      </c>
      <c r="I549" t="inlineStr">
        <is>
          <t>504</t>
        </is>
      </c>
      <c r="J549" t="inlineStr">
        <is>
          <t>SEM COSMOS</t>
        </is>
      </c>
      <c r="K549" t="inlineStr"/>
      <c r="L549" t="inlineStr"/>
      <c r="M549" t="inlineStr">
        <is>
          <t>MOV TIT COB DISP 23/03S</t>
        </is>
      </c>
    </row>
    <row r="550">
      <c r="A550" t="n">
        <v>549</v>
      </c>
      <c r="B550" t="inlineStr">
        <is>
          <t>23/03/2026</t>
        </is>
      </c>
      <c r="C550" t="inlineStr">
        <is>
          <t>REF. A PIX TRANSF NATURAL23/03</t>
        </is>
      </c>
      <c r="D550" s="7" t="n">
        <v>1500</v>
      </c>
      <c r="E550" t="inlineStr">
        <is>
          <t>504</t>
        </is>
      </c>
      <c r="F550" t="inlineStr">
        <is>
          <t>CLIENTES DIVERSOS</t>
        </is>
      </c>
      <c r="G550" s="2" t="inlineStr">
        <is>
          <t>504</t>
        </is>
      </c>
      <c r="H550">
        <f>IFERROR(VLOOKUP(G550&amp;"",PLANO!A:B,2,FALSE),"CONTA NAO EXISTE NO PLANO")</f>
        <v/>
      </c>
      <c r="I550" t="inlineStr">
        <is>
          <t>504</t>
        </is>
      </c>
      <c r="J550" t="inlineStr">
        <is>
          <t>SEM COSMOS</t>
        </is>
      </c>
      <c r="K550" t="inlineStr"/>
      <c r="L550" t="inlineStr"/>
      <c r="M550" t="inlineStr">
        <is>
          <t>PIX TRANSF NATURAL23/03</t>
        </is>
      </c>
    </row>
    <row r="551">
      <c r="A551" t="n">
        <v>550</v>
      </c>
      <c r="B551" t="inlineStr">
        <is>
          <t>23/03/2026</t>
        </is>
      </c>
      <c r="C551" t="inlineStr">
        <is>
          <t>BRAL-MAX INDUSTRIA E COMERCIO DE PLASTICOS LTDA PAGAMENTO REFERENTE A COMPRA DE TAMPA ROSCANATURAL</t>
        </is>
      </c>
      <c r="D551" s="7" t="n">
        <v>-1772.05</v>
      </c>
      <c r="E551" t="inlineStr">
        <is>
          <t>506</t>
        </is>
      </c>
      <c r="F551" t="inlineStr">
        <is>
          <t>FORNECEDORES DIVERSOS</t>
        </is>
      </c>
      <c r="G551" s="2" t="inlineStr">
        <is>
          <t>506</t>
        </is>
      </c>
      <c r="H551">
        <f>IFERROR(VLOOKUP(G551&amp;"",PLANO!A:B,2,FALSE),"CONTA NAO EXISTE NO PLANO")</f>
        <v/>
      </c>
      <c r="I551" t="inlineStr">
        <is>
          <t>506</t>
        </is>
      </c>
      <c r="J551" t="inlineStr">
        <is>
          <t>OK</t>
        </is>
      </c>
      <c r="K551" t="inlineStr">
        <is>
          <t>fornecedor com NF</t>
        </is>
      </c>
      <c r="L551" t="inlineStr">
        <is>
          <t>BRAL MAX INDUSTRIA E COMERCIO DE PLASTICOS LTDA | 115/9 | PAGAMENTO REFERENTE A COMPRA DE TAMPA ROSCA NATURAL</t>
        </is>
      </c>
      <c r="M551" t="inlineStr">
        <is>
          <t>BRAL MAX INDUSTRIA E COMERCIO DE PLASTICOS LTDA - PAGAMENTO REFERENTE A COMPRA DE TAMPA ROSCA NATURAL</t>
        </is>
      </c>
    </row>
    <row r="552">
      <c r="A552" t="n">
        <v>551</v>
      </c>
      <c r="B552" t="inlineStr">
        <is>
          <t>23/03/2026</t>
        </is>
      </c>
      <c r="C552" t="inlineStr">
        <is>
          <t>RAPIDO ABC TRANSPORTES LTDA PAGAMENTO REFERENTE A FRETE SOBRE COMPRA</t>
        </is>
      </c>
      <c r="D552" s="7" t="n">
        <v>-150</v>
      </c>
      <c r="E552" t="inlineStr">
        <is>
          <t>312</t>
        </is>
      </c>
      <c r="F552" t="inlineStr">
        <is>
          <t>FRETES E CARRETOS</t>
        </is>
      </c>
      <c r="G552" s="2" t="inlineStr">
        <is>
          <t>312</t>
        </is>
      </c>
      <c r="H552">
        <f>IFERROR(VLOOKUP(G552&amp;"",PLANO!A:B,2,FALSE),"CONTA NAO EXISTE NO PLANO")</f>
        <v/>
      </c>
      <c r="I552" t="inlineStr">
        <is>
          <t>312</t>
        </is>
      </c>
      <c r="J552" t="inlineStr">
        <is>
          <t>OK</t>
        </is>
      </c>
      <c r="K552" t="inlineStr">
        <is>
          <t>categoria Cosmos 4</t>
        </is>
      </c>
      <c r="L552" t="inlineStr">
        <is>
          <t>RAPIDO ABC TRANSPORTES LTDA | 115/4 | PAGAMENTO REFERENTE A FRETE SOBRE COMPRA</t>
        </is>
      </c>
      <c r="M552" t="inlineStr">
        <is>
          <t>RAPIDO ABC TRANSPORTES LTDA - PAGAMENTO REFERENTE A FRETE SOBRE COMPRA</t>
        </is>
      </c>
    </row>
    <row r="553">
      <c r="A553" t="n">
        <v>552</v>
      </c>
      <c r="B553" t="inlineStr">
        <is>
          <t>23/03/2026</t>
        </is>
      </c>
      <c r="C553" t="inlineStr">
        <is>
          <t>SINDICATO DOS TRABS NAS INDUST QUIMICAS E FARM DO ESTPR PGTO REF.CONTRIBUIÇÃO CONF.CLAUSULA CCT 2025-2026</t>
        </is>
      </c>
      <c r="D553" s="7" t="n">
        <v>-342</v>
      </c>
      <c r="E553" t="inlineStr">
        <is>
          <t>350</t>
        </is>
      </c>
      <c r="F553" t="inlineStr">
        <is>
          <t>TAXAS DIVERSAS</t>
        </is>
      </c>
      <c r="G553" s="2" t="inlineStr">
        <is>
          <t>350</t>
        </is>
      </c>
      <c r="H553">
        <f>IFERROR(VLOOKUP(G553&amp;"",PLANO!A:B,2,FALSE),"CONTA NAO EXISTE NO PLANO")</f>
        <v/>
      </c>
      <c r="I553" t="inlineStr">
        <is>
          <t>350</t>
        </is>
      </c>
      <c r="J553" t="inlineStr">
        <is>
          <t>OK</t>
        </is>
      </c>
      <c r="K553" t="inlineStr">
        <is>
          <t>categoria Cosmos 156</t>
        </is>
      </c>
      <c r="L553" t="inlineStr">
        <is>
          <t>SINDICATO DOS TRABS NAS INDUST QUIMICAS E FARM DO ESTPR | 115/156 | PGTO REF.CONTRIBUIÇÃO CONF.CLAUSULA CCT 2025-2026</t>
        </is>
      </c>
      <c r="M553" t="inlineStr">
        <is>
          <t>SINDICATO DOS TRABS NAS INDUST QUIMICAS E FARM DO ESTPR - PGTO REF.CONTRIBUIÇÃO CONF.CLAUSULA CCT 2025-2026</t>
        </is>
      </c>
    </row>
    <row r="554">
      <c r="A554" t="n">
        <v>553</v>
      </c>
      <c r="B554" t="inlineStr">
        <is>
          <t>24/03/2026</t>
        </is>
      </c>
      <c r="C554" t="inlineStr">
        <is>
          <t>REF. A MOV TIT COB DISP 24/03S</t>
        </is>
      </c>
      <c r="D554" s="7" t="n">
        <v>652.33</v>
      </c>
      <c r="E554" t="inlineStr">
        <is>
          <t>504</t>
        </is>
      </c>
      <c r="F554" t="inlineStr">
        <is>
          <t>CLIENTES DIVERSOS</t>
        </is>
      </c>
      <c r="G554" s="2" t="inlineStr">
        <is>
          <t>504</t>
        </is>
      </c>
      <c r="H554">
        <f>IFERROR(VLOOKUP(G554&amp;"",PLANO!A:B,2,FALSE),"CONTA NAO EXISTE NO PLANO")</f>
        <v/>
      </c>
      <c r="I554" t="inlineStr">
        <is>
          <t>504</t>
        </is>
      </c>
      <c r="J554" t="inlineStr">
        <is>
          <t>SEM COSMOS</t>
        </is>
      </c>
      <c r="K554" t="inlineStr"/>
      <c r="L554" t="inlineStr"/>
      <c r="M554" t="inlineStr">
        <is>
          <t>MOV TIT COB DISP 24/03S</t>
        </is>
      </c>
    </row>
    <row r="555">
      <c r="A555" t="n">
        <v>554</v>
      </c>
      <c r="B555" t="inlineStr">
        <is>
          <t>24/03/2026</t>
        </is>
      </c>
      <c r="C555" t="inlineStr">
        <is>
          <t>REF. A PIX TRANSF R E S C24/03</t>
        </is>
      </c>
      <c r="D555" s="7" t="n">
        <v>4000</v>
      </c>
      <c r="E555" t="inlineStr">
        <is>
          <t>504</t>
        </is>
      </c>
      <c r="F555" t="inlineStr">
        <is>
          <t>CLIENTES DIVERSOS</t>
        </is>
      </c>
      <c r="G555" s="2" t="inlineStr">
        <is>
          <t>504</t>
        </is>
      </c>
      <c r="H555">
        <f>IFERROR(VLOOKUP(G555&amp;"",PLANO!A:B,2,FALSE),"CONTA NAO EXISTE NO PLANO")</f>
        <v/>
      </c>
      <c r="I555" t="inlineStr">
        <is>
          <t>504</t>
        </is>
      </c>
      <c r="J555" t="inlineStr">
        <is>
          <t>SEM COSMOS</t>
        </is>
      </c>
      <c r="K555" t="inlineStr"/>
      <c r="L555" t="inlineStr"/>
      <c r="M555" t="inlineStr">
        <is>
          <t>PIX TRANSF R E S C24/03</t>
        </is>
      </c>
    </row>
    <row r="556">
      <c r="A556" t="n">
        <v>555</v>
      </c>
      <c r="B556" t="inlineStr">
        <is>
          <t>24/03/2026</t>
        </is>
      </c>
      <c r="C556" t="inlineStr">
        <is>
          <t>REF. A TED 363.0001.RNX F M D R</t>
        </is>
      </c>
      <c r="D556" s="7" t="n">
        <v>38030.37</v>
      </c>
      <c r="E556" t="inlineStr">
        <is>
          <t>504</t>
        </is>
      </c>
      <c r="F556" t="inlineStr">
        <is>
          <t>CLIENTES DIVERSOS</t>
        </is>
      </c>
      <c r="G556" s="2" t="inlineStr">
        <is>
          <t>504</t>
        </is>
      </c>
      <c r="H556">
        <f>IFERROR(VLOOKUP(G556&amp;"",PLANO!A:B,2,FALSE),"CONTA NAO EXISTE NO PLANO")</f>
        <v/>
      </c>
      <c r="I556" t="inlineStr">
        <is>
          <t>504</t>
        </is>
      </c>
      <c r="J556" t="inlineStr">
        <is>
          <t>SEM COSMOS</t>
        </is>
      </c>
      <c r="K556" t="inlineStr"/>
      <c r="L556" t="inlineStr"/>
      <c r="M556" t="inlineStr">
        <is>
          <t>TED 363.0001.RNX F M D R</t>
        </is>
      </c>
    </row>
    <row r="557">
      <c r="A557" t="n">
        <v>556</v>
      </c>
      <c r="B557" t="inlineStr">
        <is>
          <t>24/03/2026</t>
        </is>
      </c>
      <c r="C557" t="inlineStr">
        <is>
          <t>REF. A TED 363.0001.RNX F M D R</t>
        </is>
      </c>
      <c r="D557" s="7" t="n">
        <v>2037.05</v>
      </c>
      <c r="E557" t="inlineStr">
        <is>
          <t>504</t>
        </is>
      </c>
      <c r="F557" t="inlineStr">
        <is>
          <t>CLIENTES DIVERSOS</t>
        </is>
      </c>
      <c r="G557" s="2" t="inlineStr">
        <is>
          <t>504</t>
        </is>
      </c>
      <c r="H557">
        <f>IFERROR(VLOOKUP(G557&amp;"",PLANO!A:B,2,FALSE),"CONTA NAO EXISTE NO PLANO")</f>
        <v/>
      </c>
      <c r="I557" t="inlineStr">
        <is>
          <t>504</t>
        </is>
      </c>
      <c r="J557" t="inlineStr">
        <is>
          <t>SEM COSMOS</t>
        </is>
      </c>
      <c r="K557" t="inlineStr"/>
      <c r="L557" t="inlineStr"/>
      <c r="M557" t="inlineStr">
        <is>
          <t>TED 363.0001.RNX F M D R</t>
        </is>
      </c>
    </row>
    <row r="558">
      <c r="A558" t="n">
        <v>557</v>
      </c>
      <c r="B558" t="inlineStr">
        <is>
          <t>24/03/2026</t>
        </is>
      </c>
      <c r="C558" t="inlineStr">
        <is>
          <t>SKIN LAB INDUSTRIA E COMERCIO DE COSMETICOS LTDA</t>
        </is>
      </c>
      <c r="D558" s="7" t="n">
        <v>-5605.83</v>
      </c>
      <c r="E558" t="inlineStr">
        <is>
          <t>506</t>
        </is>
      </c>
      <c r="F558" t="inlineStr">
        <is>
          <t>FORNECEDORES DIVERSOS</t>
        </is>
      </c>
      <c r="G558" s="2" t="inlineStr">
        <is>
          <t>506</t>
        </is>
      </c>
      <c r="H558">
        <f>IFERROR(VLOOKUP(G558&amp;"",PLANO!A:B,2,FALSE),"CONTA NAO EXISTE NO PLANO")</f>
        <v/>
      </c>
      <c r="I558" t="inlineStr">
        <is>
          <t>506</t>
        </is>
      </c>
      <c r="J558" t="inlineStr">
        <is>
          <t>OK</t>
        </is>
      </c>
      <c r="K558" t="inlineStr">
        <is>
          <t>fornecedor com NF</t>
        </is>
      </c>
      <c r="L558" t="inlineStr">
        <is>
          <t xml:space="preserve">SKIN LAB INDUSTRIA E COMERCIO DE COSMETICOS LTDA | 113/78 | </t>
        </is>
      </c>
      <c r="M558" t="inlineStr">
        <is>
          <t>SKIN LAB INDUSTRIA E COMERCIO DE COSMETICOS LTDA</t>
        </is>
      </c>
    </row>
    <row r="559">
      <c r="A559" s="8" t="n">
        <v>558</v>
      </c>
      <c r="B559" s="8" t="inlineStr">
        <is>
          <t>24/03/2026</t>
        </is>
      </c>
      <c r="C559" s="8" t="inlineStr">
        <is>
          <t>C - PACK CREATIVE PACKAGING S/A PGTO REF.COMPRA DE MP</t>
        </is>
      </c>
      <c r="D559" s="9" t="n">
        <v>-470</v>
      </c>
      <c r="E559" s="8" t="inlineStr">
        <is>
          <t>493</t>
        </is>
      </c>
      <c r="F559" s="8" t="inlineStr">
        <is>
          <t>DESPESAS DIVERSAS</t>
        </is>
      </c>
      <c r="G559" s="10" t="inlineStr">
        <is>
          <t>506</t>
        </is>
      </c>
      <c r="H559" s="8">
        <f>IFERROR(VLOOKUP(G559&amp;"",PLANO!A:B,2,FALSE),"CONTA NAO EXISTE NO PLANO")</f>
        <v/>
      </c>
      <c r="I559" s="8" t="inlineStr">
        <is>
          <t>506</t>
        </is>
      </c>
      <c r="J559" s="8" t="inlineStr">
        <is>
          <t>CORRIGIR</t>
        </is>
      </c>
      <c r="K559" s="8" t="inlineStr">
        <is>
          <t>fornecedor com NF (Cosmos: compra MP/embalagem) - pagamento deve baixar fornecedores 506</t>
        </is>
      </c>
      <c r="L559" s="8" t="inlineStr">
        <is>
          <t xml:space="preserve">DISTRIBUIDORA INDUSTRIAL PARANAENSE LTDA | 113/78 | </t>
        </is>
      </c>
      <c r="M559" s="8" t="inlineStr">
        <is>
          <t>DISTRIBUIDORA INDUSTRIAL PARANAENSE LTDA</t>
        </is>
      </c>
    </row>
    <row r="560">
      <c r="A560" t="n">
        <v>559</v>
      </c>
      <c r="B560" t="inlineStr">
        <is>
          <t>24/03/2026</t>
        </is>
      </c>
      <c r="C560" t="inlineStr">
        <is>
          <t>CARTOBENTO CAIXAS DE PAPELAO LTDA</t>
        </is>
      </c>
      <c r="D560" s="7" t="n">
        <v>-5625</v>
      </c>
      <c r="E560" t="inlineStr">
        <is>
          <t>506</t>
        </is>
      </c>
      <c r="F560" t="inlineStr">
        <is>
          <t>FORNECEDORES DIVERSOS</t>
        </is>
      </c>
      <c r="G560" s="2" t="inlineStr">
        <is>
          <t>506</t>
        </is>
      </c>
      <c r="H560">
        <f>IFERROR(VLOOKUP(G560&amp;"",PLANO!A:B,2,FALSE),"CONTA NAO EXISTE NO PLANO")</f>
        <v/>
      </c>
      <c r="I560" t="inlineStr">
        <is>
          <t>506</t>
        </is>
      </c>
      <c r="J560" t="inlineStr">
        <is>
          <t>OK</t>
        </is>
      </c>
      <c r="K560" t="inlineStr">
        <is>
          <t>fornecedor com NF</t>
        </is>
      </c>
      <c r="L560" t="inlineStr">
        <is>
          <t xml:space="preserve">CARTOBENTO CAIXAS DE PAPELAO LTDA | 113/78 | </t>
        </is>
      </c>
      <c r="M560" t="inlineStr">
        <is>
          <t>CARTOBENTO CAIXAS DE PAPELAO LTDA</t>
        </is>
      </c>
    </row>
    <row r="561">
      <c r="A561" t="n">
        <v>560</v>
      </c>
      <c r="B561" t="inlineStr">
        <is>
          <t>24/03/2026</t>
        </is>
      </c>
      <c r="C561" t="inlineStr">
        <is>
          <t>REF. A BOLETO PAGO C PACK CREAT</t>
        </is>
      </c>
      <c r="D561" s="7" t="n">
        <v>-3470.28</v>
      </c>
      <c r="E561" t="inlineStr">
        <is>
          <t>506</t>
        </is>
      </c>
      <c r="F561" t="inlineStr">
        <is>
          <t>FORNECEDORES DIVERSOS</t>
        </is>
      </c>
      <c r="G561" s="2" t="inlineStr">
        <is>
          <t>506</t>
        </is>
      </c>
      <c r="H561">
        <f>IFERROR(VLOOKUP(G561&amp;"",PLANO!A:B,2,FALSE),"CONTA NAO EXISTE NO PLANO")</f>
        <v/>
      </c>
      <c r="I561" t="inlineStr">
        <is>
          <t>506</t>
        </is>
      </c>
      <c r="J561" t="inlineStr">
        <is>
          <t>OK</t>
        </is>
      </c>
      <c r="K561" t="inlineStr">
        <is>
          <t>fornecedor com NF</t>
        </is>
      </c>
      <c r="L561" t="inlineStr">
        <is>
          <t>C PACK CREATIVE PACKAGING S/A | 115/9 | PGTO REF.COMPRA DE MP</t>
        </is>
      </c>
      <c r="M561" t="inlineStr">
        <is>
          <t>C PACK CREATIVE PACKAGING S/A - PGTO REF.COMPRA DE MP</t>
        </is>
      </c>
    </row>
    <row r="562">
      <c r="A562" t="n">
        <v>561</v>
      </c>
      <c r="B562" t="inlineStr">
        <is>
          <t>24/03/2026</t>
        </is>
      </c>
      <c r="C562" t="inlineStr">
        <is>
          <t>C - PACK CREATIVE PACKAGING S/A PGTO REF.COMPRA DE MP</t>
        </is>
      </c>
      <c r="D562" s="7" t="n">
        <v>-3014.7</v>
      </c>
      <c r="E562" t="inlineStr">
        <is>
          <t>506</t>
        </is>
      </c>
      <c r="F562" t="inlineStr">
        <is>
          <t>FORNECEDORES DIVERSOS</t>
        </is>
      </c>
      <c r="G562" s="2" t="inlineStr">
        <is>
          <t>506</t>
        </is>
      </c>
      <c r="H562">
        <f>IFERROR(VLOOKUP(G562&amp;"",PLANO!A:B,2,FALSE),"CONTA NAO EXISTE NO PLANO")</f>
        <v/>
      </c>
      <c r="I562" t="inlineStr">
        <is>
          <t>506</t>
        </is>
      </c>
      <c r="J562" t="inlineStr">
        <is>
          <t>OK</t>
        </is>
      </c>
      <c r="K562" t="inlineStr">
        <is>
          <t>fornecedor com NF</t>
        </is>
      </c>
      <c r="L562" t="inlineStr">
        <is>
          <t>C PACK CREATIVE PACKAGING S/A | 115/9 | PGTO REF.COMPRA DE MP</t>
        </is>
      </c>
      <c r="M562" t="inlineStr">
        <is>
          <t>C PACK CREATIVE PACKAGING S/A - PGTO REF.COMPRA DE MP</t>
        </is>
      </c>
    </row>
    <row r="563">
      <c r="A563" t="n">
        <v>562</v>
      </c>
      <c r="B563" t="inlineStr">
        <is>
          <t>24/03/2026</t>
        </is>
      </c>
      <c r="C563" t="inlineStr">
        <is>
          <t>QUIMIFORMULA COMERCIO DE PRODUTOS QUIMICOS LTDAPAGAMENTO REFERENTE A COMPRA DE MATERIA PRIMA,UVINUL MC80, 25KG</t>
        </is>
      </c>
      <c r="D563" s="7" t="n">
        <v>-1296.25</v>
      </c>
      <c r="E563" t="inlineStr">
        <is>
          <t>506</t>
        </is>
      </c>
      <c r="F563" t="inlineStr">
        <is>
          <t>FORNECEDORES DIVERSOS</t>
        </is>
      </c>
      <c r="G563" s="2" t="inlineStr">
        <is>
          <t>506</t>
        </is>
      </c>
      <c r="H563">
        <f>IFERROR(VLOOKUP(G563&amp;"",PLANO!A:B,2,FALSE),"CONTA NAO EXISTE NO PLANO")</f>
        <v/>
      </c>
      <c r="I563" t="inlineStr">
        <is>
          <t>506</t>
        </is>
      </c>
      <c r="J563" t="inlineStr">
        <is>
          <t>OK</t>
        </is>
      </c>
      <c r="K563" t="inlineStr">
        <is>
          <t>fornecedor com NF</t>
        </is>
      </c>
      <c r="L563" t="inlineStr">
        <is>
          <t>QUIMIFORMULA COMERCIO DE PRODUTOS QUIMICOS LTDA | 115/6 | PAGAMENTO REFERENTE A COMPRA DE MATERIA PRIMA, UVINUL MC80, 25KG</t>
        </is>
      </c>
      <c r="M563" t="inlineStr">
        <is>
          <t>QUIMIFORMULA COMERCIO DE PRODUTOS QUIMICOS LTDA - PAGAMENTO REFERENTE A COMPRA DE MATERIA PRIMA, UVINUL MC80, 25KG</t>
        </is>
      </c>
    </row>
    <row r="564">
      <c r="A564" t="n">
        <v>563</v>
      </c>
      <c r="B564" t="inlineStr">
        <is>
          <t>24/03/2026</t>
        </is>
      </c>
      <c r="C564" t="inlineStr">
        <is>
          <t>QUIMIFORMULA COMERCIO DE PRODUTOS QUIMICOS LTDA PAGAMENTO REFERENTE A COMPRA DE MATERIA PRIMA,GENAMIN KDMP 20KG</t>
        </is>
      </c>
      <c r="D564" s="7" t="n">
        <v>-876.8200000000001</v>
      </c>
      <c r="E564" t="inlineStr">
        <is>
          <t>506</t>
        </is>
      </c>
      <c r="F564" t="inlineStr">
        <is>
          <t>FORNECEDORES DIVERSOS</t>
        </is>
      </c>
      <c r="G564" s="2" t="inlineStr">
        <is>
          <t>506</t>
        </is>
      </c>
      <c r="H564">
        <f>IFERROR(VLOOKUP(G564&amp;"",PLANO!A:B,2,FALSE),"CONTA NAO EXISTE NO PLANO")</f>
        <v/>
      </c>
      <c r="I564" t="inlineStr">
        <is>
          <t>506</t>
        </is>
      </c>
      <c r="J564" t="inlineStr">
        <is>
          <t>OK</t>
        </is>
      </c>
      <c r="K564" t="inlineStr">
        <is>
          <t>fornecedor com NF</t>
        </is>
      </c>
      <c r="L564" t="inlineStr">
        <is>
          <t>QUIMIFORMULA COMERCIO DE PRODUTOS QUIMICOS LTDA | 115/6 | PAGAMENTO REFERENTE A COMPRA DE MATERIA PRIMA, GENAMIN KDMP 20KG</t>
        </is>
      </c>
      <c r="M564" t="inlineStr">
        <is>
          <t>QUIMIFORMULA COMERCIO DE PRODUTOS QUIMICOS LTDA - PAGAMENTO REFERENTE A COMPRA DE MATERIA PRIMA, GENAMIN KDMP 20KG</t>
        </is>
      </c>
    </row>
    <row r="565">
      <c r="A565" t="n">
        <v>564</v>
      </c>
      <c r="B565" t="inlineStr">
        <is>
          <t>24/03/2026</t>
        </is>
      </c>
      <c r="C565" t="inlineStr">
        <is>
          <t>MATIZAPLAST PLASTICOS E CORANTES LTDAPAGAMENTO REFERENTE A COMPRA DE PIGMENTO BRANCO</t>
        </is>
      </c>
      <c r="D565" s="7" t="n">
        <v>-783</v>
      </c>
      <c r="E565" t="inlineStr">
        <is>
          <t>506</t>
        </is>
      </c>
      <c r="F565" t="inlineStr">
        <is>
          <t>FORNECEDORES DIVERSOS</t>
        </is>
      </c>
      <c r="G565" s="2" t="inlineStr">
        <is>
          <t>506</t>
        </is>
      </c>
      <c r="H565">
        <f>IFERROR(VLOOKUP(G565&amp;"",PLANO!A:B,2,FALSE),"CONTA NAO EXISTE NO PLANO")</f>
        <v/>
      </c>
      <c r="I565" t="inlineStr">
        <is>
          <t>506</t>
        </is>
      </c>
      <c r="J565" t="inlineStr">
        <is>
          <t>OK</t>
        </is>
      </c>
      <c r="K565" t="inlineStr">
        <is>
          <t>fornecedor com NF</t>
        </is>
      </c>
      <c r="L565" t="inlineStr">
        <is>
          <t>MATIZAPLAST PLASTICOS E CORANTES LTDA | 115/6 | PAGAMENTO REFERENTE A COMPRA DE PIGMENTO BRANCO</t>
        </is>
      </c>
      <c r="M565" t="inlineStr">
        <is>
          <t>MATIZAPLAST PLASTICOS E CORANTES LTDA - PAGAMENTO REFERENTE A COMPRA DE PIGMENTO BRANCO</t>
        </is>
      </c>
    </row>
    <row r="566">
      <c r="A566" t="n">
        <v>565</v>
      </c>
      <c r="B566" t="inlineStr">
        <is>
          <t>25/03/2026</t>
        </is>
      </c>
      <c r="C566" t="inlineStr">
        <is>
          <t>REF. A SISPAG BOHR MAN PROFESS</t>
        </is>
      </c>
      <c r="D566" s="7" t="n">
        <v>170.27</v>
      </c>
      <c r="E566" t="inlineStr">
        <is>
          <t>504</t>
        </is>
      </c>
      <c r="F566" t="inlineStr">
        <is>
          <t>CLIENTES DIVERSOS</t>
        </is>
      </c>
      <c r="G566" s="2" t="inlineStr">
        <is>
          <t>504</t>
        </is>
      </c>
      <c r="H566">
        <f>IFERROR(VLOOKUP(G566&amp;"",PLANO!A:B,2,FALSE),"CONTA NAO EXISTE NO PLANO")</f>
        <v/>
      </c>
      <c r="I566" t="inlineStr">
        <is>
          <t>504</t>
        </is>
      </c>
      <c r="J566" t="inlineStr">
        <is>
          <t>SEM COSMOS</t>
        </is>
      </c>
      <c r="K566" t="inlineStr"/>
      <c r="L566" t="inlineStr"/>
      <c r="M566" t="inlineStr">
        <is>
          <t>SISPAG BOHR MAN PROFESS</t>
        </is>
      </c>
    </row>
    <row r="567">
      <c r="A567" s="4" t="n">
        <v>566</v>
      </c>
      <c r="B567" s="4" t="inlineStr">
        <is>
          <t>25/03/2026</t>
        </is>
      </c>
      <c r="C567" s="4" t="inlineStr">
        <is>
          <t>REF. A SISPAG COSMETICON COMER (OUTRAS ENTRADAS)</t>
        </is>
      </c>
      <c r="D567" s="5" t="n">
        <v>3000</v>
      </c>
      <c r="E567" s="4" t="inlineStr">
        <is>
          <t>663</t>
        </is>
      </c>
      <c r="F567" s="4" t="inlineStr">
        <is>
          <t>EMPRESTIMO COSMETICON COMERCIO (31.494.732/0001-09)</t>
        </is>
      </c>
      <c r="G567" s="6" t="inlineStr">
        <is>
          <t>663</t>
        </is>
      </c>
      <c r="H567" s="4">
        <f>IFERROR(VLOOKUP(G567&amp;"",PLANO!A:B,2,FALSE),"CONTA NAO EXISTE NO PLANO")</f>
        <v/>
      </c>
      <c r="I567" s="4" t="inlineStr">
        <is>
          <t>663</t>
        </is>
      </c>
      <c r="J567" s="4" t="inlineStr">
        <is>
          <t>AJUSTADO</t>
        </is>
      </c>
      <c r="K567" s="4" t="inlineStr">
        <is>
          <t>COSMETICON - conta-corrente unica de mutuo (663)</t>
        </is>
      </c>
      <c r="L567" s="4" t="inlineStr">
        <is>
          <t xml:space="preserve">OUTRAS ENTRADAS | 122/71 | </t>
        </is>
      </c>
      <c r="M567" s="4" t="inlineStr">
        <is>
          <t>SISPAG COSMETICON COMER (OUTRAS ENTRADAS)</t>
        </is>
      </c>
    </row>
    <row r="568">
      <c r="A568" t="n">
        <v>567</v>
      </c>
      <c r="B568" t="inlineStr">
        <is>
          <t>25/03/2026</t>
        </is>
      </c>
      <c r="C568" t="inlineStr">
        <is>
          <t>REF. A MOV TIT COB DISP 25/03S</t>
        </is>
      </c>
      <c r="D568" s="7" t="n">
        <v>9444.950000000001</v>
      </c>
      <c r="E568" t="inlineStr">
        <is>
          <t>504</t>
        </is>
      </c>
      <c r="F568" t="inlineStr">
        <is>
          <t>CLIENTES DIVERSOS</t>
        </is>
      </c>
      <c r="G568" s="2" t="inlineStr">
        <is>
          <t>504</t>
        </is>
      </c>
      <c r="H568">
        <f>IFERROR(VLOOKUP(G568&amp;"",PLANO!A:B,2,FALSE),"CONTA NAO EXISTE NO PLANO")</f>
        <v/>
      </c>
      <c r="I568" t="inlineStr">
        <is>
          <t>504</t>
        </is>
      </c>
      <c r="J568" t="inlineStr">
        <is>
          <t>SEM COSMOS</t>
        </is>
      </c>
      <c r="K568" t="inlineStr"/>
      <c r="L568" t="inlineStr"/>
      <c r="M568" t="inlineStr">
        <is>
          <t>MOV TIT COB DISP 25/03S</t>
        </is>
      </c>
    </row>
    <row r="569">
      <c r="A569" t="n">
        <v>568</v>
      </c>
      <c r="B569" t="inlineStr">
        <is>
          <t>25/03/2026</t>
        </is>
      </c>
      <c r="C569" t="inlineStr">
        <is>
          <t>REF. A PIX TRANSF DIONZER25/03</t>
        </is>
      </c>
      <c r="D569" s="7" t="n">
        <v>278</v>
      </c>
      <c r="E569" t="inlineStr">
        <is>
          <t>504</t>
        </is>
      </c>
      <c r="F569" t="inlineStr">
        <is>
          <t>CLIENTES DIVERSOS</t>
        </is>
      </c>
      <c r="G569" s="2" t="inlineStr">
        <is>
          <t>504</t>
        </is>
      </c>
      <c r="H569">
        <f>IFERROR(VLOOKUP(G569&amp;"",PLANO!A:B,2,FALSE),"CONTA NAO EXISTE NO PLANO")</f>
        <v/>
      </c>
      <c r="I569" t="inlineStr">
        <is>
          <t>504</t>
        </is>
      </c>
      <c r="J569" t="inlineStr">
        <is>
          <t>SEM COSMOS</t>
        </is>
      </c>
      <c r="K569" t="inlineStr"/>
      <c r="L569" t="inlineStr"/>
      <c r="M569" t="inlineStr">
        <is>
          <t>PIX TRANSF DIONZER25/03</t>
        </is>
      </c>
    </row>
    <row r="570">
      <c r="A570" t="n">
        <v>569</v>
      </c>
      <c r="B570" t="inlineStr">
        <is>
          <t>25/03/2026</t>
        </is>
      </c>
      <c r="C570" t="inlineStr">
        <is>
          <t>STEPAN QUIMICA LTDA</t>
        </is>
      </c>
      <c r="D570" s="7" t="n">
        <v>-5658.08</v>
      </c>
      <c r="E570" t="inlineStr">
        <is>
          <t>506</t>
        </is>
      </c>
      <c r="F570" t="inlineStr">
        <is>
          <t>FORNECEDORES DIVERSOS</t>
        </is>
      </c>
      <c r="G570" s="2" t="inlineStr">
        <is>
          <t>506</t>
        </is>
      </c>
      <c r="H570">
        <f>IFERROR(VLOOKUP(G570&amp;"",PLANO!A:B,2,FALSE),"CONTA NAO EXISTE NO PLANO")</f>
        <v/>
      </c>
      <c r="I570" t="inlineStr">
        <is>
          <t>506</t>
        </is>
      </c>
      <c r="J570" t="inlineStr">
        <is>
          <t>OK</t>
        </is>
      </c>
      <c r="K570" t="inlineStr">
        <is>
          <t>fornecedor com NF</t>
        </is>
      </c>
      <c r="L570" t="inlineStr">
        <is>
          <t xml:space="preserve">STEPAN QUIMICA LTDA. | 113/78 | </t>
        </is>
      </c>
      <c r="M570" t="inlineStr">
        <is>
          <t>STEPAN QUIMICA LTDA.</t>
        </is>
      </c>
    </row>
    <row r="571">
      <c r="A571" s="8" t="n">
        <v>570</v>
      </c>
      <c r="B571" s="8" t="inlineStr">
        <is>
          <t>25/03/2026</t>
        </is>
      </c>
      <c r="C571" s="8" t="inlineStr">
        <is>
          <t>SKIN LAB INDUSTRIA E COMERCIO DE COSMETICOS LTDA</t>
        </is>
      </c>
      <c r="D571" s="9" t="n">
        <v>-9613</v>
      </c>
      <c r="E571" s="8" t="inlineStr">
        <is>
          <t>493</t>
        </is>
      </c>
      <c r="F571" s="8" t="inlineStr">
        <is>
          <t>DESPESAS DIVERSAS</t>
        </is>
      </c>
      <c r="G571" s="10" t="inlineStr">
        <is>
          <t>506</t>
        </is>
      </c>
      <c r="H571" s="8">
        <f>IFERROR(VLOOKUP(G571&amp;"",PLANO!A:B,2,FALSE),"CONTA NAO EXISTE NO PLANO")</f>
        <v/>
      </c>
      <c r="I571" s="8" t="inlineStr">
        <is>
          <t>506</t>
        </is>
      </c>
      <c r="J571" s="8" t="inlineStr">
        <is>
          <t>CORRIGIR</t>
        </is>
      </c>
      <c r="K571" s="8" t="inlineStr">
        <is>
          <t>fornecedor com NF (Cosmos: compra MP/embalagem) - pagamento deve baixar fornecedores 506</t>
        </is>
      </c>
      <c r="L571" s="8" t="inlineStr">
        <is>
          <t xml:space="preserve">SKIN LAB INDUSTRIA E COMERCIO DE COSMETICOS LTDA | 113/78 | </t>
        </is>
      </c>
      <c r="M571" s="8" t="inlineStr">
        <is>
          <t>SKIN LAB INDUSTRIA E COMERCIO DE COSMETICOS LTDA</t>
        </is>
      </c>
    </row>
    <row r="572">
      <c r="A572" t="n">
        <v>571</v>
      </c>
      <c r="B572" t="inlineStr">
        <is>
          <t>25/03/2026</t>
        </is>
      </c>
      <c r="C572" t="inlineStr">
        <is>
          <t>REF. A BOLETO PAGO ITAU UNIBANC</t>
        </is>
      </c>
      <c r="D572" s="7" t="n">
        <v>-11388.82</v>
      </c>
      <c r="E572" t="inlineStr">
        <is>
          <t>364</t>
        </is>
      </c>
      <c r="F572" t="inlineStr">
        <is>
          <t>DESPESAS ADMINISTRATIVAS</t>
        </is>
      </c>
      <c r="G572" s="2" t="inlineStr">
        <is>
          <t>364</t>
        </is>
      </c>
      <c r="H572">
        <f>IFERROR(VLOOKUP(G572&amp;"",PLANO!A:B,2,FALSE),"CONTA NAO EXISTE NO PLANO")</f>
        <v/>
      </c>
      <c r="I572" t="inlineStr">
        <is>
          <t>364</t>
        </is>
      </c>
      <c r="J572" t="inlineStr">
        <is>
          <t>SEM COSMOS</t>
        </is>
      </c>
      <c r="K572" t="inlineStr"/>
      <c r="L572" t="inlineStr"/>
      <c r="M572" t="inlineStr">
        <is>
          <t>BOLETO PAGO ITAU UNIBANC</t>
        </is>
      </c>
    </row>
    <row r="573">
      <c r="A573" t="n">
        <v>572</v>
      </c>
      <c r="B573" t="inlineStr">
        <is>
          <t>25/03/2026</t>
        </is>
      </c>
      <c r="C573" t="inlineStr">
        <is>
          <t>COSMOTEC INTERNATIONAL ESPECIALIDADES COSMETICAS LTDA.PAGAMENTO REFERENTE A COMPRA DE MATERIA PRIMA, SF253, 20KG</t>
        </is>
      </c>
      <c r="D573" s="7" t="n">
        <v>-447.26</v>
      </c>
      <c r="E573" t="inlineStr">
        <is>
          <t>506</t>
        </is>
      </c>
      <c r="F573" t="inlineStr">
        <is>
          <t>FORNECEDORES DIVERSOS</t>
        </is>
      </c>
      <c r="G573" s="2" t="inlineStr">
        <is>
          <t>506</t>
        </is>
      </c>
      <c r="H573">
        <f>IFERROR(VLOOKUP(G573&amp;"",PLANO!A:B,2,FALSE),"CONTA NAO EXISTE NO PLANO")</f>
        <v/>
      </c>
      <c r="I573" t="inlineStr">
        <is>
          <t>506</t>
        </is>
      </c>
      <c r="J573" t="inlineStr">
        <is>
          <t>OK</t>
        </is>
      </c>
      <c r="K573" t="inlineStr">
        <is>
          <t>fornecedor com NF</t>
        </is>
      </c>
      <c r="L573" t="inlineStr">
        <is>
          <t>COSMOTEC INTERNATIONAL ESPECIALIDADES COSMETICAS LTDA. | 115/6 | PAGAMENTO REFERENTE A COMPRA DE MATERIA PRIMA, SF 253, 20KG</t>
        </is>
      </c>
      <c r="M573" t="inlineStr">
        <is>
          <t>COSMOTEC INTERNATIONAL ESPECIALIDADES COSMETICAS LTDA. - PAGAMENTO REFERENTE A COMPRA DE MATERIA PRIMA, SF 253, 20KG</t>
        </is>
      </c>
    </row>
    <row r="574">
      <c r="A574" s="4" t="n">
        <v>573</v>
      </c>
      <c r="B574" s="4" t="inlineStr">
        <is>
          <t>25/03/2026</t>
        </is>
      </c>
      <c r="C574" s="4" t="inlineStr">
        <is>
          <t>SB DISTRIBUIDORA LTDA PAGAMENTO REFERENTE A COMPRA DE MATERIAL DELIMPEZA</t>
        </is>
      </c>
      <c r="D574" s="5" t="n">
        <v>-623.65</v>
      </c>
      <c r="E574" s="4" t="inlineStr">
        <is>
          <t>506</t>
        </is>
      </c>
      <c r="F574" s="4" t="inlineStr">
        <is>
          <t>FORNECEDORES DIVERSOS</t>
        </is>
      </c>
      <c r="G574" s="6" t="inlineStr">
        <is>
          <t>360</t>
        </is>
      </c>
      <c r="H574" s="4">
        <f>IFERROR(VLOOKUP(G574&amp;"",PLANO!A:B,2,FALSE),"CONTA NAO EXISTE NO PLANO")</f>
        <v/>
      </c>
      <c r="I574" s="4" t="inlineStr">
        <is>
          <t>506</t>
        </is>
      </c>
      <c r="J574" s="4" t="inlineStr">
        <is>
          <t>AJUSTADO</t>
        </is>
      </c>
      <c r="K574" s="4" t="inlineStr">
        <is>
          <t>material de limpeza</t>
        </is>
      </c>
      <c r="L574" s="4" t="inlineStr">
        <is>
          <t>SB DISTRIBUIDORA LTDA | 115/16 | PAGAMENTO REFERENTE A COMPRA DE MATERIAL DE LIMPEZA</t>
        </is>
      </c>
      <c r="M574" s="4" t="inlineStr">
        <is>
          <t>SB DISTRIBUIDORA LTDA - PAGAMENTO REFERENTE A COMPRA DE MATERIAL DE LIMPEZA</t>
        </is>
      </c>
    </row>
    <row r="575">
      <c r="A575" t="n">
        <v>574</v>
      </c>
      <c r="B575" t="inlineStr">
        <is>
          <t>25/03/2026</t>
        </is>
      </c>
      <c r="C575" t="inlineStr">
        <is>
          <t>OAK FRAGRANCES INDUSTRIA E COMERCIO IMPORTACAO E EXPORTACAO LTDAPAGAMENTO REFERENTE A COMPRA DE MATERIA PRIMA,FRAGRANCIA BIRIBA 20KG</t>
        </is>
      </c>
      <c r="D575" s="7" t="n">
        <v>-587.91</v>
      </c>
      <c r="E575" t="inlineStr">
        <is>
          <t>506</t>
        </is>
      </c>
      <c r="F575" t="inlineStr">
        <is>
          <t>FORNECEDORES DIVERSOS</t>
        </is>
      </c>
      <c r="G575" s="2" t="inlineStr">
        <is>
          <t>506</t>
        </is>
      </c>
      <c r="H575">
        <f>IFERROR(VLOOKUP(G575&amp;"",PLANO!A:B,2,FALSE),"CONTA NAO EXISTE NO PLANO")</f>
        <v/>
      </c>
      <c r="I575" t="inlineStr">
        <is>
          <t>506</t>
        </is>
      </c>
      <c r="J575" t="inlineStr">
        <is>
          <t>OK</t>
        </is>
      </c>
      <c r="K575" t="inlineStr">
        <is>
          <t>fornecedor com NF</t>
        </is>
      </c>
      <c r="L575" t="inlineStr">
        <is>
          <t>OAK FRAGRANCES INDUSTRIA E COMERCIO IMPORTACAO E EXPORTACAO LTDA | 115/6 | PAGAMENTO REFERENTE A COMPRA DE MATERIA PRIMA, FRAGRANCIA BIRIBA 20KG</t>
        </is>
      </c>
      <c r="M575" t="inlineStr">
        <is>
          <t>OAK FRAGRANCES INDUSTRIA E COMERCIO IMPORTACAO E EXPORTACAO LTDA - PAGAMENTO REFERENTE A COMPRA DE MATERIA PRIMA, FRAGRANCIA BIRIBA 20KG</t>
        </is>
      </c>
    </row>
    <row r="576">
      <c r="A576" s="8" t="n">
        <v>575</v>
      </c>
      <c r="B576" s="8" t="inlineStr">
        <is>
          <t>25/03/2026</t>
        </is>
      </c>
      <c r="C576" s="8" t="inlineStr">
        <is>
          <t>SCLARSKI COMERCIO LTDA PAGAMENTO REFERENTE A COMPRA DE SACO PLÁSTICO PARAPESAGEM</t>
        </is>
      </c>
      <c r="D576" s="9" t="n">
        <v>-1543.71</v>
      </c>
      <c r="E576" s="8" t="inlineStr">
        <is>
          <t>493</t>
        </is>
      </c>
      <c r="F576" s="8" t="inlineStr">
        <is>
          <t>DESPESAS DIVERSAS</t>
        </is>
      </c>
      <c r="G576" s="10" t="inlineStr">
        <is>
          <t>506</t>
        </is>
      </c>
      <c r="H576" s="8">
        <f>IFERROR(VLOOKUP(G576&amp;"",PLANO!A:B,2,FALSE),"CONTA NAO EXISTE NO PLANO")</f>
        <v/>
      </c>
      <c r="I576" s="8" t="inlineStr">
        <is>
          <t>506</t>
        </is>
      </c>
      <c r="J576" s="8" t="inlineStr">
        <is>
          <t>CORRIGIR</t>
        </is>
      </c>
      <c r="K576" s="8" t="inlineStr">
        <is>
          <t>fornecedor com NF (Cosmos: compra MP/embalagem) - pagamento deve baixar fornecedores 506</t>
        </is>
      </c>
      <c r="L576" s="8" t="inlineStr">
        <is>
          <t>SCLARSKI COMERCIO LTDA | 115/9 | PAGAMENTO REFERENTE A COMPRA DE SACO PLÁSTICO PARA PESAGEM</t>
        </is>
      </c>
      <c r="M576" s="8" t="inlineStr">
        <is>
          <t>SCLARSKI COMERCIO LTDA - PAGAMENTO REFERENTE A COMPRA DE SACO PLÁSTICO PARA PESAGEM</t>
        </is>
      </c>
    </row>
    <row r="577">
      <c r="A577" t="n">
        <v>576</v>
      </c>
      <c r="B577" t="inlineStr">
        <is>
          <t>25/03/2026</t>
        </is>
      </c>
      <c r="C577" t="inlineStr">
        <is>
          <t>REF. A PGTO MIN-ITAUCARD-1147</t>
        </is>
      </c>
      <c r="D577" s="7" t="n">
        <v>-1138.88</v>
      </c>
      <c r="E577" t="inlineStr">
        <is>
          <t>493</t>
        </is>
      </c>
      <c r="F577" t="inlineStr">
        <is>
          <t>DESPESAS DIVERSAS</t>
        </is>
      </c>
      <c r="G577" s="2" t="inlineStr">
        <is>
          <t>493</t>
        </is>
      </c>
      <c r="H577">
        <f>IFERROR(VLOOKUP(G577&amp;"",PLANO!A:B,2,FALSE),"CONTA NAO EXISTE NO PLANO")</f>
        <v/>
      </c>
      <c r="I577" t="inlineStr">
        <is>
          <t>493</t>
        </is>
      </c>
      <c r="J577" t="inlineStr">
        <is>
          <t>SEM COSMOS</t>
        </is>
      </c>
      <c r="K577" t="inlineStr"/>
      <c r="L577" t="inlineStr"/>
      <c r="M577" t="inlineStr">
        <is>
          <t>PGTO MIN-ITAUCARD-1147</t>
        </is>
      </c>
    </row>
    <row r="578">
      <c r="A578" t="n">
        <v>577</v>
      </c>
      <c r="B578" t="inlineStr">
        <is>
          <t>26/03/2026</t>
        </is>
      </c>
      <c r="C578" t="inlineStr">
        <is>
          <t>REF. A MOV TIT COB DISP 26/03S</t>
        </is>
      </c>
      <c r="D578" s="7" t="n">
        <v>2249.86</v>
      </c>
      <c r="E578" t="inlineStr">
        <is>
          <t>504</t>
        </is>
      </c>
      <c r="F578" t="inlineStr">
        <is>
          <t>CLIENTES DIVERSOS</t>
        </is>
      </c>
      <c r="G578" s="2" t="inlineStr">
        <is>
          <t>504</t>
        </is>
      </c>
      <c r="H578">
        <f>IFERROR(VLOOKUP(G578&amp;"",PLANO!A:B,2,FALSE),"CONTA NAO EXISTE NO PLANO")</f>
        <v/>
      </c>
      <c r="I578" t="inlineStr">
        <is>
          <t>504</t>
        </is>
      </c>
      <c r="J578" t="inlineStr">
        <is>
          <t>SEM COSMOS</t>
        </is>
      </c>
      <c r="K578" t="inlineStr"/>
      <c r="L578" t="inlineStr"/>
      <c r="M578" t="inlineStr">
        <is>
          <t>MOV TIT COB DISP 26/03S</t>
        </is>
      </c>
    </row>
    <row r="579">
      <c r="A579" t="n">
        <v>578</v>
      </c>
      <c r="B579" t="inlineStr">
        <is>
          <t>26/03/2026</t>
        </is>
      </c>
      <c r="C579" t="inlineStr">
        <is>
          <t>REF. A PIX TRANSF NEIVA M26/03</t>
        </is>
      </c>
      <c r="D579" s="7" t="n">
        <v>1100</v>
      </c>
      <c r="E579" t="inlineStr">
        <is>
          <t>504</t>
        </is>
      </c>
      <c r="F579" t="inlineStr">
        <is>
          <t>CLIENTES DIVERSOS</t>
        </is>
      </c>
      <c r="G579" s="2" t="inlineStr">
        <is>
          <t>504</t>
        </is>
      </c>
      <c r="H579">
        <f>IFERROR(VLOOKUP(G579&amp;"",PLANO!A:B,2,FALSE),"CONTA NAO EXISTE NO PLANO")</f>
        <v/>
      </c>
      <c r="I579" t="inlineStr">
        <is>
          <t>504</t>
        </is>
      </c>
      <c r="J579" t="inlineStr">
        <is>
          <t>SEM COSMOS</t>
        </is>
      </c>
      <c r="K579" t="inlineStr"/>
      <c r="L579" t="inlineStr"/>
      <c r="M579" t="inlineStr">
        <is>
          <t>PIX TRANSF NEIVA M26/03</t>
        </is>
      </c>
    </row>
    <row r="580">
      <c r="A580" t="n">
        <v>579</v>
      </c>
      <c r="B580" t="inlineStr">
        <is>
          <t>26/03/2026</t>
        </is>
      </c>
      <c r="C580" t="inlineStr">
        <is>
          <t>REF. A PIX ENVIADO UNIVAR SOLUT</t>
        </is>
      </c>
      <c r="D580" s="7" t="n">
        <v>-1885.2</v>
      </c>
      <c r="E580" t="inlineStr">
        <is>
          <t>506</t>
        </is>
      </c>
      <c r="F580" t="inlineStr">
        <is>
          <t>FORNECEDORES DIVERSOS</t>
        </is>
      </c>
      <c r="G580" s="2" t="inlineStr">
        <is>
          <t>506</t>
        </is>
      </c>
      <c r="H580">
        <f>IFERROR(VLOOKUP(G580&amp;"",PLANO!A:B,2,FALSE),"CONTA NAO EXISTE NO PLANO")</f>
        <v/>
      </c>
      <c r="I580" t="inlineStr">
        <is>
          <t>506</t>
        </is>
      </c>
      <c r="J580" t="inlineStr">
        <is>
          <t>SEM COSMOS</t>
        </is>
      </c>
      <c r="K580" t="inlineStr"/>
      <c r="L580" t="inlineStr"/>
      <c r="M580" t="inlineStr">
        <is>
          <t>PIX ENVIADO UNIVAR SOLUT</t>
        </is>
      </c>
    </row>
    <row r="581">
      <c r="A581" t="n">
        <v>580</v>
      </c>
      <c r="B581" t="inlineStr">
        <is>
          <t>26/03/2026</t>
        </is>
      </c>
      <c r="C581" t="inlineStr">
        <is>
          <t>REF. A BOLETO PAGO C PACK CREAT</t>
        </is>
      </c>
      <c r="D581" s="7" t="n">
        <v>-3441.56</v>
      </c>
      <c r="E581" t="inlineStr">
        <is>
          <t>506</t>
        </is>
      </c>
      <c r="F581" t="inlineStr">
        <is>
          <t>FORNECEDORES DIVERSOS</t>
        </is>
      </c>
      <c r="G581" s="2" t="inlineStr">
        <is>
          <t>506</t>
        </is>
      </c>
      <c r="H581">
        <f>IFERROR(VLOOKUP(G581&amp;"",PLANO!A:B,2,FALSE),"CONTA NAO EXISTE NO PLANO")</f>
        <v/>
      </c>
      <c r="I581" t="inlineStr">
        <is>
          <t>506</t>
        </is>
      </c>
      <c r="J581" t="inlineStr">
        <is>
          <t>SEM COSMOS</t>
        </is>
      </c>
      <c r="K581" t="inlineStr"/>
      <c r="L581" t="inlineStr"/>
      <c r="M581" t="inlineStr">
        <is>
          <t>BOLETO PAGO C PACK CREAT</t>
        </is>
      </c>
    </row>
    <row r="582">
      <c r="A582" t="n">
        <v>581</v>
      </c>
      <c r="B582" t="inlineStr">
        <is>
          <t>26/03/2026</t>
        </is>
      </c>
      <c r="C582" t="inlineStr">
        <is>
          <t>REF. A BOLETO PAGO TABELIONATO</t>
        </is>
      </c>
      <c r="D582" s="7" t="n">
        <v>-608.51</v>
      </c>
      <c r="E582" t="inlineStr">
        <is>
          <t>350</t>
        </is>
      </c>
      <c r="F582" t="inlineStr">
        <is>
          <t>TAXAS DIVERSAS</t>
        </is>
      </c>
      <c r="G582" s="2" t="inlineStr">
        <is>
          <t>350</t>
        </is>
      </c>
      <c r="H582">
        <f>IFERROR(VLOOKUP(G582&amp;"",PLANO!A:B,2,FALSE),"CONTA NAO EXISTE NO PLANO")</f>
        <v/>
      </c>
      <c r="I582" t="inlineStr">
        <is>
          <t>350</t>
        </is>
      </c>
      <c r="J582" t="inlineStr">
        <is>
          <t>SEM COSMOS</t>
        </is>
      </c>
      <c r="K582" t="inlineStr"/>
      <c r="L582" t="inlineStr"/>
      <c r="M582" t="inlineStr">
        <is>
          <t>BOLETO PAGO TABELIONATO</t>
        </is>
      </c>
    </row>
    <row r="583">
      <c r="A583" t="n">
        <v>582</v>
      </c>
      <c r="B583" t="inlineStr">
        <is>
          <t>26/03/2026</t>
        </is>
      </c>
      <c r="C583" t="inlineStr">
        <is>
          <t>REF. A BOLETO PAGO TABELIONATO</t>
        </is>
      </c>
      <c r="D583" s="7" t="n">
        <v>-1686.15</v>
      </c>
      <c r="E583" t="inlineStr">
        <is>
          <t>350</t>
        </is>
      </c>
      <c r="F583" t="inlineStr">
        <is>
          <t>TAXAS DIVERSAS</t>
        </is>
      </c>
      <c r="G583" s="2" t="inlineStr">
        <is>
          <t>350</t>
        </is>
      </c>
      <c r="H583">
        <f>IFERROR(VLOOKUP(G583&amp;"",PLANO!A:B,2,FALSE),"CONTA NAO EXISTE NO PLANO")</f>
        <v/>
      </c>
      <c r="I583" t="inlineStr">
        <is>
          <t>350</t>
        </is>
      </c>
      <c r="J583" t="inlineStr">
        <is>
          <t>SEM COSMOS</t>
        </is>
      </c>
      <c r="K583" t="inlineStr"/>
      <c r="L583" t="inlineStr"/>
      <c r="M583" t="inlineStr">
        <is>
          <t>BOLETO PAGO TABELIONATO</t>
        </is>
      </c>
    </row>
    <row r="584">
      <c r="A584" t="n">
        <v>583</v>
      </c>
      <c r="B584" t="inlineStr">
        <is>
          <t>27/03/2026</t>
        </is>
      </c>
      <c r="C584" t="inlineStr">
        <is>
          <t>REF. A BOLETO PAGO TABELIONATO</t>
        </is>
      </c>
      <c r="D584" s="7" t="n">
        <v>-3179.68</v>
      </c>
      <c r="E584" t="inlineStr">
        <is>
          <t>350</t>
        </is>
      </c>
      <c r="F584" t="inlineStr">
        <is>
          <t>TAXAS DIVERSAS</t>
        </is>
      </c>
      <c r="G584" s="2" t="inlineStr">
        <is>
          <t>350</t>
        </is>
      </c>
      <c r="H584">
        <f>IFERROR(VLOOKUP(G584&amp;"",PLANO!A:B,2,FALSE),"CONTA NAO EXISTE NO PLANO")</f>
        <v/>
      </c>
      <c r="I584" t="inlineStr">
        <is>
          <t>350</t>
        </is>
      </c>
      <c r="J584" t="inlineStr">
        <is>
          <t>SEM COSMOS</t>
        </is>
      </c>
      <c r="K584" t="inlineStr"/>
      <c r="L584" t="inlineStr"/>
      <c r="M584" t="inlineStr">
        <is>
          <t>BOLETO PAGO TABELIONATO</t>
        </is>
      </c>
    </row>
    <row r="585">
      <c r="A585" t="n">
        <v>584</v>
      </c>
      <c r="B585" t="inlineStr">
        <is>
          <t>27/03/2026</t>
        </is>
      </c>
      <c r="C585" t="inlineStr">
        <is>
          <t>REF. A BOLETO PAGO TRANSAL</t>
        </is>
      </c>
      <c r="D585" s="7" t="n">
        <v>-437.35</v>
      </c>
      <c r="E585" t="inlineStr">
        <is>
          <t>312</t>
        </is>
      </c>
      <c r="F585" t="inlineStr">
        <is>
          <t>FRETES E CARRETOS</t>
        </is>
      </c>
      <c r="G585" s="2" t="inlineStr">
        <is>
          <t>312</t>
        </is>
      </c>
      <c r="H585">
        <f>IFERROR(VLOOKUP(G585&amp;"",PLANO!A:B,2,FALSE),"CONTA NAO EXISTE NO PLANO")</f>
        <v/>
      </c>
      <c r="I585" t="inlineStr">
        <is>
          <t>312</t>
        </is>
      </c>
      <c r="J585" t="inlineStr">
        <is>
          <t>SEM COSMOS</t>
        </is>
      </c>
      <c r="K585" t="inlineStr"/>
      <c r="L585" t="inlineStr"/>
      <c r="M585" t="inlineStr">
        <is>
          <t>BOLETO PAGO TRANSAL</t>
        </is>
      </c>
    </row>
    <row r="586">
      <c r="A586" t="n">
        <v>585</v>
      </c>
      <c r="B586" t="inlineStr">
        <is>
          <t>27/03/2026</t>
        </is>
      </c>
      <c r="C586" t="inlineStr">
        <is>
          <t>REF. A BOLETO PAGO TRANS TOMAZ</t>
        </is>
      </c>
      <c r="D586" s="7" t="n">
        <v>-355.06</v>
      </c>
      <c r="E586" t="inlineStr">
        <is>
          <t>312</t>
        </is>
      </c>
      <c r="F586" t="inlineStr">
        <is>
          <t>FRETES E CARRETOS</t>
        </is>
      </c>
      <c r="G586" s="2" t="inlineStr">
        <is>
          <t>312</t>
        </is>
      </c>
      <c r="H586">
        <f>IFERROR(VLOOKUP(G586&amp;"",PLANO!A:B,2,FALSE),"CONTA NAO EXISTE NO PLANO")</f>
        <v/>
      </c>
      <c r="I586" t="inlineStr">
        <is>
          <t>312</t>
        </is>
      </c>
      <c r="J586" t="inlineStr">
        <is>
          <t>SEM COSMOS</t>
        </is>
      </c>
      <c r="K586" t="inlineStr"/>
      <c r="L586" t="inlineStr"/>
      <c r="M586" t="inlineStr">
        <is>
          <t>BOLETO PAGO TRANS TOMAZ</t>
        </is>
      </c>
    </row>
    <row r="587">
      <c r="A587" t="n">
        <v>586</v>
      </c>
      <c r="B587" t="inlineStr">
        <is>
          <t>27/03/2026</t>
        </is>
      </c>
      <c r="C587" t="inlineStr">
        <is>
          <t>ITAU SEG VIDA GLOB</t>
        </is>
      </c>
      <c r="D587" s="7" t="n">
        <v>-295.51</v>
      </c>
      <c r="E587" t="inlineStr">
        <is>
          <t>642</t>
        </is>
      </c>
      <c r="F587" t="inlineStr">
        <is>
          <t>SEGURO DE VIDA EMPRESARIAL</t>
        </is>
      </c>
      <c r="G587" s="2" t="inlineStr">
        <is>
          <t>642</t>
        </is>
      </c>
      <c r="H587">
        <f>IFERROR(VLOOKUP(G587&amp;"",PLANO!A:B,2,FALSE),"CONTA NAO EXISTE NO PLANO")</f>
        <v/>
      </c>
      <c r="I587" t="inlineStr">
        <is>
          <t>642</t>
        </is>
      </c>
      <c r="J587" t="inlineStr">
        <is>
          <t>SEM COSMOS</t>
        </is>
      </c>
      <c r="K587" t="inlineStr"/>
      <c r="L587" t="inlineStr"/>
      <c r="M587" t="inlineStr">
        <is>
          <t>ITAU SEG VIDA GLOB</t>
        </is>
      </c>
    </row>
    <row r="588">
      <c r="A588" t="n">
        <v>587</v>
      </c>
      <c r="B588" t="inlineStr">
        <is>
          <t>27/03/2026</t>
        </is>
      </c>
      <c r="C588" t="inlineStr">
        <is>
          <t>REF. A JUROS 8613.52508-1</t>
        </is>
      </c>
      <c r="D588" s="7" t="n">
        <v>-4086.5</v>
      </c>
      <c r="E588" t="inlineStr">
        <is>
          <t>375</t>
        </is>
      </c>
      <c r="F588" t="inlineStr">
        <is>
          <t>JUROS SOBRE EMPRÉSTIMOS E FINANCIAMENTOS</t>
        </is>
      </c>
      <c r="G588" s="2" t="inlineStr">
        <is>
          <t>375</t>
        </is>
      </c>
      <c r="H588">
        <f>IFERROR(VLOOKUP(G588&amp;"",PLANO!A:B,2,FALSE),"CONTA NAO EXISTE NO PLANO")</f>
        <v/>
      </c>
      <c r="I588" t="inlineStr">
        <is>
          <t>375</t>
        </is>
      </c>
      <c r="J588" t="inlineStr">
        <is>
          <t>SEM COSMOS</t>
        </is>
      </c>
      <c r="K588" t="inlineStr"/>
      <c r="L588" t="inlineStr"/>
      <c r="M588" t="inlineStr">
        <is>
          <t>JUROS 8613.52508-1</t>
        </is>
      </c>
    </row>
    <row r="589">
      <c r="A589" t="n">
        <v>588</v>
      </c>
      <c r="B589" t="inlineStr">
        <is>
          <t>30/03/2026</t>
        </is>
      </c>
      <c r="C589" t="inlineStr">
        <is>
          <t>REF. A REDE MAST AT0081996543</t>
        </is>
      </c>
      <c r="D589" s="7" t="n">
        <v>11267.26</v>
      </c>
      <c r="E589" t="inlineStr">
        <is>
          <t>504</t>
        </is>
      </c>
      <c r="F589" t="inlineStr">
        <is>
          <t>CLIENTES DIVERSOS</t>
        </is>
      </c>
      <c r="G589" s="2" t="inlineStr">
        <is>
          <t>504</t>
        </is>
      </c>
      <c r="H589">
        <f>IFERROR(VLOOKUP(G589&amp;"",PLANO!A:B,2,FALSE),"CONTA NAO EXISTE NO PLANO")</f>
        <v/>
      </c>
      <c r="I589" t="inlineStr">
        <is>
          <t>504</t>
        </is>
      </c>
      <c r="J589" t="inlineStr">
        <is>
          <t>SEM COSMOS</t>
        </is>
      </c>
      <c r="K589" t="inlineStr"/>
      <c r="L589" t="inlineStr"/>
      <c r="M589" t="inlineStr">
        <is>
          <t>REDE MAST AT0081996543</t>
        </is>
      </c>
    </row>
    <row r="590">
      <c r="A590" t="n">
        <v>589</v>
      </c>
      <c r="B590" t="inlineStr">
        <is>
          <t>30/03/2026</t>
        </is>
      </c>
      <c r="C590" t="inlineStr">
        <is>
          <t>REF. A PIX TRANSF EXCLUSI30/03</t>
        </is>
      </c>
      <c r="D590" s="7" t="n">
        <v>2000</v>
      </c>
      <c r="E590" t="inlineStr">
        <is>
          <t>504</t>
        </is>
      </c>
      <c r="F590" t="inlineStr">
        <is>
          <t>CLIENTES DIVERSOS</t>
        </is>
      </c>
      <c r="G590" s="2" t="inlineStr">
        <is>
          <t>504</t>
        </is>
      </c>
      <c r="H590">
        <f>IFERROR(VLOOKUP(G590&amp;"",PLANO!A:B,2,FALSE),"CONTA NAO EXISTE NO PLANO")</f>
        <v/>
      </c>
      <c r="I590" t="inlineStr">
        <is>
          <t>504</t>
        </is>
      </c>
      <c r="J590" t="inlineStr">
        <is>
          <t>SEM COSMOS</t>
        </is>
      </c>
      <c r="K590" t="inlineStr"/>
      <c r="L590" t="inlineStr"/>
      <c r="M590" t="inlineStr">
        <is>
          <t>PIX TRANSF EXCLUSI30/03</t>
        </is>
      </c>
    </row>
    <row r="591">
      <c r="A591" t="n">
        <v>590</v>
      </c>
      <c r="B591" t="inlineStr">
        <is>
          <t>30/03/2026</t>
        </is>
      </c>
      <c r="C591" t="inlineStr">
        <is>
          <t>REF. A TED 363.0001.RNX F M D R</t>
        </is>
      </c>
      <c r="D591" s="7" t="n">
        <v>26461.68</v>
      </c>
      <c r="E591" t="inlineStr">
        <is>
          <t>504</t>
        </is>
      </c>
      <c r="F591" t="inlineStr">
        <is>
          <t>CLIENTES DIVERSOS</t>
        </is>
      </c>
      <c r="G591" s="2" t="inlineStr">
        <is>
          <t>504</t>
        </is>
      </c>
      <c r="H591">
        <f>IFERROR(VLOOKUP(G591&amp;"",PLANO!A:B,2,FALSE),"CONTA NAO EXISTE NO PLANO")</f>
        <v/>
      </c>
      <c r="I591" t="inlineStr">
        <is>
          <t>504</t>
        </is>
      </c>
      <c r="J591" t="inlineStr">
        <is>
          <t>SEM COSMOS</t>
        </is>
      </c>
      <c r="K591" t="inlineStr"/>
      <c r="L591" t="inlineStr"/>
      <c r="M591" t="inlineStr">
        <is>
          <t>TED 363.0001.RNX F M D R</t>
        </is>
      </c>
    </row>
    <row r="592">
      <c r="A592" t="n">
        <v>591</v>
      </c>
      <c r="B592" t="inlineStr">
        <is>
          <t>30/03/2026</t>
        </is>
      </c>
      <c r="C592" t="inlineStr">
        <is>
          <t>REF. A PIX ENVIADO DISTRIBUIDOR</t>
        </is>
      </c>
      <c r="D592" s="7" t="n">
        <v>-573</v>
      </c>
      <c r="E592" t="inlineStr">
        <is>
          <t>493</t>
        </is>
      </c>
      <c r="F592" t="inlineStr">
        <is>
          <t>DESPESAS DIVERSAS</t>
        </is>
      </c>
      <c r="G592" s="2" t="inlineStr">
        <is>
          <t>493</t>
        </is>
      </c>
      <c r="H592">
        <f>IFERROR(VLOOKUP(G592&amp;"",PLANO!A:B,2,FALSE),"CONTA NAO EXISTE NO PLANO")</f>
        <v/>
      </c>
      <c r="I592" t="inlineStr">
        <is>
          <t>493</t>
        </is>
      </c>
      <c r="J592" t="inlineStr">
        <is>
          <t>SEM COSMOS</t>
        </is>
      </c>
      <c r="K592" t="inlineStr"/>
      <c r="L592" t="inlineStr"/>
      <c r="M592" t="inlineStr">
        <is>
          <t>PIX ENVIADO DISTRIBUIDOR</t>
        </is>
      </c>
    </row>
    <row r="593">
      <c r="A593" t="n">
        <v>592</v>
      </c>
      <c r="B593" t="inlineStr">
        <is>
          <t>30/03/2026</t>
        </is>
      </c>
      <c r="C593" t="inlineStr">
        <is>
          <t>REF. A BOLETO PAGO TEX COURIER</t>
        </is>
      </c>
      <c r="D593" s="7" t="n">
        <v>-387.56</v>
      </c>
      <c r="E593" t="inlineStr">
        <is>
          <t>312</t>
        </is>
      </c>
      <c r="F593" t="inlineStr">
        <is>
          <t>FRETES E CARRETOS</t>
        </is>
      </c>
      <c r="G593" s="2" t="inlineStr">
        <is>
          <t>312</t>
        </is>
      </c>
      <c r="H593">
        <f>IFERROR(VLOOKUP(G593&amp;"",PLANO!A:B,2,FALSE),"CONTA NAO EXISTE NO PLANO")</f>
        <v/>
      </c>
      <c r="I593" t="inlineStr">
        <is>
          <t>312</t>
        </is>
      </c>
      <c r="J593" t="inlineStr">
        <is>
          <t>SEM COSMOS</t>
        </is>
      </c>
      <c r="K593" t="inlineStr"/>
      <c r="L593" t="inlineStr"/>
      <c r="M593" t="inlineStr">
        <is>
          <t>BOLETO PAGO TEX COURIER</t>
        </is>
      </c>
    </row>
    <row r="594">
      <c r="A594" t="n">
        <v>593</v>
      </c>
      <c r="B594" t="inlineStr">
        <is>
          <t>30/03/2026</t>
        </is>
      </c>
      <c r="C594" t="inlineStr">
        <is>
          <t>REF. A BOLETO PAGO SAVATEC COME</t>
        </is>
      </c>
      <c r="D594" s="7" t="n">
        <v>-638.66</v>
      </c>
      <c r="E594" t="inlineStr">
        <is>
          <t>359</t>
        </is>
      </c>
      <c r="F594" t="inlineStr">
        <is>
          <t>MATERIAL DE ESCRITÓRIO</t>
        </is>
      </c>
      <c r="G594" s="2" t="inlineStr">
        <is>
          <t>359</t>
        </is>
      </c>
      <c r="H594">
        <f>IFERROR(VLOOKUP(G594&amp;"",PLANO!A:B,2,FALSE),"CONTA NAO EXISTE NO PLANO")</f>
        <v/>
      </c>
      <c r="I594" t="inlineStr">
        <is>
          <t>359</t>
        </is>
      </c>
      <c r="J594" t="inlineStr">
        <is>
          <t>SEM COSMOS</t>
        </is>
      </c>
      <c r="K594" t="inlineStr"/>
      <c r="L594" t="inlineStr"/>
      <c r="M594" t="inlineStr">
        <is>
          <t>BOLETO PAGO SAVATEC COME</t>
        </is>
      </c>
    </row>
    <row r="595">
      <c r="A595" t="n">
        <v>594</v>
      </c>
      <c r="B595" t="inlineStr">
        <is>
          <t>30/03/2026</t>
        </is>
      </c>
      <c r="C595" t="inlineStr">
        <is>
          <t>REF. A BOLETO PAGO TABELIONATO</t>
        </is>
      </c>
      <c r="D595" s="7" t="n">
        <v>-1166.34</v>
      </c>
      <c r="E595" t="inlineStr">
        <is>
          <t>350</t>
        </is>
      </c>
      <c r="F595" t="inlineStr">
        <is>
          <t>TAXAS DIVERSAS</t>
        </is>
      </c>
      <c r="G595" s="2" t="inlineStr">
        <is>
          <t>350</t>
        </is>
      </c>
      <c r="H595">
        <f>IFERROR(VLOOKUP(G595&amp;"",PLANO!A:B,2,FALSE),"CONTA NAO EXISTE NO PLANO")</f>
        <v/>
      </c>
      <c r="I595" t="inlineStr">
        <is>
          <t>350</t>
        </is>
      </c>
      <c r="J595" t="inlineStr">
        <is>
          <t>SEM COSMOS</t>
        </is>
      </c>
      <c r="K595" t="inlineStr"/>
      <c r="L595" t="inlineStr"/>
      <c r="M595" t="inlineStr">
        <is>
          <t>BOLETO PAGO TABELIONATO</t>
        </is>
      </c>
    </row>
    <row r="596">
      <c r="A596" t="n">
        <v>595</v>
      </c>
      <c r="B596" t="inlineStr">
        <is>
          <t>30/03/2026</t>
        </is>
      </c>
      <c r="C596" t="inlineStr">
        <is>
          <t>REF. A BOLETO PAGO SAVATEC COME</t>
        </is>
      </c>
      <c r="D596" s="7" t="n">
        <v>-726.67</v>
      </c>
      <c r="E596" t="inlineStr">
        <is>
          <t>359</t>
        </is>
      </c>
      <c r="F596" t="inlineStr">
        <is>
          <t>MATERIAL DE ESCRITÓRIO</t>
        </is>
      </c>
      <c r="G596" s="2" t="inlineStr">
        <is>
          <t>359</t>
        </is>
      </c>
      <c r="H596">
        <f>IFERROR(VLOOKUP(G596&amp;"",PLANO!A:B,2,FALSE),"CONTA NAO EXISTE NO PLANO")</f>
        <v/>
      </c>
      <c r="I596" t="inlineStr">
        <is>
          <t>359</t>
        </is>
      </c>
      <c r="J596" t="inlineStr">
        <is>
          <t>SEM COSMOS</t>
        </is>
      </c>
      <c r="K596" t="inlineStr"/>
      <c r="L596" t="inlineStr"/>
      <c r="M596" t="inlineStr">
        <is>
          <t>BOLETO PAGO SAVATEC COME</t>
        </is>
      </c>
    </row>
    <row r="597">
      <c r="A597" t="n">
        <v>596</v>
      </c>
      <c r="B597" t="inlineStr">
        <is>
          <t>30/03/2026</t>
        </is>
      </c>
      <c r="C597" t="inlineStr">
        <is>
          <t>REF. A BOLETO PAGO TECNOPONTO T</t>
        </is>
      </c>
      <c r="D597" s="7" t="n">
        <v>-74.90000000000001</v>
      </c>
      <c r="E597" t="inlineStr">
        <is>
          <t>506</t>
        </is>
      </c>
      <c r="F597" t="inlineStr">
        <is>
          <t>FORNECEDORES DIVERSOS</t>
        </is>
      </c>
      <c r="G597" s="2" t="inlineStr">
        <is>
          <t>506</t>
        </is>
      </c>
      <c r="H597">
        <f>IFERROR(VLOOKUP(G597&amp;"",PLANO!A:B,2,FALSE),"CONTA NAO EXISTE NO PLANO")</f>
        <v/>
      </c>
      <c r="I597" t="inlineStr">
        <is>
          <t>506</t>
        </is>
      </c>
      <c r="J597" t="inlineStr">
        <is>
          <t>SEM COSMOS</t>
        </is>
      </c>
      <c r="K597" t="inlineStr"/>
      <c r="L597" t="inlineStr"/>
      <c r="M597" t="inlineStr">
        <is>
          <t>BOLETO PAGO TECNOPONTO T</t>
        </is>
      </c>
    </row>
    <row r="598">
      <c r="A598" t="n">
        <v>597</v>
      </c>
      <c r="B598" t="inlineStr">
        <is>
          <t>30/03/2026</t>
        </is>
      </c>
      <c r="C598" t="inlineStr">
        <is>
          <t>REF. A BOLETO PAGO TABELIONATO</t>
        </is>
      </c>
      <c r="D598" s="7" t="n">
        <v>-569.39</v>
      </c>
      <c r="E598" t="inlineStr">
        <is>
          <t>350</t>
        </is>
      </c>
      <c r="F598" t="inlineStr">
        <is>
          <t>TAXAS DIVERSAS</t>
        </is>
      </c>
      <c r="G598" s="2" t="inlineStr">
        <is>
          <t>350</t>
        </is>
      </c>
      <c r="H598">
        <f>IFERROR(VLOOKUP(G598&amp;"",PLANO!A:B,2,FALSE),"CONTA NAO EXISTE NO PLANO")</f>
        <v/>
      </c>
      <c r="I598" t="inlineStr">
        <is>
          <t>350</t>
        </is>
      </c>
      <c r="J598" t="inlineStr">
        <is>
          <t>SEM COSMOS</t>
        </is>
      </c>
      <c r="K598" t="inlineStr"/>
      <c r="L598" t="inlineStr"/>
      <c r="M598" t="inlineStr">
        <is>
          <t>BOLETO PAGO TABELIONATO</t>
        </is>
      </c>
    </row>
    <row r="599">
      <c r="A599" t="n">
        <v>598</v>
      </c>
      <c r="B599" t="inlineStr">
        <is>
          <t>31/03/2026</t>
        </is>
      </c>
      <c r="C599" t="inlineStr">
        <is>
          <t>REF. A SISPAG ESAINT COMERCIO</t>
        </is>
      </c>
      <c r="D599" s="7" t="n">
        <v>1000</v>
      </c>
      <c r="E599" t="inlineStr">
        <is>
          <t>504</t>
        </is>
      </c>
      <c r="F599" t="inlineStr">
        <is>
          <t>CLIENTES DIVERSOS</t>
        </is>
      </c>
      <c r="G599" s="2" t="inlineStr">
        <is>
          <t>504</t>
        </is>
      </c>
      <c r="H599">
        <f>IFERROR(VLOOKUP(G599&amp;"",PLANO!A:B,2,FALSE),"CONTA NAO EXISTE NO PLANO")</f>
        <v/>
      </c>
      <c r="I599" t="inlineStr">
        <is>
          <t>504</t>
        </is>
      </c>
      <c r="J599" t="inlineStr">
        <is>
          <t>SEM COSMOS</t>
        </is>
      </c>
      <c r="K599" t="inlineStr"/>
      <c r="L599" t="inlineStr"/>
      <c r="M599" t="inlineStr">
        <is>
          <t>SISPAG ESAINT COMERCIO</t>
        </is>
      </c>
    </row>
    <row r="600">
      <c r="A600" t="n">
        <v>599</v>
      </c>
      <c r="B600" t="inlineStr">
        <is>
          <t>31/03/2026</t>
        </is>
      </c>
      <c r="C600" t="inlineStr">
        <is>
          <t>REF. A PIX TRANSF J O RIO31/03</t>
        </is>
      </c>
      <c r="D600" s="7" t="n">
        <v>500</v>
      </c>
      <c r="E600" t="inlineStr">
        <is>
          <t>504</t>
        </is>
      </c>
      <c r="F600" t="inlineStr">
        <is>
          <t>CLIENTES DIVERSOS</t>
        </is>
      </c>
      <c r="G600" s="2" t="inlineStr">
        <is>
          <t>504</t>
        </is>
      </c>
      <c r="H600">
        <f>IFERROR(VLOOKUP(G600&amp;"",PLANO!A:B,2,FALSE),"CONTA NAO EXISTE NO PLANO")</f>
        <v/>
      </c>
      <c r="I600" t="inlineStr">
        <is>
          <t>504</t>
        </is>
      </c>
      <c r="J600" t="inlineStr">
        <is>
          <t>SEM COSMOS</t>
        </is>
      </c>
      <c r="K600" t="inlineStr"/>
      <c r="L600" t="inlineStr"/>
      <c r="M600" t="inlineStr">
        <is>
          <t>PIX TRANSF J O RIO31/03</t>
        </is>
      </c>
    </row>
    <row r="601">
      <c r="A601" t="n">
        <v>600</v>
      </c>
      <c r="B601" t="inlineStr">
        <is>
          <t>31/03/2026</t>
        </is>
      </c>
      <c r="C601" t="inlineStr">
        <is>
          <t>REF. A PIX TRANSF SS COME31/03</t>
        </is>
      </c>
      <c r="D601" s="7" t="n">
        <v>246</v>
      </c>
      <c r="E601" t="inlineStr">
        <is>
          <t>504</t>
        </is>
      </c>
      <c r="F601" t="inlineStr">
        <is>
          <t>CLIENTES DIVERSOS</t>
        </is>
      </c>
      <c r="G601" s="2" t="inlineStr">
        <is>
          <t>504</t>
        </is>
      </c>
      <c r="H601">
        <f>IFERROR(VLOOKUP(G601&amp;"",PLANO!A:B,2,FALSE),"CONTA NAO EXISTE NO PLANO")</f>
        <v/>
      </c>
      <c r="I601" t="inlineStr">
        <is>
          <t>504</t>
        </is>
      </c>
      <c r="J601" t="inlineStr">
        <is>
          <t>SEM COSMOS</t>
        </is>
      </c>
      <c r="K601" t="inlineStr"/>
      <c r="L601" t="inlineStr"/>
      <c r="M601" t="inlineStr">
        <is>
          <t>PIX TRANSF SS COME31/03</t>
        </is>
      </c>
    </row>
    <row r="602">
      <c r="A602" t="n">
        <v>601</v>
      </c>
      <c r="B602" t="inlineStr">
        <is>
          <t>31/03/2026</t>
        </is>
      </c>
      <c r="C602" t="inlineStr">
        <is>
          <t>REF. A SISPAG PIX QR-CODE</t>
        </is>
      </c>
      <c r="D602" s="7" t="n">
        <v>-211.75</v>
      </c>
      <c r="E602" t="inlineStr">
        <is>
          <t>555</t>
        </is>
      </c>
      <c r="F602" t="inlineStr">
        <is>
          <t>INTERNET</t>
        </is>
      </c>
      <c r="G602" s="2" t="inlineStr">
        <is>
          <t>555</t>
        </is>
      </c>
      <c r="H602">
        <f>IFERROR(VLOOKUP(G602&amp;"",PLANO!A:B,2,FALSE),"CONTA NAO EXISTE NO PLANO")</f>
        <v/>
      </c>
      <c r="I602" t="inlineStr">
        <is>
          <t>555</t>
        </is>
      </c>
      <c r="J602" t="inlineStr">
        <is>
          <t>SEM COSMOS</t>
        </is>
      </c>
      <c r="K602" t="inlineStr"/>
      <c r="L602" t="inlineStr"/>
      <c r="M602" t="inlineStr">
        <is>
          <t>SISPAG PIX QR-CODE</t>
        </is>
      </c>
    </row>
    <row r="603">
      <c r="A603" t="n">
        <v>602</v>
      </c>
      <c r="B603" t="inlineStr">
        <is>
          <t>31/03/2026</t>
        </is>
      </c>
      <c r="C603" t="inlineStr">
        <is>
          <t>REF. A BOLETO PAGO QUIMIFORMULA</t>
        </is>
      </c>
      <c r="D603" s="7" t="n">
        <v>-876.8200000000001</v>
      </c>
      <c r="E603" t="inlineStr">
        <is>
          <t>506</t>
        </is>
      </c>
      <c r="F603" t="inlineStr">
        <is>
          <t>FORNECEDORES DIVERSOS</t>
        </is>
      </c>
      <c r="G603" s="2" t="inlineStr">
        <is>
          <t>506</t>
        </is>
      </c>
      <c r="H603">
        <f>IFERROR(VLOOKUP(G603&amp;"",PLANO!A:B,2,FALSE),"CONTA NAO EXISTE NO PLANO")</f>
        <v/>
      </c>
      <c r="I603" t="inlineStr">
        <is>
          <t>506</t>
        </is>
      </c>
      <c r="J603" t="inlineStr">
        <is>
          <t>SEM COSMOS</t>
        </is>
      </c>
      <c r="K603" t="inlineStr"/>
      <c r="L603" t="inlineStr"/>
      <c r="M603" t="inlineStr">
        <is>
          <t>BOLETO PAGO QUIMIFORMULA</t>
        </is>
      </c>
    </row>
    <row r="604">
      <c r="A604" t="n">
        <v>603</v>
      </c>
      <c r="B604" t="inlineStr">
        <is>
          <t>31/03/2026</t>
        </is>
      </c>
      <c r="C604" t="inlineStr">
        <is>
          <t>REF. A BOLETO PAGO SUPER BRILHO</t>
        </is>
      </c>
      <c r="D604" s="7" t="n">
        <v>-546.53</v>
      </c>
      <c r="E604" t="inlineStr">
        <is>
          <t>506</t>
        </is>
      </c>
      <c r="F604" t="inlineStr">
        <is>
          <t>FORNECEDORES DIVERSOS</t>
        </is>
      </c>
      <c r="G604" s="2" t="inlineStr">
        <is>
          <t>506</t>
        </is>
      </c>
      <c r="H604">
        <f>IFERROR(VLOOKUP(G604&amp;"",PLANO!A:B,2,FALSE),"CONTA NAO EXISTE NO PLANO")</f>
        <v/>
      </c>
      <c r="I604" t="inlineStr">
        <is>
          <t>506</t>
        </is>
      </c>
      <c r="J604" t="inlineStr">
        <is>
          <t>SEM COSMOS</t>
        </is>
      </c>
      <c r="K604" t="inlineStr"/>
      <c r="L604" t="inlineStr"/>
      <c r="M604" t="inlineStr">
        <is>
          <t>BOLETO PAGO SUPER BRILHO</t>
        </is>
      </c>
    </row>
    <row r="605">
      <c r="A605" t="n">
        <v>604</v>
      </c>
      <c r="B605" t="inlineStr">
        <is>
          <t>31/03/2026</t>
        </is>
      </c>
      <c r="C605" t="inlineStr">
        <is>
          <t>REF. A BOLETO PAGO TABELIONATO</t>
        </is>
      </c>
      <c r="D605" s="7" t="n">
        <v>-1758.74</v>
      </c>
      <c r="E605" t="inlineStr">
        <is>
          <t>350</t>
        </is>
      </c>
      <c r="F605" t="inlineStr">
        <is>
          <t>TAXAS DIVERSAS</t>
        </is>
      </c>
      <c r="G605" s="2" t="inlineStr">
        <is>
          <t>350</t>
        </is>
      </c>
      <c r="H605">
        <f>IFERROR(VLOOKUP(G605&amp;"",PLANO!A:B,2,FALSE),"CONTA NAO EXISTE NO PLANO")</f>
        <v/>
      </c>
      <c r="I605" t="inlineStr">
        <is>
          <t>350</t>
        </is>
      </c>
      <c r="J605" t="inlineStr">
        <is>
          <t>SEM COSMOS</t>
        </is>
      </c>
      <c r="K605" t="inlineStr"/>
      <c r="L605" t="inlineStr"/>
      <c r="M605" t="inlineStr">
        <is>
          <t>BOLETO PAGO TABELIONATO</t>
        </is>
      </c>
    </row>
    <row r="606">
      <c r="A606" t="n">
        <v>605</v>
      </c>
      <c r="B606" t="inlineStr">
        <is>
          <t>31/03/2026</t>
        </is>
      </c>
      <c r="C606" t="inlineStr">
        <is>
          <t>REF. A BOLETO PAGO YAHWEH PRINT</t>
        </is>
      </c>
      <c r="D606" s="7" t="n">
        <v>-627.5</v>
      </c>
      <c r="E606" t="inlineStr">
        <is>
          <t>506</t>
        </is>
      </c>
      <c r="F606" t="inlineStr">
        <is>
          <t>FORNECEDORES DIVERSOS</t>
        </is>
      </c>
      <c r="G606" s="2" t="inlineStr">
        <is>
          <t>506</t>
        </is>
      </c>
      <c r="H606">
        <f>IFERROR(VLOOKUP(G606&amp;"",PLANO!A:B,2,FALSE),"CONTA NAO EXISTE NO PLANO")</f>
        <v/>
      </c>
      <c r="I606" t="inlineStr">
        <is>
          <t>506</t>
        </is>
      </c>
      <c r="J606" t="inlineStr">
        <is>
          <t>SEM COSMOS</t>
        </is>
      </c>
      <c r="K606" t="inlineStr"/>
      <c r="L606" t="inlineStr"/>
      <c r="M606" t="inlineStr">
        <is>
          <t>BOLETO PAGO YAHWEH PRINT</t>
        </is>
      </c>
    </row>
    <row r="607">
      <c r="A607" t="n">
        <v>606</v>
      </c>
      <c r="B607" t="inlineStr">
        <is>
          <t>31/03/2026</t>
        </is>
      </c>
      <c r="C607" t="inlineStr">
        <is>
          <t>REF. A BOLETO PAGO CONSELHO FED</t>
        </is>
      </c>
      <c r="D607" s="7" t="n">
        <v>-1508.61</v>
      </c>
      <c r="E607" t="inlineStr">
        <is>
          <t>365</t>
        </is>
      </c>
      <c r="F607" t="inlineStr">
        <is>
          <t>DESPESAS LEGAIS E JUDICIAIS</t>
        </is>
      </c>
      <c r="G607" s="2" t="inlineStr">
        <is>
          <t>365</t>
        </is>
      </c>
      <c r="H607">
        <f>IFERROR(VLOOKUP(G607&amp;"",PLANO!A:B,2,FALSE),"CONTA NAO EXISTE NO PLANO")</f>
        <v/>
      </c>
      <c r="I607" t="inlineStr">
        <is>
          <t>365</t>
        </is>
      </c>
      <c r="J607" t="inlineStr">
        <is>
          <t>SEM COSMOS</t>
        </is>
      </c>
      <c r="K607" t="inlineStr"/>
      <c r="L607" t="inlineStr"/>
      <c r="M607" t="inlineStr">
        <is>
          <t>BOLETO PAGO CONSELHO FED</t>
        </is>
      </c>
    </row>
    <row r="608">
      <c r="A608" t="n">
        <v>607</v>
      </c>
      <c r="B608" t="inlineStr">
        <is>
          <t>01/04/2026</t>
        </is>
      </c>
      <c r="C608" t="inlineStr">
        <is>
          <t>REF. A PIX TRANSF JANDINE01/04</t>
        </is>
      </c>
      <c r="D608" s="7" t="n">
        <v>2136</v>
      </c>
      <c r="E608" t="inlineStr">
        <is>
          <t>504</t>
        </is>
      </c>
      <c r="F608" t="inlineStr">
        <is>
          <t>CLIENTES DIVERSOS</t>
        </is>
      </c>
      <c r="G608" s="2" t="inlineStr">
        <is>
          <t>504</t>
        </is>
      </c>
      <c r="H608">
        <f>IFERROR(VLOOKUP(G608&amp;"",PLANO!A:B,2,FALSE),"CONTA NAO EXISTE NO PLANO")</f>
        <v/>
      </c>
      <c r="I608" t="inlineStr">
        <is>
          <t>504</t>
        </is>
      </c>
      <c r="J608" t="inlineStr">
        <is>
          <t>SEM COSMOS</t>
        </is>
      </c>
      <c r="K608" t="inlineStr"/>
      <c r="L608" t="inlineStr"/>
      <c r="M608" t="inlineStr">
        <is>
          <t>PIX TRANSF JANDINE01/04</t>
        </is>
      </c>
    </row>
    <row r="609">
      <c r="A609" t="n">
        <v>608</v>
      </c>
      <c r="B609" t="inlineStr">
        <is>
          <t>01/04/2026</t>
        </is>
      </c>
      <c r="C609" t="inlineStr">
        <is>
          <t>REF. A TED 363.0001.RNX F M D R</t>
        </is>
      </c>
      <c r="D609" s="7" t="n">
        <v>45843</v>
      </c>
      <c r="E609" t="inlineStr">
        <is>
          <t>504</t>
        </is>
      </c>
      <c r="F609" t="inlineStr">
        <is>
          <t>CLIENTES DIVERSOS</t>
        </is>
      </c>
      <c r="G609" s="2" t="inlineStr">
        <is>
          <t>504</t>
        </is>
      </c>
      <c r="H609">
        <f>IFERROR(VLOOKUP(G609&amp;"",PLANO!A:B,2,FALSE),"CONTA NAO EXISTE NO PLANO")</f>
        <v/>
      </c>
      <c r="I609" t="inlineStr">
        <is>
          <t>504</t>
        </is>
      </c>
      <c r="J609" t="inlineStr">
        <is>
          <t>SEM COSMOS</t>
        </is>
      </c>
      <c r="K609" t="inlineStr"/>
      <c r="L609" t="inlineStr"/>
      <c r="M609" t="inlineStr">
        <is>
          <t>TED 363.0001.RNX F M D R</t>
        </is>
      </c>
    </row>
    <row r="610">
      <c r="A610" t="n">
        <v>609</v>
      </c>
      <c r="B610" t="inlineStr">
        <is>
          <t>01/04/2026</t>
        </is>
      </c>
      <c r="C610" t="inlineStr">
        <is>
          <t>REF A SISPAG PIX QR-CODE</t>
        </is>
      </c>
      <c r="D610" s="7" t="n">
        <v>-3795</v>
      </c>
      <c r="E610" t="inlineStr">
        <is>
          <t>493</t>
        </is>
      </c>
      <c r="F610" t="inlineStr">
        <is>
          <t>DESPESAS DIVERSAS</t>
        </is>
      </c>
      <c r="G610" s="2" t="inlineStr">
        <is>
          <t>493</t>
        </is>
      </c>
      <c r="H610">
        <f>IFERROR(VLOOKUP(G610&amp;"",PLANO!A:B,2,FALSE),"CONTA NAO EXISTE NO PLANO")</f>
        <v/>
      </c>
      <c r="I610" t="inlineStr">
        <is>
          <t>493</t>
        </is>
      </c>
      <c r="J610" t="inlineStr">
        <is>
          <t>SEM COSMOS</t>
        </is>
      </c>
      <c r="K610" t="inlineStr"/>
      <c r="L610" t="inlineStr"/>
      <c r="M610" t="inlineStr">
        <is>
          <t>SISPAG PIX QR-CODE</t>
        </is>
      </c>
    </row>
    <row r="611">
      <c r="A611" s="4" t="n">
        <v>610</v>
      </c>
      <c r="B611" s="4" t="inlineStr">
        <is>
          <t>01/04/2026</t>
        </is>
      </c>
      <c r="C611" s="4" t="inlineStr">
        <is>
          <t>REF. A PIX ENVIADO GULA COSMETI</t>
        </is>
      </c>
      <c r="D611" s="5" t="n">
        <v>-10000</v>
      </c>
      <c r="E611" s="4" t="inlineStr">
        <is>
          <t>506</t>
        </is>
      </c>
      <c r="F611" s="4" t="inlineStr">
        <is>
          <t>FORNECEDORES DIVERSOS</t>
        </is>
      </c>
      <c r="G611" s="6" t="inlineStr">
        <is>
          <t>366</t>
        </is>
      </c>
      <c r="H611" s="4">
        <f>IFERROR(VLOOKUP(G611&amp;"",PLANO!A:B,2,FALSE),"CONTA NAO EXISTE NO PLANO")</f>
        <v/>
      </c>
      <c r="I611" s="4" t="inlineStr">
        <is>
          <t>672</t>
        </is>
      </c>
      <c r="J611" s="4" t="inlineStr">
        <is>
          <t>AJUSTADO</t>
        </is>
      </c>
      <c r="K611" s="4" t="inlineStr">
        <is>
          <t>GULA/FIQUE BEM (mesmo CNPJ, empresa do grupo) - mutuo em EMPRESTIMOS A TERCEIROS (366); nao e fornecedor</t>
        </is>
      </c>
      <c r="L611" s="4" t="inlineStr"/>
      <c r="M611" s="4" t="inlineStr">
        <is>
          <t>PIX ENVIADO GULA COSMETI</t>
        </is>
      </c>
    </row>
    <row r="612">
      <c r="A612" t="n">
        <v>611</v>
      </c>
      <c r="B612" t="inlineStr">
        <is>
          <t>01/04/2026</t>
        </is>
      </c>
      <c r="C612" t="inlineStr">
        <is>
          <t>PIX ENVIADO ALINE DA SIL</t>
        </is>
      </c>
      <c r="D612" s="7" t="n">
        <v>-9613</v>
      </c>
      <c r="E612" t="inlineStr">
        <is>
          <t>506</t>
        </is>
      </c>
      <c r="F612" t="inlineStr">
        <is>
          <t>FORNECEDORES DIVERSOS</t>
        </is>
      </c>
      <c r="G612" s="2" t="inlineStr">
        <is>
          <t>506</t>
        </is>
      </c>
      <c r="H612">
        <f>IFERROR(VLOOKUP(G612&amp;"",PLANO!A:B,2,FALSE),"CONTA NAO EXISTE NO PLANO")</f>
        <v/>
      </c>
      <c r="I612" t="inlineStr">
        <is>
          <t>506</t>
        </is>
      </c>
      <c r="J612" t="inlineStr">
        <is>
          <t>SEM COSMOS</t>
        </is>
      </c>
      <c r="K612" t="inlineStr"/>
      <c r="L612" t="inlineStr"/>
      <c r="M612" t="inlineStr">
        <is>
          <t>PIX ENVIADO ALINE DA SIL</t>
        </is>
      </c>
    </row>
    <row r="613">
      <c r="A613" t="n">
        <v>612</v>
      </c>
      <c r="B613" t="inlineStr">
        <is>
          <t>01/04/2026</t>
        </is>
      </c>
      <c r="C613" t="inlineStr">
        <is>
          <t>REF. A PIX ENVIADO PROVITAL DO</t>
        </is>
      </c>
      <c r="D613" s="7" t="n">
        <v>-4500.93</v>
      </c>
      <c r="E613" t="inlineStr">
        <is>
          <t>506</t>
        </is>
      </c>
      <c r="F613" t="inlineStr">
        <is>
          <t>FORNECEDORES DIVERSOS</t>
        </is>
      </c>
      <c r="G613" s="2" t="inlineStr">
        <is>
          <t>506</t>
        </is>
      </c>
      <c r="H613">
        <f>IFERROR(VLOOKUP(G613&amp;"",PLANO!A:B,2,FALSE),"CONTA NAO EXISTE NO PLANO")</f>
        <v/>
      </c>
      <c r="I613" t="inlineStr">
        <is>
          <t>506</t>
        </is>
      </c>
      <c r="J613" t="inlineStr">
        <is>
          <t>SEM COSMOS</t>
        </is>
      </c>
      <c r="K613" t="inlineStr"/>
      <c r="L613" t="inlineStr"/>
      <c r="M613" t="inlineStr">
        <is>
          <t>PIX ENVIADO PROVITAL DO</t>
        </is>
      </c>
    </row>
    <row r="614">
      <c r="A614" t="n">
        <v>613</v>
      </c>
      <c r="B614" t="inlineStr">
        <is>
          <t>01/04/2026</t>
        </is>
      </c>
      <c r="C614" t="inlineStr">
        <is>
          <t>REF. A BOLETO PAGO SUMMIT COSME</t>
        </is>
      </c>
      <c r="D614" s="7" t="n">
        <v>-447.26</v>
      </c>
      <c r="E614" t="inlineStr">
        <is>
          <t>506</t>
        </is>
      </c>
      <c r="F614" t="inlineStr">
        <is>
          <t>FORNECEDORES DIVERSOS</t>
        </is>
      </c>
      <c r="G614" s="2" t="inlineStr">
        <is>
          <t>506</t>
        </is>
      </c>
      <c r="H614">
        <f>IFERROR(VLOOKUP(G614&amp;"",PLANO!A:B,2,FALSE),"CONTA NAO EXISTE NO PLANO")</f>
        <v/>
      </c>
      <c r="I614" t="inlineStr">
        <is>
          <t>506</t>
        </is>
      </c>
      <c r="J614" t="inlineStr">
        <is>
          <t>SEM COSMOS</t>
        </is>
      </c>
      <c r="K614" t="inlineStr"/>
      <c r="L614" t="inlineStr"/>
      <c r="M614" t="inlineStr">
        <is>
          <t>BOLETO PAGO SUMMIT COSME</t>
        </is>
      </c>
    </row>
    <row r="615">
      <c r="A615" t="n">
        <v>614</v>
      </c>
      <c r="B615" t="inlineStr">
        <is>
          <t>01/04/2026</t>
        </is>
      </c>
      <c r="C615" t="inlineStr">
        <is>
          <t>REF. A BOLETO PAGO SUMMIT COSME</t>
        </is>
      </c>
      <c r="D615" s="7" t="n">
        <v>-1522.42</v>
      </c>
      <c r="E615" t="inlineStr">
        <is>
          <t>506</t>
        </is>
      </c>
      <c r="F615" t="inlineStr">
        <is>
          <t>FORNECEDORES DIVERSOS</t>
        </is>
      </c>
      <c r="G615" s="2" t="inlineStr">
        <is>
          <t>506</t>
        </is>
      </c>
      <c r="H615">
        <f>IFERROR(VLOOKUP(G615&amp;"",PLANO!A:B,2,FALSE),"CONTA NAO EXISTE NO PLANO")</f>
        <v/>
      </c>
      <c r="I615" t="inlineStr">
        <is>
          <t>506</t>
        </is>
      </c>
      <c r="J615" t="inlineStr">
        <is>
          <t>SEM COSMOS</t>
        </is>
      </c>
      <c r="K615" t="inlineStr"/>
      <c r="L615" t="inlineStr"/>
      <c r="M615" t="inlineStr">
        <is>
          <t>BOLETO PAGO SUMMIT COSME</t>
        </is>
      </c>
    </row>
    <row r="616">
      <c r="A616" t="n">
        <v>615</v>
      </c>
      <c r="B616" t="inlineStr">
        <is>
          <t>01/04/2026</t>
        </is>
      </c>
      <c r="C616" t="inlineStr">
        <is>
          <t>REF A BOLETO PAGO STEELPACK GR</t>
        </is>
      </c>
      <c r="D616" s="7" t="n">
        <v>-1724.28</v>
      </c>
      <c r="E616" t="inlineStr">
        <is>
          <t>506</t>
        </is>
      </c>
      <c r="F616" t="inlineStr">
        <is>
          <t>FORNECEDORES DIVERSOS</t>
        </is>
      </c>
      <c r="G616" s="2" t="inlineStr">
        <is>
          <t>506</t>
        </is>
      </c>
      <c r="H616">
        <f>IFERROR(VLOOKUP(G616&amp;"",PLANO!A:B,2,FALSE),"CONTA NAO EXISTE NO PLANO")</f>
        <v/>
      </c>
      <c r="I616" t="inlineStr">
        <is>
          <t>506</t>
        </is>
      </c>
      <c r="J616" t="inlineStr">
        <is>
          <t>SEM COSMOS</t>
        </is>
      </c>
      <c r="K616" t="inlineStr"/>
      <c r="L616" t="inlineStr"/>
      <c r="M616" t="inlineStr">
        <is>
          <t>BOLETO PAGO STEELPACK GR</t>
        </is>
      </c>
    </row>
    <row r="617">
      <c r="A617" t="n">
        <v>616</v>
      </c>
      <c r="B617" t="inlineStr">
        <is>
          <t>01/04/2026</t>
        </is>
      </c>
      <c r="C617" t="inlineStr">
        <is>
          <t>REF. A BOLETO PAGO OAK FRAGRANC</t>
        </is>
      </c>
      <c r="D617" s="7" t="n">
        <v>-587.89</v>
      </c>
      <c r="E617" t="inlineStr">
        <is>
          <t>506</t>
        </is>
      </c>
      <c r="F617" t="inlineStr">
        <is>
          <t>FORNECEDORES DIVERSOS</t>
        </is>
      </c>
      <c r="G617" s="2" t="inlineStr">
        <is>
          <t>506</t>
        </is>
      </c>
      <c r="H617">
        <f>IFERROR(VLOOKUP(G617&amp;"",PLANO!A:B,2,FALSE),"CONTA NAO EXISTE NO PLANO")</f>
        <v/>
      </c>
      <c r="I617" t="inlineStr">
        <is>
          <t>506</t>
        </is>
      </c>
      <c r="J617" t="inlineStr">
        <is>
          <t>SEM COSMOS</t>
        </is>
      </c>
      <c r="K617" t="inlineStr"/>
      <c r="L617" t="inlineStr"/>
      <c r="M617" t="inlineStr">
        <is>
          <t>BOLETO PAGO OAK FRAGRANC</t>
        </is>
      </c>
    </row>
    <row r="618">
      <c r="A618" t="n">
        <v>617</v>
      </c>
      <c r="B618" t="inlineStr">
        <is>
          <t>01/04/2026</t>
        </is>
      </c>
      <c r="C618" t="inlineStr">
        <is>
          <t>REF. A JUROS EXCESSO LIM CONTA</t>
        </is>
      </c>
      <c r="D618" s="7" t="n">
        <v>-36.69</v>
      </c>
      <c r="E618" t="inlineStr">
        <is>
          <t>350</t>
        </is>
      </c>
      <c r="F618" t="inlineStr">
        <is>
          <t>TAXAS DIVERSAS</t>
        </is>
      </c>
      <c r="G618" s="2" t="inlineStr">
        <is>
          <t>350</t>
        </is>
      </c>
      <c r="H618">
        <f>IFERROR(VLOOKUP(G618&amp;"",PLANO!A:B,2,FALSE),"CONTA NAO EXISTE NO PLANO")</f>
        <v/>
      </c>
      <c r="I618" t="inlineStr">
        <is>
          <t>350</t>
        </is>
      </c>
      <c r="J618" t="inlineStr">
        <is>
          <t>SEM COSMOS</t>
        </is>
      </c>
      <c r="K618" t="inlineStr"/>
      <c r="L618" t="inlineStr"/>
      <c r="M618" t="inlineStr">
        <is>
          <t>JUROS EXCESSO LIM CONTA</t>
        </is>
      </c>
    </row>
    <row r="619">
      <c r="A619" t="n">
        <v>618</v>
      </c>
      <c r="B619" t="inlineStr">
        <is>
          <t>02/04/2026</t>
        </is>
      </c>
      <c r="C619" t="inlineStr">
        <is>
          <t>REF. A MOV TIT COB DISP 02/04S</t>
        </is>
      </c>
      <c r="D619" s="7" t="n">
        <v>3094.49</v>
      </c>
      <c r="E619" t="inlineStr">
        <is>
          <t>504</t>
        </is>
      </c>
      <c r="F619" t="inlineStr">
        <is>
          <t>CLIENTES DIVERSOS</t>
        </is>
      </c>
      <c r="G619" s="2" t="inlineStr">
        <is>
          <t>504</t>
        </is>
      </c>
      <c r="H619">
        <f>IFERROR(VLOOKUP(G619&amp;"",PLANO!A:B,2,FALSE),"CONTA NAO EXISTE NO PLANO")</f>
        <v/>
      </c>
      <c r="I619" t="inlineStr">
        <is>
          <t>504</t>
        </is>
      </c>
      <c r="J619" t="inlineStr">
        <is>
          <t>SEM COSMOS</t>
        </is>
      </c>
      <c r="K619" t="inlineStr"/>
      <c r="L619" t="inlineStr"/>
      <c r="M619" t="inlineStr">
        <is>
          <t>MOV TIT COB DISP 02/04S</t>
        </is>
      </c>
    </row>
    <row r="620">
      <c r="A620" t="n">
        <v>619</v>
      </c>
      <c r="B620" t="inlineStr">
        <is>
          <t>02/04/2026</t>
        </is>
      </c>
      <c r="C620" t="inlineStr">
        <is>
          <t>BANCO ITAU UNIBANCOPAGTO REF. IOF 8613.52508-1/C/C+IOF</t>
        </is>
      </c>
      <c r="D620" s="7" t="n">
        <v>-139.81</v>
      </c>
      <c r="E620" t="inlineStr">
        <is>
          <t>625</t>
        </is>
      </c>
      <c r="F620" t="inlineStr">
        <is>
          <t>IOF</t>
        </is>
      </c>
      <c r="G620" s="2" t="inlineStr">
        <is>
          <t>625</t>
        </is>
      </c>
      <c r="H620">
        <f>IFERROR(VLOOKUP(G620&amp;"",PLANO!A:B,2,FALSE),"CONTA NAO EXISTE NO PLANO")</f>
        <v/>
      </c>
      <c r="I620" t="inlineStr">
        <is>
          <t>625</t>
        </is>
      </c>
      <c r="J620" t="inlineStr">
        <is>
          <t>OK</t>
        </is>
      </c>
      <c r="K620" t="inlineStr">
        <is>
          <t>tarifa/IOF bancario</t>
        </is>
      </c>
      <c r="L620" t="inlineStr">
        <is>
          <t>BANCO ITAU UNIBANCO | 115/56 | PAGTO REF. IOF 8613.52508-1/C/C+IOF</t>
        </is>
      </c>
      <c r="M620" t="inlineStr">
        <is>
          <t>BANCO ITAU UNIBANCO - PAGTO REF. IOF 8613.52508-1/C/C+IOF</t>
        </is>
      </c>
    </row>
    <row r="621">
      <c r="A621" t="n">
        <v>620</v>
      </c>
      <c r="B621" t="inlineStr">
        <is>
          <t>02/04/2026</t>
        </is>
      </c>
      <c r="C621" t="inlineStr">
        <is>
          <t>BANCO ITAU UNIBANCO PAGTO REF. IOF 8613.52508-1/C/C+IOF</t>
        </is>
      </c>
      <c r="D621" s="7" t="n">
        <v>-441.63</v>
      </c>
      <c r="E621" t="inlineStr">
        <is>
          <t>625</t>
        </is>
      </c>
      <c r="F621" t="inlineStr">
        <is>
          <t>IOF</t>
        </is>
      </c>
      <c r="G621" s="2" t="inlineStr">
        <is>
          <t>625</t>
        </is>
      </c>
      <c r="H621">
        <f>IFERROR(VLOOKUP(G621&amp;"",PLANO!A:B,2,FALSE),"CONTA NAO EXISTE NO PLANO")</f>
        <v/>
      </c>
      <c r="I621" t="inlineStr">
        <is>
          <t>625</t>
        </is>
      </c>
      <c r="J621" t="inlineStr">
        <is>
          <t>OK</t>
        </is>
      </c>
      <c r="K621" t="inlineStr">
        <is>
          <t>tarifa/IOF bancario</t>
        </is>
      </c>
      <c r="L621" t="inlineStr">
        <is>
          <t>BANCO ITAU UNIBANCO | 115/56 | PAGTO REF. IOF 8613.52508-1/C/C+IOF</t>
        </is>
      </c>
      <c r="M621" t="inlineStr">
        <is>
          <t>BANCO ITAU UNIBANCO - PAGTO REF. IOF 8613.52508-1/C/C+IOF</t>
        </is>
      </c>
    </row>
    <row r="622">
      <c r="A622" s="4" t="n">
        <v>621</v>
      </c>
      <c r="B622" s="4" t="inlineStr">
        <is>
          <t>02/04/2026</t>
        </is>
      </c>
      <c r="C622" s="4" t="inlineStr">
        <is>
          <t>REF. A PIX ENVIADO F.V.S COMERC</t>
        </is>
      </c>
      <c r="D622" s="5" t="n">
        <v>-4000</v>
      </c>
      <c r="E622" s="4" t="inlineStr">
        <is>
          <t>671</t>
        </is>
      </c>
      <c r="F622" s="4" t="inlineStr">
        <is>
          <t>F.V.S COMERCIO DE COSMETICOS LTDA</t>
        </is>
      </c>
      <c r="G622" s="6" t="inlineStr">
        <is>
          <t>662</t>
        </is>
      </c>
      <c r="H622" s="4">
        <f>IFERROR(VLOOKUP(G622&amp;"",PLANO!A:B,2,FALSE),"CONTA NAO EXISTE NO PLANO")</f>
        <v/>
      </c>
      <c r="I622" s="4" t="inlineStr">
        <is>
          <t>662</t>
        </is>
      </c>
      <c r="J622" s="4" t="inlineStr">
        <is>
          <t>AJUSTADO</t>
        </is>
      </c>
      <c r="K622" s="4" t="inlineStr">
        <is>
          <t>F.V.S - conta-corrente unica de mutuo (662)</t>
        </is>
      </c>
      <c r="L622" s="4" t="inlineStr"/>
      <c r="M622" s="4" t="inlineStr">
        <is>
          <t>PIX ENVIADO F.V.S COMERC</t>
        </is>
      </c>
    </row>
    <row r="623">
      <c r="A623" s="4" t="n">
        <v>622</v>
      </c>
      <c r="B623" s="4" t="inlineStr">
        <is>
          <t>02/04/2026</t>
        </is>
      </c>
      <c r="C623" s="4" t="inlineStr">
        <is>
          <t>REF. A PIX ENVIADO GULA COSMETI</t>
        </is>
      </c>
      <c r="D623" s="5" t="n">
        <v>-10000</v>
      </c>
      <c r="E623" s="4" t="inlineStr">
        <is>
          <t>506</t>
        </is>
      </c>
      <c r="F623" s="4" t="inlineStr">
        <is>
          <t>FORNECEDORES DIVERSOS</t>
        </is>
      </c>
      <c r="G623" s="6" t="inlineStr">
        <is>
          <t>366</t>
        </is>
      </c>
      <c r="H623" s="4">
        <f>IFERROR(VLOOKUP(G623&amp;"",PLANO!A:B,2,FALSE),"CONTA NAO EXISTE NO PLANO")</f>
        <v/>
      </c>
      <c r="I623" s="4" t="inlineStr">
        <is>
          <t>672</t>
        </is>
      </c>
      <c r="J623" s="4" t="inlineStr">
        <is>
          <t>AJUSTADO</t>
        </is>
      </c>
      <c r="K623" s="4" t="inlineStr">
        <is>
          <t>GULA/FIQUE BEM (mesmo CNPJ, empresa do grupo) - mutuo em EMPRESTIMOS A TERCEIROS (366); nao e fornecedor</t>
        </is>
      </c>
      <c r="L623" s="4" t="inlineStr"/>
      <c r="M623" s="4" t="inlineStr">
        <is>
          <t>PIX ENVIADO GULA COSMETI</t>
        </is>
      </c>
    </row>
    <row r="624">
      <c r="A624" t="n">
        <v>623</v>
      </c>
      <c r="B624" t="inlineStr">
        <is>
          <t>02/04/2026</t>
        </is>
      </c>
      <c r="C624" t="inlineStr">
        <is>
          <t>EXPRESSO SAO MIGUEL LTDA PAG REF A FRETE SOBRE VENDAS</t>
        </is>
      </c>
      <c r="D624" s="7" t="n">
        <v>-325.97</v>
      </c>
      <c r="E624" t="inlineStr">
        <is>
          <t>312</t>
        </is>
      </c>
      <c r="F624" t="inlineStr">
        <is>
          <t>FRETES E CARRETOS</t>
        </is>
      </c>
      <c r="G624" s="2" t="inlineStr">
        <is>
          <t>312</t>
        </is>
      </c>
      <c r="H624">
        <f>IFERROR(VLOOKUP(G624&amp;"",PLANO!A:B,2,FALSE),"CONTA NAO EXISTE NO PLANO")</f>
        <v/>
      </c>
      <c r="I624" t="inlineStr">
        <is>
          <t>312</t>
        </is>
      </c>
      <c r="J624" t="inlineStr">
        <is>
          <t>OK</t>
        </is>
      </c>
      <c r="K624" t="inlineStr">
        <is>
          <t>categoria Cosmos 97</t>
        </is>
      </c>
      <c r="L624" t="inlineStr">
        <is>
          <t>EXPRESSO SAO MIGUEL LTDA | 115/97 | PAG REF A FRETE SOBRE VENDAS</t>
        </is>
      </c>
      <c r="M624" t="inlineStr">
        <is>
          <t>EXPRESSO SAO MIGUEL LTDA - PAG REF A FRETE SOBRE VENDAS</t>
        </is>
      </c>
    </row>
    <row r="625">
      <c r="A625" t="n">
        <v>624</v>
      </c>
      <c r="B625" t="inlineStr">
        <is>
          <t>02/04/2026</t>
        </is>
      </c>
      <c r="C625" t="inlineStr">
        <is>
          <t>TRANS TOMAZ - TRANSPORTES RODOVIARIOS DE CARGAS EIRELIPAGAMENTO REFERENTE A FRETE SOBRE COMPRA</t>
        </is>
      </c>
      <c r="D625" s="7" t="n">
        <v>-1078.29</v>
      </c>
      <c r="E625" t="inlineStr">
        <is>
          <t>312</t>
        </is>
      </c>
      <c r="F625" t="inlineStr">
        <is>
          <t>FRETES E CARRETOS</t>
        </is>
      </c>
      <c r="G625" s="2" t="inlineStr">
        <is>
          <t>312</t>
        </is>
      </c>
      <c r="H625">
        <f>IFERROR(VLOOKUP(G625&amp;"",PLANO!A:B,2,FALSE),"CONTA NAO EXISTE NO PLANO")</f>
        <v/>
      </c>
      <c r="I625" t="inlineStr">
        <is>
          <t>312</t>
        </is>
      </c>
      <c r="J625" t="inlineStr">
        <is>
          <t>OK</t>
        </is>
      </c>
      <c r="K625" t="inlineStr">
        <is>
          <t>categoria Cosmos 4</t>
        </is>
      </c>
      <c r="L625" t="inlineStr">
        <is>
          <t>TRANS TOMAZ TRANSPORTES RODOVIARIOS DE CARGAS EIRELI | 115/4 | PAGAMENTO REFERENTE A FRETE SOBRE COMPRA</t>
        </is>
      </c>
      <c r="M625" t="inlineStr">
        <is>
          <t>TRANS TOMAZ TRANSPORTES RODOVIARIOS DE CARGAS EIRELI - PAGAMENTO REFERENTE A FRETE SOBRE COMPRA</t>
        </is>
      </c>
    </row>
    <row r="626">
      <c r="A626" t="n">
        <v>625</v>
      </c>
      <c r="B626" t="inlineStr">
        <is>
          <t>02/04/2026</t>
        </is>
      </c>
      <c r="C626" t="inlineStr">
        <is>
          <t>REF. A BOLETO PAGO TABELIONATO (EXTRATO ITAU) (L ESSENCE INDUSTRIA E COMERCIO LTDA EM RECUPERACAO JUDICIAL PAGAMENTO REFERENTE A COMPRA DE FRAGRANCIA)</t>
        </is>
      </c>
      <c r="D626" s="7" t="n">
        <v>-1648.36</v>
      </c>
      <c r="E626" t="inlineStr">
        <is>
          <t>506</t>
        </is>
      </c>
      <c r="F626" t="inlineStr">
        <is>
          <t>FORNECEDORES DIVERSOS</t>
        </is>
      </c>
      <c r="G626" s="2" t="inlineStr">
        <is>
          <t>506</t>
        </is>
      </c>
      <c r="H626">
        <f>IFERROR(VLOOKUP(G626&amp;"",PLANO!A:B,2,FALSE),"CONTA NAO EXISTE NO PLANO")</f>
        <v/>
      </c>
      <c r="I626" t="inlineStr">
        <is>
          <t>506</t>
        </is>
      </c>
      <c r="J626" t="inlineStr">
        <is>
          <t>OK</t>
        </is>
      </c>
      <c r="K626" t="inlineStr">
        <is>
          <t>fornecedor com NF</t>
        </is>
      </c>
      <c r="L626" t="inlineStr">
        <is>
          <t>L ESSENCE INDUSTRIA E COMERCIO LTDA EM RECUPERACAO JUDICIAL | 115/6 | PAGAMENTO REFERENTE A COMPRA DE FRAGRANCIA</t>
        </is>
      </c>
      <c r="M626" t="inlineStr">
        <is>
          <t>L ESSENCE INDUSTRIA E COMERCIO LTDA EM RECUPERACAO JUDICIAL - PAGAMENTO REFERENTE A COMPRA DE FRAGRANCIA</t>
        </is>
      </c>
    </row>
    <row r="627">
      <c r="A627" t="n">
        <v>626</v>
      </c>
      <c r="B627" t="inlineStr">
        <is>
          <t>02/04/2026</t>
        </is>
      </c>
      <c r="C627" t="inlineStr">
        <is>
          <t>((REF. A BOLETO PAGO TABELIONATO- EXTRATO BANCARIO)) *- COSMOTEC INTERNATIONAL ESPECIALIDADES COSMETICAS LTDA. PAGAMENTO REFERENTE A COMPRA DE MATERIA PRIMA,RHEOLUX 880 20KG-* COSMOSRP-*</t>
        </is>
      </c>
      <c r="D627" s="7" t="n">
        <v>-1686.15</v>
      </c>
      <c r="E627" t="inlineStr">
        <is>
          <t>506</t>
        </is>
      </c>
      <c r="F627" t="inlineStr">
        <is>
          <t>FORNECEDORES DIVERSOS</t>
        </is>
      </c>
      <c r="G627" s="2" t="inlineStr">
        <is>
          <t>506</t>
        </is>
      </c>
      <c r="H627">
        <f>IFERROR(VLOOKUP(G627&amp;"",PLANO!A:B,2,FALSE),"CONTA NAO EXISTE NO PLANO")</f>
        <v/>
      </c>
      <c r="I627" t="inlineStr">
        <is>
          <t>506</t>
        </is>
      </c>
      <c r="J627" t="inlineStr">
        <is>
          <t>OK</t>
        </is>
      </c>
      <c r="K627" t="inlineStr">
        <is>
          <t>fornecedor com NF</t>
        </is>
      </c>
      <c r="L627" t="inlineStr">
        <is>
          <t>COSMOTEC INTERNATIONAL ESPECIALIDADES COSMETICAS LTDA. | 115/6 | PAGAMENTO REFERENTE A COMPRA DE MATERIA PRIMA, RHEOLUX 880 20KG</t>
        </is>
      </c>
      <c r="M627" t="inlineStr">
        <is>
          <t>COSMOTEC INTERNATIONAL ESPECIALIDADES COSMETICAS LTDA. - PAGAMENTO REFERENTE A COMPRA DE MATERIA PRIMA, RHEOLUX 880 20KG</t>
        </is>
      </c>
    </row>
    <row r="628">
      <c r="A628" t="n">
        <v>627</v>
      </c>
      <c r="B628" t="inlineStr">
        <is>
          <t>02/04/2026</t>
        </is>
      </c>
      <c r="C628" t="inlineStr">
        <is>
          <t>((REF. A BOLETO PAGO TABELIONATO EXTRATO BANCARIO)) *- QUIMIFORMULA COMERCIO DE PRODUTOS QUIMICOS LTDA 1.459,98 PAGAMENTO REFERENTE A COMPRA DE MATERIA PRIMA,UVINUL MC80, 25KG -* *-EXTRATO COSMETICI-*</t>
        </is>
      </c>
      <c r="D628" s="7" t="n">
        <v>-1459.98</v>
      </c>
      <c r="E628" t="inlineStr">
        <is>
          <t>506</t>
        </is>
      </c>
      <c r="F628" t="inlineStr">
        <is>
          <t>FORNECEDORES DIVERSOS</t>
        </is>
      </c>
      <c r="G628" s="2" t="inlineStr">
        <is>
          <t>506</t>
        </is>
      </c>
      <c r="H628">
        <f>IFERROR(VLOOKUP(G628&amp;"",PLANO!A:B,2,FALSE),"CONTA NAO EXISTE NO PLANO")</f>
        <v/>
      </c>
      <c r="I628" t="inlineStr">
        <is>
          <t>506</t>
        </is>
      </c>
      <c r="J628" t="inlineStr">
        <is>
          <t>OK</t>
        </is>
      </c>
      <c r="K628" t="inlineStr">
        <is>
          <t>fornecedor com NF</t>
        </is>
      </c>
      <c r="L628" t="inlineStr">
        <is>
          <t>QUIMIFORMULA COMERCIO DE PRODUTOS QUIMICOS LTDA | 115/6 | PAGAMENTO REFERENTE A COMPRA DE MATERIA PRIMA, UVINUL MC80, 25KG</t>
        </is>
      </c>
      <c r="M628" t="inlineStr">
        <is>
          <t>QUIMIFORMULA COMERCIO DE PRODUTOS QUIMICOS LTDA - PAGAMENTO REFERENTE A COMPRA DE MATERIA PRIMA, UVINUL MC80, 25KG</t>
        </is>
      </c>
    </row>
    <row r="629">
      <c r="A629" t="n">
        <v>628</v>
      </c>
      <c r="B629" t="inlineStr">
        <is>
          <t>02/04/2026</t>
        </is>
      </c>
      <c r="C629" t="inlineStr">
        <is>
          <t>REF. A BOLETO PAGO TABELIONATO (EXTRATO ITAU) *- QUIMIFORMULA COMERCIO DE PRODUTOS QUIMICOS LTDA PAGAMENTO REFERENTE A COMPRA DE MATERIA PRIMA,GENAMIN KDMP 20KG -*</t>
        </is>
      </c>
      <c r="D629" s="7" t="n">
        <v>-1039.4</v>
      </c>
      <c r="E629" t="inlineStr">
        <is>
          <t>506</t>
        </is>
      </c>
      <c r="F629" t="inlineStr">
        <is>
          <t>FORNECEDORES DIVERSOS</t>
        </is>
      </c>
      <c r="G629" s="2" t="inlineStr">
        <is>
          <t>506</t>
        </is>
      </c>
      <c r="H629">
        <f>IFERROR(VLOOKUP(G629&amp;"",PLANO!A:B,2,FALSE),"CONTA NAO EXISTE NO PLANO")</f>
        <v/>
      </c>
      <c r="I629" t="inlineStr">
        <is>
          <t>506</t>
        </is>
      </c>
      <c r="J629" t="inlineStr">
        <is>
          <t>OK</t>
        </is>
      </c>
      <c r="K629" t="inlineStr">
        <is>
          <t>fornecedor com NF</t>
        </is>
      </c>
      <c r="L629" t="inlineStr">
        <is>
          <t>QUIMIFORMULA COMERCIO DE PRODUTOS QUIMICOS LTDA | 115/6 | PAGAMENTO REFERENTE A COMPRA DE MATERIA PRIMA, GENAMIN KDMP 20KG</t>
        </is>
      </c>
      <c r="M629" t="inlineStr">
        <is>
          <t>QUIMIFORMULA COMERCIO DE PRODUTOS QUIMICOS LTDA - PAGAMENTO REFERENTE A COMPRA DE MATERIA PRIMA, GENAMIN KDMP 20KG</t>
        </is>
      </c>
    </row>
    <row r="630">
      <c r="A630" t="n">
        <v>629</v>
      </c>
      <c r="B630" t="inlineStr">
        <is>
          <t>02/04/2026</t>
        </is>
      </c>
      <c r="C630" t="inlineStr">
        <is>
          <t>BANCO ITAU UNIBANCO - PAGTO REF. TAR COBRANCA EXP</t>
        </is>
      </c>
      <c r="D630" s="7" t="n">
        <v>-116.55</v>
      </c>
      <c r="E630" t="inlineStr">
        <is>
          <t>626</t>
        </is>
      </c>
      <c r="F630" t="inlineStr">
        <is>
          <t>TARIFAS BANCARIAS</t>
        </is>
      </c>
      <c r="G630" s="2" t="inlineStr">
        <is>
          <t>626</t>
        </is>
      </c>
      <c r="H630">
        <f>IFERROR(VLOOKUP(G630&amp;"",PLANO!A:B,2,FALSE),"CONTA NAO EXISTE NO PLANO")</f>
        <v/>
      </c>
      <c r="I630" t="inlineStr">
        <is>
          <t>626</t>
        </is>
      </c>
      <c r="J630" t="inlineStr">
        <is>
          <t>OK</t>
        </is>
      </c>
      <c r="K630" t="inlineStr">
        <is>
          <t>tarifa/IOF bancario</t>
        </is>
      </c>
      <c r="L630" t="inlineStr">
        <is>
          <t>BANCO ITAU UNIBANCO | 115/56 | PAGTO REF. TAR COBRANCA EXP</t>
        </is>
      </c>
      <c r="M630" t="inlineStr">
        <is>
          <t>BANCO ITAU UNIBANCO - PAGTO REF. TAR COBRANCA EXP</t>
        </is>
      </c>
    </row>
    <row r="631">
      <c r="A631" t="n">
        <v>630</v>
      </c>
      <c r="B631" t="inlineStr">
        <is>
          <t>02/04/2026</t>
        </is>
      </c>
      <c r="C631" t="inlineStr">
        <is>
          <t>BANCO ITAU UNIBANCO PAGTO REF. TAR COBRANCA EXP</t>
        </is>
      </c>
      <c r="D631" s="7" t="n">
        <v>-5.55</v>
      </c>
      <c r="E631" t="inlineStr">
        <is>
          <t>626</t>
        </is>
      </c>
      <c r="F631" t="inlineStr">
        <is>
          <t>TARIFAS BANCARIAS</t>
        </is>
      </c>
      <c r="G631" s="2" t="inlineStr">
        <is>
          <t>626</t>
        </is>
      </c>
      <c r="H631">
        <f>IFERROR(VLOOKUP(G631&amp;"",PLANO!A:B,2,FALSE),"CONTA NAO EXISTE NO PLANO")</f>
        <v/>
      </c>
      <c r="I631" t="inlineStr">
        <is>
          <t>626</t>
        </is>
      </c>
      <c r="J631" t="inlineStr">
        <is>
          <t>OK</t>
        </is>
      </c>
      <c r="K631" t="inlineStr">
        <is>
          <t>tarifa/IOF bancario</t>
        </is>
      </c>
      <c r="L631" t="inlineStr">
        <is>
          <t>BANCO ITAU UNIBANCO | 115/56 | PAGTO REF. TAR COBRANCA EXP</t>
        </is>
      </c>
      <c r="M631" t="inlineStr">
        <is>
          <t>BANCO ITAU UNIBANCO - PAGTO REF. TAR COBRANCA EXP</t>
        </is>
      </c>
    </row>
    <row r="632">
      <c r="A632" t="n">
        <v>631</v>
      </c>
      <c r="B632" t="inlineStr">
        <is>
          <t>02/04/2026</t>
        </is>
      </c>
      <c r="C632" t="inlineStr">
        <is>
          <t>BANCO ITAU UNIBANCO PAGTO REF. TAR PIX PAGTO TRANSF</t>
        </is>
      </c>
      <c r="D632" s="7" t="n">
        <v>-52.92</v>
      </c>
      <c r="E632" t="inlineStr">
        <is>
          <t>626</t>
        </is>
      </c>
      <c r="F632" t="inlineStr">
        <is>
          <t>TARIFAS BANCARIAS</t>
        </is>
      </c>
      <c r="G632" s="2" t="inlineStr">
        <is>
          <t>626</t>
        </is>
      </c>
      <c r="H632">
        <f>IFERROR(VLOOKUP(G632&amp;"",PLANO!A:B,2,FALSE),"CONTA NAO EXISTE NO PLANO")</f>
        <v/>
      </c>
      <c r="I632" t="inlineStr">
        <is>
          <t>626</t>
        </is>
      </c>
      <c r="J632" t="inlineStr">
        <is>
          <t>OK</t>
        </is>
      </c>
      <c r="K632" t="inlineStr">
        <is>
          <t>tarifa/IOF bancario</t>
        </is>
      </c>
      <c r="L632" t="inlineStr">
        <is>
          <t>BANCO ITAU UNIBANCO | 115/56 | PAGTO REF. TAR PIX PAGTO TRANSF</t>
        </is>
      </c>
      <c r="M632" t="inlineStr">
        <is>
          <t>BANCO ITAU UNIBANCO - PAGTO REF. TAR PIX PAGTO TRANSF</t>
        </is>
      </c>
    </row>
    <row r="633">
      <c r="A633" t="n">
        <v>632</v>
      </c>
      <c r="B633" t="inlineStr">
        <is>
          <t>06/04/2026</t>
        </is>
      </c>
      <c r="C633" t="inlineStr">
        <is>
          <t>REF. A MOV TIT COB DISP 06/04S</t>
        </is>
      </c>
      <c r="D633" s="7" t="n">
        <v>588.6799999999999</v>
      </c>
      <c r="E633" t="inlineStr">
        <is>
          <t>504</t>
        </is>
      </c>
      <c r="F633" t="inlineStr">
        <is>
          <t>CLIENTES DIVERSOS</t>
        </is>
      </c>
      <c r="G633" s="2" t="inlineStr">
        <is>
          <t>504</t>
        </is>
      </c>
      <c r="H633">
        <f>IFERROR(VLOOKUP(G633&amp;"",PLANO!A:B,2,FALSE),"CONTA NAO EXISTE NO PLANO")</f>
        <v/>
      </c>
      <c r="I633" t="inlineStr">
        <is>
          <t>504</t>
        </is>
      </c>
      <c r="J633" t="inlineStr">
        <is>
          <t>SEM COSMOS</t>
        </is>
      </c>
      <c r="K633" t="inlineStr"/>
      <c r="L633" t="inlineStr"/>
      <c r="M633" t="inlineStr">
        <is>
          <t>MOV TIT COB DISP 06/04S</t>
        </is>
      </c>
    </row>
    <row r="634">
      <c r="A634" t="n">
        <v>633</v>
      </c>
      <c r="B634" t="inlineStr">
        <is>
          <t>06/04/2026</t>
        </is>
      </c>
      <c r="C634" t="inlineStr">
        <is>
          <t>REF. A PIX TRANSF DIEGO G06/04</t>
        </is>
      </c>
      <c r="D634" s="7" t="n">
        <v>3150</v>
      </c>
      <c r="E634" t="inlineStr">
        <is>
          <t>504</t>
        </is>
      </c>
      <c r="F634" t="inlineStr">
        <is>
          <t>CLIENTES DIVERSOS</t>
        </is>
      </c>
      <c r="G634" s="2" t="inlineStr">
        <is>
          <t>504</t>
        </is>
      </c>
      <c r="H634">
        <f>IFERROR(VLOOKUP(G634&amp;"",PLANO!A:B,2,FALSE),"CONTA NAO EXISTE NO PLANO")</f>
        <v/>
      </c>
      <c r="I634" t="inlineStr">
        <is>
          <t>504</t>
        </is>
      </c>
      <c r="J634" t="inlineStr">
        <is>
          <t>SEM COSMOS</t>
        </is>
      </c>
      <c r="K634" t="inlineStr"/>
      <c r="L634" t="inlineStr"/>
      <c r="M634" t="inlineStr">
        <is>
          <t>PIX TRANSF DIEGO G06/04</t>
        </is>
      </c>
    </row>
    <row r="635">
      <c r="A635" t="n">
        <v>634</v>
      </c>
      <c r="B635" t="inlineStr">
        <is>
          <t>06/04/2026</t>
        </is>
      </c>
      <c r="C635" t="inlineStr">
        <is>
          <t>REF. A PIX TRANSF NATURAL06/04</t>
        </is>
      </c>
      <c r="D635" s="7" t="n">
        <v>356</v>
      </c>
      <c r="E635" t="inlineStr">
        <is>
          <t>504</t>
        </is>
      </c>
      <c r="F635" t="inlineStr">
        <is>
          <t>CLIENTES DIVERSOS</t>
        </is>
      </c>
      <c r="G635" s="2" t="inlineStr">
        <is>
          <t>504</t>
        </is>
      </c>
      <c r="H635">
        <f>IFERROR(VLOOKUP(G635&amp;"",PLANO!A:B,2,FALSE),"CONTA NAO EXISTE NO PLANO")</f>
        <v/>
      </c>
      <c r="I635" t="inlineStr">
        <is>
          <t>504</t>
        </is>
      </c>
      <c r="J635" t="inlineStr">
        <is>
          <t>SEM COSMOS</t>
        </is>
      </c>
      <c r="K635" t="inlineStr"/>
      <c r="L635" t="inlineStr"/>
      <c r="M635" t="inlineStr">
        <is>
          <t>PIX TRANSF NATURAL06/04</t>
        </is>
      </c>
    </row>
    <row r="636">
      <c r="A636" t="n">
        <v>635</v>
      </c>
      <c r="B636" t="inlineStr">
        <is>
          <t>06/04/2026</t>
        </is>
      </c>
      <c r="C636" t="inlineStr">
        <is>
          <t>REF. A PIX TRANSF VERA CR06/04</t>
        </is>
      </c>
      <c r="D636" s="7" t="n">
        <v>10000</v>
      </c>
      <c r="E636" t="inlineStr">
        <is>
          <t>504</t>
        </is>
      </c>
      <c r="F636" t="inlineStr">
        <is>
          <t>CLIENTES DIVERSOS</t>
        </is>
      </c>
      <c r="G636" s="2" t="inlineStr">
        <is>
          <t>504</t>
        </is>
      </c>
      <c r="H636">
        <f>IFERROR(VLOOKUP(G636&amp;"",PLANO!A:B,2,FALSE),"CONTA NAO EXISTE NO PLANO")</f>
        <v/>
      </c>
      <c r="I636" t="inlineStr">
        <is>
          <t>504</t>
        </is>
      </c>
      <c r="J636" t="inlineStr">
        <is>
          <t>SEM COSMOS</t>
        </is>
      </c>
      <c r="K636" t="inlineStr"/>
      <c r="L636" t="inlineStr"/>
      <c r="M636" t="inlineStr">
        <is>
          <t>PIX TRANSF VERA CR06/04</t>
        </is>
      </c>
    </row>
    <row r="637">
      <c r="A637" t="n">
        <v>636</v>
      </c>
      <c r="B637" t="inlineStr">
        <is>
          <t>06/04/2026</t>
        </is>
      </c>
      <c r="C637" t="inlineStr">
        <is>
          <t>REF. A TED 363.0001.RNX F M D R</t>
        </is>
      </c>
      <c r="D637" s="7" t="n">
        <v>3625.03</v>
      </c>
      <c r="E637" t="inlineStr">
        <is>
          <t>504</t>
        </is>
      </c>
      <c r="F637" t="inlineStr">
        <is>
          <t>CLIENTES DIVERSOS</t>
        </is>
      </c>
      <c r="G637" s="2" t="inlineStr">
        <is>
          <t>504</t>
        </is>
      </c>
      <c r="H637">
        <f>IFERROR(VLOOKUP(G637&amp;"",PLANO!A:B,2,FALSE),"CONTA NAO EXISTE NO PLANO")</f>
        <v/>
      </c>
      <c r="I637" t="inlineStr">
        <is>
          <t>504</t>
        </is>
      </c>
      <c r="J637" t="inlineStr">
        <is>
          <t>SEM COSMOS</t>
        </is>
      </c>
      <c r="K637" t="inlineStr"/>
      <c r="L637" t="inlineStr"/>
      <c r="M637" t="inlineStr">
        <is>
          <t>TED 363.0001.RNX F M D R</t>
        </is>
      </c>
    </row>
    <row r="638">
      <c r="A638" s="4" t="n">
        <v>637</v>
      </c>
      <c r="B638" s="4" t="inlineStr">
        <is>
          <t>06/04/2026</t>
        </is>
      </c>
      <c r="C638" s="4" t="inlineStr">
        <is>
          <t>REF. A PIX ENVIADO GULA COSMETI</t>
        </is>
      </c>
      <c r="D638" s="5" t="n">
        <v>-16000</v>
      </c>
      <c r="E638" s="4" t="inlineStr">
        <is>
          <t>506</t>
        </is>
      </c>
      <c r="F638" s="4" t="inlineStr">
        <is>
          <t>FORNECEDORES DIVERSOS</t>
        </is>
      </c>
      <c r="G638" s="6" t="inlineStr">
        <is>
          <t>366</t>
        </is>
      </c>
      <c r="H638" s="4">
        <f>IFERROR(VLOOKUP(G638&amp;"",PLANO!A:B,2,FALSE),"CONTA NAO EXISTE NO PLANO")</f>
        <v/>
      </c>
      <c r="I638" s="4" t="inlineStr">
        <is>
          <t>672</t>
        </is>
      </c>
      <c r="J638" s="4" t="inlineStr">
        <is>
          <t>AJUSTADO</t>
        </is>
      </c>
      <c r="K638" s="4" t="inlineStr">
        <is>
          <t>GULA/FIQUE BEM (mesmo CNPJ, empresa do grupo) - mutuo em EMPRESTIMOS A TERCEIROS (366); nao e fornecedor</t>
        </is>
      </c>
      <c r="L638" s="4" t="inlineStr"/>
      <c r="M638" s="4" t="inlineStr">
        <is>
          <t>PIX ENVIADO GULA COSMETI</t>
        </is>
      </c>
    </row>
    <row r="639">
      <c r="A639" s="4" t="n">
        <v>638</v>
      </c>
      <c r="B639" s="4" t="inlineStr">
        <is>
          <t>06/04/2026</t>
        </is>
      </c>
      <c r="C639" s="4" t="inlineStr">
        <is>
          <t>REF. A PIX ENVIADO GULA COSMETI</t>
        </is>
      </c>
      <c r="D639" s="5" t="n">
        <v>-3000</v>
      </c>
      <c r="E639" s="4" t="inlineStr">
        <is>
          <t>506</t>
        </is>
      </c>
      <c r="F639" s="4" t="inlineStr">
        <is>
          <t>FORNECEDORES DIVERSOS</t>
        </is>
      </c>
      <c r="G639" s="6" t="inlineStr">
        <is>
          <t>366</t>
        </is>
      </c>
      <c r="H639" s="4">
        <f>IFERROR(VLOOKUP(G639&amp;"",PLANO!A:B,2,FALSE),"CONTA NAO EXISTE NO PLANO")</f>
        <v/>
      </c>
      <c r="I639" s="4" t="inlineStr">
        <is>
          <t>672</t>
        </is>
      </c>
      <c r="J639" s="4" t="inlineStr">
        <is>
          <t>AJUSTADO</t>
        </is>
      </c>
      <c r="K639" s="4" t="inlineStr">
        <is>
          <t>GULA/FIQUE BEM (mesmo CNPJ, empresa do grupo) - mutuo em EMPRESTIMOS A TERCEIROS (366); nao e fornecedor</t>
        </is>
      </c>
      <c r="L639" s="4" t="inlineStr"/>
      <c r="M639" s="4" t="inlineStr">
        <is>
          <t>PIX ENVIADO GULA COSMETI</t>
        </is>
      </c>
    </row>
    <row r="640">
      <c r="A640" t="n">
        <v>639</v>
      </c>
      <c r="B640" t="inlineStr">
        <is>
          <t>06/04/2026</t>
        </is>
      </c>
      <c r="C640" t="inlineStr">
        <is>
          <t>REF A PIX ENVIADO EMERSON FERN</t>
        </is>
      </c>
      <c r="D640" s="7" t="n">
        <v>-6654.65</v>
      </c>
      <c r="E640" t="inlineStr">
        <is>
          <t>362</t>
        </is>
      </c>
      <c r="F640" t="inlineStr">
        <is>
          <t>SERVIÇOS PRESTADOS POR TERCEIROS</t>
        </is>
      </c>
      <c r="G640" s="2" t="inlineStr">
        <is>
          <t>362</t>
        </is>
      </c>
      <c r="H640">
        <f>IFERROR(VLOOKUP(G640&amp;"",PLANO!A:B,2,FALSE),"CONTA NAO EXISTE NO PLANO")</f>
        <v/>
      </c>
      <c r="I640" t="inlineStr">
        <is>
          <t>362</t>
        </is>
      </c>
      <c r="J640" t="inlineStr">
        <is>
          <t>SEM COSMOS</t>
        </is>
      </c>
      <c r="K640" t="inlineStr"/>
      <c r="L640" t="inlineStr"/>
      <c r="M640" t="inlineStr">
        <is>
          <t>PIX ENVIADO EMERSON FERN</t>
        </is>
      </c>
    </row>
    <row r="641">
      <c r="A641" s="4" t="n">
        <v>640</v>
      </c>
      <c r="B641" s="4" t="inlineStr">
        <is>
          <t>06/04/2026</t>
        </is>
      </c>
      <c r="C641" s="4" t="inlineStr">
        <is>
          <t>REF. A PIX ENVIADO COSMETICON C</t>
        </is>
      </c>
      <c r="D641" s="5" t="n">
        <v>-1000</v>
      </c>
      <c r="E641" s="4" t="inlineStr">
        <is>
          <t>664</t>
        </is>
      </c>
      <c r="F641" s="4" t="inlineStr">
        <is>
          <t>COSMETICON COMERCIO DE COSMETICOS LTDA</t>
        </is>
      </c>
      <c r="G641" s="6" t="inlineStr">
        <is>
          <t>663</t>
        </is>
      </c>
      <c r="H641" s="4">
        <f>IFERROR(VLOOKUP(G641&amp;"",PLANO!A:B,2,FALSE),"CONTA NAO EXISTE NO PLANO")</f>
        <v/>
      </c>
      <c r="I641" s="4" t="inlineStr">
        <is>
          <t>663</t>
        </is>
      </c>
      <c r="J641" s="4" t="inlineStr">
        <is>
          <t>AJUSTADO</t>
        </is>
      </c>
      <c r="K641" s="4" t="inlineStr">
        <is>
          <t>COSMETICON - conta-corrente unica de mutuo (663)</t>
        </is>
      </c>
      <c r="L641" s="4" t="inlineStr"/>
      <c r="M641" s="4" t="inlineStr">
        <is>
          <t>PIX ENVIADO COSMETICON C</t>
        </is>
      </c>
    </row>
    <row r="642">
      <c r="A642" t="n">
        <v>641</v>
      </c>
      <c r="B642" t="inlineStr">
        <is>
          <t>06/04/2026</t>
        </is>
      </c>
      <c r="C642" t="inlineStr">
        <is>
          <t>REF. A BOLETO PAGO TABELIONATO</t>
        </is>
      </c>
      <c r="D642" s="7" t="n">
        <v>-3179.68</v>
      </c>
      <c r="E642" t="inlineStr">
        <is>
          <t>365</t>
        </is>
      </c>
      <c r="F642" t="inlineStr">
        <is>
          <t>DESPESAS LEGAIS E JUDICIAIS</t>
        </is>
      </c>
      <c r="G642" s="2" t="inlineStr">
        <is>
          <t>365</t>
        </is>
      </c>
      <c r="H642">
        <f>IFERROR(VLOOKUP(G642&amp;"",PLANO!A:B,2,FALSE),"CONTA NAO EXISTE NO PLANO")</f>
        <v/>
      </c>
      <c r="I642" t="inlineStr">
        <is>
          <t>365</t>
        </is>
      </c>
      <c r="J642" t="inlineStr">
        <is>
          <t>SEM COSMOS</t>
        </is>
      </c>
      <c r="K642" t="inlineStr"/>
      <c r="L642" t="inlineStr"/>
      <c r="M642" t="inlineStr">
        <is>
          <t>BOLETO PAGO TABELIONATO</t>
        </is>
      </c>
    </row>
    <row r="643">
      <c r="A643" t="n">
        <v>642</v>
      </c>
      <c r="B643" t="inlineStr">
        <is>
          <t>06/04/2026</t>
        </is>
      </c>
      <c r="C643" t="inlineStr">
        <is>
          <t>BANCO ITAU UNIBANCO PAGTO REF. JUROS LIMITE DA CONTA</t>
        </is>
      </c>
      <c r="D643" s="7" t="n">
        <v>-6054.97</v>
      </c>
      <c r="E643" t="inlineStr">
        <is>
          <t>372</t>
        </is>
      </c>
      <c r="F643" t="inlineStr">
        <is>
          <t>JUROS DE MORA</t>
        </is>
      </c>
      <c r="G643" s="2" t="inlineStr">
        <is>
          <t>372</t>
        </is>
      </c>
      <c r="H643">
        <f>IFERROR(VLOOKUP(G643&amp;"",PLANO!A:B,2,FALSE),"CONTA NAO EXISTE NO PLANO")</f>
        <v/>
      </c>
      <c r="I643" t="inlineStr">
        <is>
          <t>372</t>
        </is>
      </c>
      <c r="J643" t="inlineStr">
        <is>
          <t>SEM COSMOS</t>
        </is>
      </c>
      <c r="K643" t="inlineStr"/>
      <c r="L643" t="inlineStr"/>
      <c r="M643" t="inlineStr">
        <is>
          <t>BANCO ITAU UNIBANCO PAGTO REF. JUROS LIMITE DA CONTA</t>
        </is>
      </c>
    </row>
    <row r="644">
      <c r="A644" t="n">
        <v>643</v>
      </c>
      <c r="B644" t="inlineStr">
        <is>
          <t>06/04/2026</t>
        </is>
      </c>
      <c r="C644" t="inlineStr">
        <is>
          <t>BANCO ITAU UNIBANCO PAGTO REF. MIN-ITAUCARD-2941</t>
        </is>
      </c>
      <c r="D644" s="7" t="n">
        <v>-1165.54</v>
      </c>
      <c r="E644" t="inlineStr">
        <is>
          <t>357</t>
        </is>
      </c>
      <c r="F644" t="inlineStr">
        <is>
          <t>DESPESAS COM CARTÃO DE CREDITO</t>
        </is>
      </c>
      <c r="G644" s="2" t="inlineStr">
        <is>
          <t>357</t>
        </is>
      </c>
      <c r="H644">
        <f>IFERROR(VLOOKUP(G644&amp;"",PLANO!A:B,2,FALSE),"CONTA NAO EXISTE NO PLANO")</f>
        <v/>
      </c>
      <c r="I644" t="inlineStr">
        <is>
          <t>357</t>
        </is>
      </c>
      <c r="J644" t="inlineStr">
        <is>
          <t>OK</t>
        </is>
      </c>
      <c r="K644" t="inlineStr">
        <is>
          <t>categoria Cosmos 168</t>
        </is>
      </c>
      <c r="L644" t="inlineStr">
        <is>
          <t>BANCO ITAU UNIBANCO | 115/168 | PAGTO REF. MIN-ITAUCARD-2941</t>
        </is>
      </c>
      <c r="M644" t="inlineStr">
        <is>
          <t>BANCO ITAU UNIBANCO - PAGTO REF. MIN-ITAUCARD-2941</t>
        </is>
      </c>
    </row>
    <row r="645">
      <c r="A645" t="n">
        <v>644</v>
      </c>
      <c r="B645" t="inlineStr">
        <is>
          <t>07/04/2026</t>
        </is>
      </c>
      <c r="C645" t="inlineStr">
        <is>
          <t>REF. A PIX TRANSF J O RIO07/04</t>
        </is>
      </c>
      <c r="D645" s="7" t="n">
        <v>448</v>
      </c>
      <c r="E645" t="inlineStr">
        <is>
          <t>504</t>
        </is>
      </c>
      <c r="F645" t="inlineStr">
        <is>
          <t>CLIENTES DIVERSOS</t>
        </is>
      </c>
      <c r="G645" s="2" t="inlineStr">
        <is>
          <t>504</t>
        </is>
      </c>
      <c r="H645">
        <f>IFERROR(VLOOKUP(G645&amp;"",PLANO!A:B,2,FALSE),"CONTA NAO EXISTE NO PLANO")</f>
        <v/>
      </c>
      <c r="I645" t="inlineStr">
        <is>
          <t>504</t>
        </is>
      </c>
      <c r="J645" t="inlineStr">
        <is>
          <t>SEM COSMOS</t>
        </is>
      </c>
      <c r="K645" t="inlineStr"/>
      <c r="L645" t="inlineStr"/>
      <c r="M645" t="inlineStr">
        <is>
          <t>PIX TRANSF J O RIO07/04</t>
        </is>
      </c>
    </row>
    <row r="646">
      <c r="A646" t="n">
        <v>645</v>
      </c>
      <c r="B646" t="inlineStr">
        <is>
          <t>07/04/2026</t>
        </is>
      </c>
      <c r="C646" t="inlineStr">
        <is>
          <t>REF. A TED 363.0001.RNX F M D R</t>
        </is>
      </c>
      <c r="D646" s="7" t="n">
        <v>7667.7</v>
      </c>
      <c r="E646" t="inlineStr">
        <is>
          <t>504</t>
        </is>
      </c>
      <c r="F646" t="inlineStr">
        <is>
          <t>CLIENTES DIVERSOS</t>
        </is>
      </c>
      <c r="G646" s="2" t="inlineStr">
        <is>
          <t>504</t>
        </is>
      </c>
      <c r="H646">
        <f>IFERROR(VLOOKUP(G646&amp;"",PLANO!A:B,2,FALSE),"CONTA NAO EXISTE NO PLANO")</f>
        <v/>
      </c>
      <c r="I646" t="inlineStr">
        <is>
          <t>504</t>
        </is>
      </c>
      <c r="J646" t="inlineStr">
        <is>
          <t>SEM COSMOS</t>
        </is>
      </c>
      <c r="K646" t="inlineStr"/>
      <c r="L646" t="inlineStr"/>
      <c r="M646" t="inlineStr">
        <is>
          <t>TED 363.0001.RNX F M D R</t>
        </is>
      </c>
    </row>
    <row r="647">
      <c r="A647" s="4" t="n">
        <v>646</v>
      </c>
      <c r="B647" s="4" t="inlineStr">
        <is>
          <t>07/04/2026</t>
        </is>
      </c>
      <c r="C647" s="4" t="inlineStr">
        <is>
          <t>REF. A PIX ENVIADO GULA COSMETI - OUTRAS SAIDAS</t>
        </is>
      </c>
      <c r="D647" s="5" t="n">
        <v>-4000</v>
      </c>
      <c r="E647" s="4" t="inlineStr">
        <is>
          <t>506</t>
        </is>
      </c>
      <c r="F647" s="4" t="inlineStr">
        <is>
          <t>FORNECEDORES DIVERSOS</t>
        </is>
      </c>
      <c r="G647" s="6" t="inlineStr">
        <is>
          <t>366</t>
        </is>
      </c>
      <c r="H647" s="4">
        <f>IFERROR(VLOOKUP(G647&amp;"",PLANO!A:B,2,FALSE),"CONTA NAO EXISTE NO PLANO")</f>
        <v/>
      </c>
      <c r="I647" s="4" t="inlineStr">
        <is>
          <t>672</t>
        </is>
      </c>
      <c r="J647" s="4" t="inlineStr">
        <is>
          <t>AJUSTADO</t>
        </is>
      </c>
      <c r="K647" s="4" t="inlineStr">
        <is>
          <t>GULA/FIQUE BEM (mesmo CNPJ, empresa do grupo) - mutuo em EMPRESTIMOS A TERCEIROS (366); nao e fornecedor</t>
        </is>
      </c>
      <c r="L647" s="4" t="inlineStr">
        <is>
          <t xml:space="preserve">OUTRAS SAIDAS | 123/71 | </t>
        </is>
      </c>
      <c r="M647" s="4" t="inlineStr">
        <is>
          <t>PIX ENVIADO GULA COSMETI - OUTRAS SAIDAS</t>
        </is>
      </c>
    </row>
    <row r="648">
      <c r="A648" s="4" t="n">
        <v>647</v>
      </c>
      <c r="B648" s="4" t="inlineStr">
        <is>
          <t>07/04/2026</t>
        </is>
      </c>
      <c r="C648" s="4" t="inlineStr">
        <is>
          <t>REF. A PIX ENVIADO GULA COSMETI - OUTRAS SAIDAS</t>
        </is>
      </c>
      <c r="D648" s="5" t="n">
        <v>-3000</v>
      </c>
      <c r="E648" s="4" t="inlineStr">
        <is>
          <t>506</t>
        </is>
      </c>
      <c r="F648" s="4" t="inlineStr">
        <is>
          <t>FORNECEDORES DIVERSOS</t>
        </is>
      </c>
      <c r="G648" s="6" t="inlineStr">
        <is>
          <t>366</t>
        </is>
      </c>
      <c r="H648" s="4">
        <f>IFERROR(VLOOKUP(G648&amp;"",PLANO!A:B,2,FALSE),"CONTA NAO EXISTE NO PLANO")</f>
        <v/>
      </c>
      <c r="I648" s="4" t="inlineStr">
        <is>
          <t>672</t>
        </is>
      </c>
      <c r="J648" s="4" t="inlineStr">
        <is>
          <t>AJUSTADO</t>
        </is>
      </c>
      <c r="K648" s="4" t="inlineStr">
        <is>
          <t>GULA/FIQUE BEM (mesmo CNPJ, empresa do grupo) - mutuo em EMPRESTIMOS A TERCEIROS (366); nao e fornecedor</t>
        </is>
      </c>
      <c r="L648" s="4" t="inlineStr">
        <is>
          <t xml:space="preserve">OUTRAS SAIDAS | 123/71 | </t>
        </is>
      </c>
      <c r="M648" s="4" t="inlineStr">
        <is>
          <t>PIX ENVIADO GULA COSMETI - OUTRAS SAIDAS</t>
        </is>
      </c>
    </row>
    <row r="649">
      <c r="A649" t="n">
        <v>648</v>
      </c>
      <c r="B649" t="inlineStr">
        <is>
          <t>07/04/2026</t>
        </is>
      </c>
      <c r="C649" t="inlineStr">
        <is>
          <t>EFITRANS TRANSPORTES LTDA PAGAMENTO REFERENTE A FRETE SOBRE COMPRA</t>
        </is>
      </c>
      <c r="D649" s="7" t="n">
        <v>-1626.28</v>
      </c>
      <c r="E649" t="inlineStr">
        <is>
          <t>312</t>
        </is>
      </c>
      <c r="F649" t="inlineStr">
        <is>
          <t>FRETES E CARRETOS</t>
        </is>
      </c>
      <c r="G649" s="2" t="inlineStr">
        <is>
          <t>312</t>
        </is>
      </c>
      <c r="H649">
        <f>IFERROR(VLOOKUP(G649&amp;"",PLANO!A:B,2,FALSE),"CONTA NAO EXISTE NO PLANO")</f>
        <v/>
      </c>
      <c r="I649" t="inlineStr">
        <is>
          <t>312</t>
        </is>
      </c>
      <c r="J649" t="inlineStr">
        <is>
          <t>OK</t>
        </is>
      </c>
      <c r="K649" t="inlineStr">
        <is>
          <t>categoria Cosmos 97</t>
        </is>
      </c>
      <c r="L649" t="inlineStr">
        <is>
          <t>EFITRANS TRANSPORTES LTDA | 115/97 | PAGAMENTO REFERENTE A FRETE SOBRE COMPRA</t>
        </is>
      </c>
      <c r="M649" t="inlineStr">
        <is>
          <t>EFITRANS TRANSPORTES LTDA - PAGAMENTO REFERENTE A FRETE SOBRE COMPRA</t>
        </is>
      </c>
    </row>
    <row r="650">
      <c r="A650" t="n">
        <v>649</v>
      </c>
      <c r="B650" t="inlineStr">
        <is>
          <t>07/04/2026</t>
        </is>
      </c>
      <c r="C650" t="inlineStr">
        <is>
          <t>RODONAVES TRANSPORTES E ENCOMENDAS LTDA PAGTO REF. FRETE SOBRE NFE</t>
        </is>
      </c>
      <c r="D650" s="7" t="n">
        <v>-261</v>
      </c>
      <c r="E650" t="inlineStr">
        <is>
          <t>312</t>
        </is>
      </c>
      <c r="F650" t="inlineStr">
        <is>
          <t>FRETES E CARRETOS</t>
        </is>
      </c>
      <c r="G650" s="2" t="inlineStr">
        <is>
          <t>312</t>
        </is>
      </c>
      <c r="H650">
        <f>IFERROR(VLOOKUP(G650&amp;"",PLANO!A:B,2,FALSE),"CONTA NAO EXISTE NO PLANO")</f>
        <v/>
      </c>
      <c r="I650" t="inlineStr">
        <is>
          <t>312</t>
        </is>
      </c>
      <c r="J650" t="inlineStr">
        <is>
          <t>OK</t>
        </is>
      </c>
      <c r="K650" t="inlineStr">
        <is>
          <t>categoria Cosmos 97</t>
        </is>
      </c>
      <c r="L650" t="inlineStr">
        <is>
          <t>RODONAVES TRANSPORTES E ENCOMENDAS LTDA | 115/97 | PAGTO REF. FRETE SOBRE NFE</t>
        </is>
      </c>
      <c r="M650" t="inlineStr">
        <is>
          <t>RODONAVES TRANSPORTES E ENCOMENDAS LTDA - PAGTO REF. FRETE SOBRE NFE</t>
        </is>
      </c>
    </row>
    <row r="651">
      <c r="A651" s="8" t="n">
        <v>650</v>
      </c>
      <c r="B651" s="8" t="inlineStr">
        <is>
          <t>07/04/2026</t>
        </is>
      </c>
      <c r="C651" s="8" t="inlineStr">
        <is>
          <t>EMBACAPS QUIMICA E FARMACEUTICA LTDA PAGAMENTO REFERENTE A COMPRA DE MATERIA PRIMA,OLEO MINERAL 200KG (239 LITROS)</t>
        </is>
      </c>
      <c r="D651" s="9" t="n">
        <v>-1166.34</v>
      </c>
      <c r="E651" s="8" t="inlineStr">
        <is>
          <t>365</t>
        </is>
      </c>
      <c r="F651" s="8" t="inlineStr">
        <is>
          <t>DESPESAS LEGAIS E JUDICIAIS</t>
        </is>
      </c>
      <c r="G651" s="10" t="inlineStr">
        <is>
          <t>506</t>
        </is>
      </c>
      <c r="H651" s="8">
        <f>IFERROR(VLOOKUP(G651&amp;"",PLANO!A:B,2,FALSE),"CONTA NAO EXISTE NO PLANO")</f>
        <v/>
      </c>
      <c r="I651" s="8" t="inlineStr">
        <is>
          <t>506</t>
        </is>
      </c>
      <c r="J651" s="8" t="inlineStr">
        <is>
          <t>CORRIGIR</t>
        </is>
      </c>
      <c r="K651" s="8" t="inlineStr">
        <is>
          <t>fornecedor com NF (Cosmos: compra MP/embalagem) - pagamento deve baixar fornecedores 506</t>
        </is>
      </c>
      <c r="L651" s="8" t="inlineStr">
        <is>
          <t>EMBACAPS QUIMICA E FARMACEUTICA LTDA | 115/6 | PAGAMENTO REFERENTE A COMPRA DE MATERIA PRIMA, OLEO MINERAL 200KG (239 LITROS)</t>
        </is>
      </c>
      <c r="M651" s="8" t="inlineStr">
        <is>
          <t>EMBACAPS QUIMICA E FARMACEUTICA LTDA - PAGAMENTO REFERENTE A COMPRA DE MATERIA PRIMA, OLEO MINERAL 200KG (239 LITROS)</t>
        </is>
      </c>
    </row>
    <row r="652">
      <c r="A652" s="8" t="n">
        <v>651</v>
      </c>
      <c r="B652" s="8" t="inlineStr">
        <is>
          <t>07/04/2026</t>
        </is>
      </c>
      <c r="C652" s="8" t="inlineStr">
        <is>
          <t>REF. A BOLETO PAGO TABELIONATO - COSMOTEC INTERNATIONAL ESPECIALIDADES COSMETICAS LTDA.PAGAMENTO REFERENTE A COMPRA DE MATERIA PRIMA, SFHC400</t>
        </is>
      </c>
      <c r="D652" s="9" t="n">
        <v>-569.39</v>
      </c>
      <c r="E652" s="8" t="inlineStr">
        <is>
          <t>365</t>
        </is>
      </c>
      <c r="F652" s="8" t="inlineStr">
        <is>
          <t>DESPESAS LEGAIS E JUDICIAIS</t>
        </is>
      </c>
      <c r="G652" s="10" t="inlineStr">
        <is>
          <t>506</t>
        </is>
      </c>
      <c r="H652" s="8">
        <f>IFERROR(VLOOKUP(G652&amp;"",PLANO!A:B,2,FALSE),"CONTA NAO EXISTE NO PLANO")</f>
        <v/>
      </c>
      <c r="I652" s="8" t="inlineStr">
        <is>
          <t>506</t>
        </is>
      </c>
      <c r="J652" s="8" t="inlineStr">
        <is>
          <t>CORRIGIR</t>
        </is>
      </c>
      <c r="K652" s="8" t="inlineStr">
        <is>
          <t>fornecedor com NF (Cosmos: compra MP/embalagem) - pagamento deve baixar fornecedores 506</t>
        </is>
      </c>
      <c r="L652" s="8" t="inlineStr">
        <is>
          <t>COSMOTEC INTERNATIONAL ESPECIALIDADES COSMETICAS LTDA. | 115/6 | PAGAMENTO REFERENTE A COMPRA DE MATERIA PRIMA, SF HC400</t>
        </is>
      </c>
      <c r="M652" s="8" t="inlineStr">
        <is>
          <t>COSMOTEC INTERNATIONAL ESPECIALIDADES COSMETICAS LTDA. - PAGAMENTO REFERENTE A COMPRA DE MATERIA PRIMA, SF HC400</t>
        </is>
      </c>
    </row>
    <row r="653">
      <c r="A653" t="n">
        <v>652</v>
      </c>
      <c r="B653" t="inlineStr">
        <is>
          <t>08/04/2026</t>
        </is>
      </c>
      <c r="C653" t="inlineStr">
        <is>
          <t>REF. A MOV TIT COB DISP 08/04S</t>
        </is>
      </c>
      <c r="D653" s="7" t="n">
        <v>2066.64</v>
      </c>
      <c r="E653" t="inlineStr">
        <is>
          <t>504</t>
        </is>
      </c>
      <c r="F653" t="inlineStr">
        <is>
          <t>CLIENTES DIVERSOS</t>
        </is>
      </c>
      <c r="G653" s="2" t="inlineStr">
        <is>
          <t>504</t>
        </is>
      </c>
      <c r="H653">
        <f>IFERROR(VLOOKUP(G653&amp;"",PLANO!A:B,2,FALSE),"CONTA NAO EXISTE NO PLANO")</f>
        <v/>
      </c>
      <c r="I653" t="inlineStr">
        <is>
          <t>504</t>
        </is>
      </c>
      <c r="J653" t="inlineStr">
        <is>
          <t>SEM COSMOS</t>
        </is>
      </c>
      <c r="K653" t="inlineStr"/>
      <c r="L653" t="inlineStr"/>
      <c r="M653" t="inlineStr">
        <is>
          <t>MOV TIT COB DISP 08/04S</t>
        </is>
      </c>
    </row>
    <row r="654">
      <c r="A654" t="n">
        <v>653</v>
      </c>
      <c r="B654" t="inlineStr">
        <is>
          <t>08/04/2026</t>
        </is>
      </c>
      <c r="C654" t="inlineStr">
        <is>
          <t>REF. A PIX TRANSF B CHIC 08/04</t>
        </is>
      </c>
      <c r="D654" s="7" t="n">
        <v>6000</v>
      </c>
      <c r="E654" t="inlineStr">
        <is>
          <t>504</t>
        </is>
      </c>
      <c r="F654" t="inlineStr">
        <is>
          <t>CLIENTES DIVERSOS</t>
        </is>
      </c>
      <c r="G654" s="2" t="inlineStr">
        <is>
          <t>504</t>
        </is>
      </c>
      <c r="H654">
        <f>IFERROR(VLOOKUP(G654&amp;"",PLANO!A:B,2,FALSE),"CONTA NAO EXISTE NO PLANO")</f>
        <v/>
      </c>
      <c r="I654" t="inlineStr">
        <is>
          <t>504</t>
        </is>
      </c>
      <c r="J654" t="inlineStr">
        <is>
          <t>SEM COSMOS</t>
        </is>
      </c>
      <c r="K654" t="inlineStr"/>
      <c r="L654" t="inlineStr"/>
      <c r="M654" t="inlineStr">
        <is>
          <t>PIX TRANSF B CHIC 08/04</t>
        </is>
      </c>
    </row>
    <row r="655">
      <c r="A655" t="n">
        <v>654</v>
      </c>
      <c r="B655" t="inlineStr">
        <is>
          <t>08/04/2026</t>
        </is>
      </c>
      <c r="C655" t="inlineStr">
        <is>
          <t>REF. A PIX TRANSF NELIO J08/04</t>
        </is>
      </c>
      <c r="D655" s="7" t="n">
        <v>474</v>
      </c>
      <c r="E655" t="inlineStr">
        <is>
          <t>504</t>
        </is>
      </c>
      <c r="F655" t="inlineStr">
        <is>
          <t>CLIENTES DIVERSOS</t>
        </is>
      </c>
      <c r="G655" s="2" t="inlineStr">
        <is>
          <t>504</t>
        </is>
      </c>
      <c r="H655">
        <f>IFERROR(VLOOKUP(G655&amp;"",PLANO!A:B,2,FALSE),"CONTA NAO EXISTE NO PLANO")</f>
        <v/>
      </c>
      <c r="I655" t="inlineStr">
        <is>
          <t>504</t>
        </is>
      </c>
      <c r="J655" t="inlineStr">
        <is>
          <t>SEM COSMOS</t>
        </is>
      </c>
      <c r="K655" t="inlineStr"/>
      <c r="L655" t="inlineStr"/>
      <c r="M655" t="inlineStr">
        <is>
          <t>PIX TRANSF NELIO J08/04</t>
        </is>
      </c>
    </row>
    <row r="656">
      <c r="A656" t="n">
        <v>655</v>
      </c>
      <c r="B656" t="inlineStr">
        <is>
          <t>08/04/2026</t>
        </is>
      </c>
      <c r="C656" t="inlineStr">
        <is>
          <t>REF. A PIX TRANSF PERFIL 08/04</t>
        </is>
      </c>
      <c r="D656" s="7" t="n">
        <v>6556.95</v>
      </c>
      <c r="E656" t="inlineStr">
        <is>
          <t>504</t>
        </is>
      </c>
      <c r="F656" t="inlineStr">
        <is>
          <t>CLIENTES DIVERSOS</t>
        </is>
      </c>
      <c r="G656" s="2" t="inlineStr">
        <is>
          <t>504</t>
        </is>
      </c>
      <c r="H656">
        <f>IFERROR(VLOOKUP(G656&amp;"",PLANO!A:B,2,FALSE),"CONTA NAO EXISTE NO PLANO")</f>
        <v/>
      </c>
      <c r="I656" t="inlineStr">
        <is>
          <t>504</t>
        </is>
      </c>
      <c r="J656" t="inlineStr">
        <is>
          <t>SEM COSMOS</t>
        </is>
      </c>
      <c r="K656" t="inlineStr"/>
      <c r="L656" t="inlineStr"/>
      <c r="M656" t="inlineStr">
        <is>
          <t>PIX TRANSF PERFIL 08/04</t>
        </is>
      </c>
    </row>
    <row r="657">
      <c r="A657" t="n">
        <v>656</v>
      </c>
      <c r="B657" t="inlineStr">
        <is>
          <t>08/04/2026</t>
        </is>
      </c>
      <c r="C657" t="inlineStr">
        <is>
          <t>REF. A PIX TRANSF PROPERC08/04</t>
        </is>
      </c>
      <c r="D657" s="7" t="n">
        <v>3150</v>
      </c>
      <c r="E657" t="inlineStr">
        <is>
          <t>504</t>
        </is>
      </c>
      <c r="F657" t="inlineStr">
        <is>
          <t>CLIENTES DIVERSOS</t>
        </is>
      </c>
      <c r="G657" s="2" t="inlineStr">
        <is>
          <t>504</t>
        </is>
      </c>
      <c r="H657">
        <f>IFERROR(VLOOKUP(G657&amp;"",PLANO!A:B,2,FALSE),"CONTA NAO EXISTE NO PLANO")</f>
        <v/>
      </c>
      <c r="I657" t="inlineStr">
        <is>
          <t>504</t>
        </is>
      </c>
      <c r="J657" t="inlineStr">
        <is>
          <t>SEM COSMOS</t>
        </is>
      </c>
      <c r="K657" t="inlineStr"/>
      <c r="L657" t="inlineStr"/>
      <c r="M657" t="inlineStr">
        <is>
          <t>PIX TRANSF PROPERC08/04</t>
        </is>
      </c>
    </row>
    <row r="658">
      <c r="A658" s="4" t="n">
        <v>657</v>
      </c>
      <c r="B658" s="4" t="inlineStr">
        <is>
          <t>08/04/2026</t>
        </is>
      </c>
      <c r="C658" s="4" t="inlineStr">
        <is>
          <t>REF. A PIX ENVIADO GULA COSMETI</t>
        </is>
      </c>
      <c r="D658" s="5" t="n">
        <v>-3000</v>
      </c>
      <c r="E658" s="4" t="inlineStr">
        <is>
          <t>506</t>
        </is>
      </c>
      <c r="F658" s="4" t="inlineStr">
        <is>
          <t>FORNECEDORES DIVERSOS</t>
        </is>
      </c>
      <c r="G658" s="6" t="inlineStr">
        <is>
          <t>366</t>
        </is>
      </c>
      <c r="H658" s="4">
        <f>IFERROR(VLOOKUP(G658&amp;"",PLANO!A:B,2,FALSE),"CONTA NAO EXISTE NO PLANO")</f>
        <v/>
      </c>
      <c r="I658" s="4" t="inlineStr">
        <is>
          <t>672</t>
        </is>
      </c>
      <c r="J658" s="4" t="inlineStr">
        <is>
          <t>AJUSTADO</t>
        </is>
      </c>
      <c r="K658" s="4" t="inlineStr">
        <is>
          <t>GULA/FIQUE BEM (mesmo CNPJ, empresa do grupo) - mutuo em EMPRESTIMOS A TERCEIROS (366); nao e fornecedor</t>
        </is>
      </c>
      <c r="L658" s="4" t="inlineStr"/>
      <c r="M658" s="4" t="inlineStr">
        <is>
          <t>PIX ENVIADO GULA COSMETI</t>
        </is>
      </c>
    </row>
    <row r="659">
      <c r="A659" s="4" t="n">
        <v>658</v>
      </c>
      <c r="B659" s="4" t="inlineStr">
        <is>
          <t>08/04/2026</t>
        </is>
      </c>
      <c r="C659" s="4" t="inlineStr">
        <is>
          <t>REF. A PIX ENVIADO COSMETICON C</t>
        </is>
      </c>
      <c r="D659" s="5" t="n">
        <v>-3500</v>
      </c>
      <c r="E659" s="4" t="inlineStr">
        <is>
          <t>664</t>
        </is>
      </c>
      <c r="F659" s="4" t="inlineStr">
        <is>
          <t>COSMETICON COMERCIO DE COSMETICOS LTDA</t>
        </is>
      </c>
      <c r="G659" s="6" t="inlineStr">
        <is>
          <t>663</t>
        </is>
      </c>
      <c r="H659" s="4">
        <f>IFERROR(VLOOKUP(G659&amp;"",PLANO!A:B,2,FALSE),"CONTA NAO EXISTE NO PLANO")</f>
        <v/>
      </c>
      <c r="I659" s="4" t="inlineStr">
        <is>
          <t>663</t>
        </is>
      </c>
      <c r="J659" s="4" t="inlineStr">
        <is>
          <t>AJUSTADO</t>
        </is>
      </c>
      <c r="K659" s="4" t="inlineStr">
        <is>
          <t>COSMETICON - conta-corrente unica de mutuo (663)</t>
        </is>
      </c>
      <c r="L659" s="4" t="inlineStr"/>
      <c r="M659" s="4" t="inlineStr">
        <is>
          <t>PIX ENVIADO COSMETICON C</t>
        </is>
      </c>
    </row>
    <row r="660">
      <c r="A660" s="8" t="n">
        <v>659</v>
      </c>
      <c r="B660" s="8" t="inlineStr">
        <is>
          <t>08/04/2026</t>
        </is>
      </c>
      <c r="C660" s="8" t="inlineStr">
        <is>
          <t>REF. A BOLETO PAGO URBANO SA SO - BRASPRESS TRANSPORTES URGENTES LTDA PAG REF A FRETE SOBRE VENDAS NF 7699 E 7702</t>
        </is>
      </c>
      <c r="D660" s="9" t="n">
        <v>-1139.21</v>
      </c>
      <c r="E660" s="8" t="inlineStr">
        <is>
          <t>350</t>
        </is>
      </c>
      <c r="F660" s="8" t="inlineStr">
        <is>
          <t>TAXAS DIVERSAS</t>
        </is>
      </c>
      <c r="G660" s="10" t="inlineStr">
        <is>
          <t>312</t>
        </is>
      </c>
      <c r="H660" s="8">
        <f>IFERROR(VLOOKUP(G660&amp;"",PLANO!A:B,2,FALSE),"CONTA NAO EXISTE NO PLANO")</f>
        <v/>
      </c>
      <c r="I660" s="8" t="inlineStr">
        <is>
          <t>312</t>
        </is>
      </c>
      <c r="J660" s="8" t="inlineStr">
        <is>
          <t>CORRIGIR</t>
        </is>
      </c>
      <c r="K660" s="8" t="inlineStr">
        <is>
          <t>categoria Cosmos 4</t>
        </is>
      </c>
      <c r="L660" s="8" t="inlineStr">
        <is>
          <t>BRASPRESS TRANSPORTES URGENTES LTDA | 115/4 | PAG REF A FRETE SOBRE VENDAS NF 7699 E 7702</t>
        </is>
      </c>
      <c r="M660" s="8" t="inlineStr">
        <is>
          <t>BRASPRESS TRANSPORTES URGENTES LTDA - PAG REF A FRETE SOBRE VENDAS NF 7699 E 7702</t>
        </is>
      </c>
    </row>
    <row r="661">
      <c r="A661" s="8" t="n">
        <v>660</v>
      </c>
      <c r="B661" s="8" t="inlineStr">
        <is>
          <t>08/04/2026</t>
        </is>
      </c>
      <c r="C661" s="8" t="inlineStr">
        <is>
          <t>QUIMIFORMULA COMERCIO DE PRODUTOS QUIMICOS LTDA PGTO REF. A COMPRA DE MATERIA PRIMA, DC 5KG</t>
        </is>
      </c>
      <c r="D661" s="9" t="n">
        <v>-704.86</v>
      </c>
      <c r="E661" s="8" t="inlineStr">
        <is>
          <t>365</t>
        </is>
      </c>
      <c r="F661" s="8" t="inlineStr">
        <is>
          <t>DESPESAS LEGAIS E JUDICIAIS</t>
        </is>
      </c>
      <c r="G661" s="10" t="inlineStr">
        <is>
          <t>506</t>
        </is>
      </c>
      <c r="H661" s="8">
        <f>IFERROR(VLOOKUP(G661&amp;"",PLANO!A:B,2,FALSE),"CONTA NAO EXISTE NO PLANO")</f>
        <v/>
      </c>
      <c r="I661" s="8" t="inlineStr">
        <is>
          <t>506</t>
        </is>
      </c>
      <c r="J661" s="8" t="inlineStr">
        <is>
          <t>CORRIGIR</t>
        </is>
      </c>
      <c r="K661" s="8" t="inlineStr">
        <is>
          <t>fornecedor com NF (Cosmos: compra MP/embalagem) - pagamento deve baixar fornecedores 506</t>
        </is>
      </c>
      <c r="L661" s="8" t="inlineStr">
        <is>
          <t>QUIMIFORMULA COMERCIO DE PRODUTOS QUIMICOS LTDA | 115/6 | PGTO REF. A COMPRA DE MATERIA PRIMA, DC 5KG</t>
        </is>
      </c>
      <c r="M661" s="8" t="inlineStr">
        <is>
          <t>QUIMIFORMULA COMERCIO DE PRODUTOS QUIMICOS LTDA - PGTO REF. A COMPRA DE MATERIA PRIMA, DC 5KG</t>
        </is>
      </c>
    </row>
    <row r="662">
      <c r="A662" s="8" t="n">
        <v>661</v>
      </c>
      <c r="B662" s="8" t="inlineStr">
        <is>
          <t>08/04/2026</t>
        </is>
      </c>
      <c r="C662" s="8" t="inlineStr">
        <is>
          <t>REF. A BOLETO PAGO TABELIONATO (EXTRATO ITAU) *-EMBACAPS QUIMICA E FARMACEUTICA LTDA PAGAMENTO REFERENTE A COMPRA DE MATERIA PRIMA,GLICERINA BD, 550KG*-</t>
        </is>
      </c>
      <c r="D662" s="9" t="n">
        <v>-1758.74</v>
      </c>
      <c r="E662" s="8" t="inlineStr">
        <is>
          <t>365</t>
        </is>
      </c>
      <c r="F662" s="8" t="inlineStr">
        <is>
          <t>DESPESAS LEGAIS E JUDICIAIS</t>
        </is>
      </c>
      <c r="G662" s="10" t="inlineStr">
        <is>
          <t>506</t>
        </is>
      </c>
      <c r="H662" s="8">
        <f>IFERROR(VLOOKUP(G662&amp;"",PLANO!A:B,2,FALSE),"CONTA NAO EXISTE NO PLANO")</f>
        <v/>
      </c>
      <c r="I662" s="8" t="inlineStr">
        <is>
          <t>506</t>
        </is>
      </c>
      <c r="J662" s="8" t="inlineStr">
        <is>
          <t>CORRIGIR</t>
        </is>
      </c>
      <c r="K662" s="8" t="inlineStr">
        <is>
          <t>fornecedor com NF (Cosmos: compra MP/embalagem) - pagamento deve baixar fornecedores 506</t>
        </is>
      </c>
      <c r="L662" s="8" t="inlineStr">
        <is>
          <t>EMBACAPS QUIMICA E FARMACEUTICA LTDA | 115/6 | PAGAMENTO REFERENTE A COMPRA DE MATERIA PRIMA, GLICERINA BD, 550KG</t>
        </is>
      </c>
      <c r="M662" s="8" t="inlineStr">
        <is>
          <t>EMBACAPS QUIMICA E FARMACEUTICA LTDA - PAGAMENTO REFERENTE A COMPRA DE MATERIA PRIMA, GLICERINA BD, 550KG</t>
        </is>
      </c>
    </row>
    <row r="663">
      <c r="A663" t="n">
        <v>662</v>
      </c>
      <c r="B663" t="inlineStr">
        <is>
          <t>08/04/2026</t>
        </is>
      </c>
      <c r="C663" t="inlineStr">
        <is>
          <t>OAK FRAGRANCES INDUSTRIA E COMERCIO IMPORTACAO E EXPORTACAO LTDA PAGAMENTO REFERENTE A COMPRA DE MATERIA PRIMA,FRAGRANCIA BIRIBA 20KG</t>
        </is>
      </c>
      <c r="D663" s="7" t="n">
        <v>-643.0599999999999</v>
      </c>
      <c r="E663" t="inlineStr">
        <is>
          <t>506</t>
        </is>
      </c>
      <c r="F663" t="inlineStr">
        <is>
          <t>FORNECEDORES DIVERSOS</t>
        </is>
      </c>
      <c r="G663" s="2" t="inlineStr">
        <is>
          <t>506</t>
        </is>
      </c>
      <c r="H663">
        <f>IFERROR(VLOOKUP(G663&amp;"",PLANO!A:B,2,FALSE),"CONTA NAO EXISTE NO PLANO")</f>
        <v/>
      </c>
      <c r="I663" t="inlineStr">
        <is>
          <t>506</t>
        </is>
      </c>
      <c r="J663" t="inlineStr">
        <is>
          <t>SEM COSMOS</t>
        </is>
      </c>
      <c r="K663" t="inlineStr"/>
      <c r="L663" t="inlineStr"/>
      <c r="M663" t="inlineStr">
        <is>
          <t>OAK FRAGRANCES INDUSTRIA E COMERCIO IMPORTACAO E EXPORTACAO LTDA PAGAMENTO REFERENTE A COMPRA DE MATERIA PRIMA,FRAGRANCIA BIRIBA 20KG</t>
        </is>
      </c>
    </row>
    <row r="664">
      <c r="A664" s="4" t="n">
        <v>663</v>
      </c>
      <c r="B664" s="4" t="inlineStr">
        <is>
          <t>09/04/2026</t>
        </is>
      </c>
      <c r="C664" s="4" t="inlineStr">
        <is>
          <t>REF. A SISPAG COSMETICON COMER</t>
        </is>
      </c>
      <c r="D664" s="5" t="n">
        <v>3300</v>
      </c>
      <c r="E664" s="4" t="inlineStr">
        <is>
          <t>663</t>
        </is>
      </c>
      <c r="F664" s="4" t="inlineStr">
        <is>
          <t>EMPRESTIMO COSMETICON COMERCIO (31.494.732/0001-09)</t>
        </is>
      </c>
      <c r="G664" s="6" t="inlineStr">
        <is>
          <t>663</t>
        </is>
      </c>
      <c r="H664" s="4">
        <f>IFERROR(VLOOKUP(G664&amp;"",PLANO!A:B,2,FALSE),"CONTA NAO EXISTE NO PLANO")</f>
        <v/>
      </c>
      <c r="I664" s="4" t="inlineStr">
        <is>
          <t>663</t>
        </is>
      </c>
      <c r="J664" s="4" t="inlineStr">
        <is>
          <t>AJUSTADO</t>
        </is>
      </c>
      <c r="K664" s="4" t="inlineStr">
        <is>
          <t>COSMETICON - conta-corrente unica de mutuo (663)</t>
        </is>
      </c>
      <c r="L664" s="4" t="inlineStr"/>
      <c r="M664" s="4" t="inlineStr">
        <is>
          <t>SISPAG COSMETICON COMER</t>
        </is>
      </c>
    </row>
    <row r="665">
      <c r="A665" t="n">
        <v>664</v>
      </c>
      <c r="B665" t="inlineStr">
        <is>
          <t>09/04/2026</t>
        </is>
      </c>
      <c r="C665" t="inlineStr">
        <is>
          <t>REF. A MOV TIT COB DISP 09/04S</t>
        </is>
      </c>
      <c r="D665" s="7" t="n">
        <v>2189.01</v>
      </c>
      <c r="E665" t="inlineStr">
        <is>
          <t>504</t>
        </is>
      </c>
      <c r="F665" t="inlineStr">
        <is>
          <t>CLIENTES DIVERSOS</t>
        </is>
      </c>
      <c r="G665" s="2" t="inlineStr">
        <is>
          <t>504</t>
        </is>
      </c>
      <c r="H665">
        <f>IFERROR(VLOOKUP(G665&amp;"",PLANO!A:B,2,FALSE),"CONTA NAO EXISTE NO PLANO")</f>
        <v/>
      </c>
      <c r="I665" t="inlineStr">
        <is>
          <t>504</t>
        </is>
      </c>
      <c r="J665" t="inlineStr">
        <is>
          <t>SEM COSMOS</t>
        </is>
      </c>
      <c r="K665" t="inlineStr"/>
      <c r="L665" t="inlineStr"/>
      <c r="M665" t="inlineStr">
        <is>
          <t>MOV TIT COB DISP 09/04S</t>
        </is>
      </c>
    </row>
    <row r="666">
      <c r="A666" t="n">
        <v>665</v>
      </c>
      <c r="B666" t="inlineStr">
        <is>
          <t>09/04/2026</t>
        </is>
      </c>
      <c r="C666" t="inlineStr">
        <is>
          <t>REF. A REDE MAST AT0081996543</t>
        </is>
      </c>
      <c r="D666" s="7" t="n">
        <v>7718.36</v>
      </c>
      <c r="E666" t="inlineStr">
        <is>
          <t>504</t>
        </is>
      </c>
      <c r="F666" t="inlineStr">
        <is>
          <t>CLIENTES DIVERSOS</t>
        </is>
      </c>
      <c r="G666" s="2" t="inlineStr">
        <is>
          <t>504</t>
        </is>
      </c>
      <c r="H666">
        <f>IFERROR(VLOOKUP(G666&amp;"",PLANO!A:B,2,FALSE),"CONTA NAO EXISTE NO PLANO")</f>
        <v/>
      </c>
      <c r="I666" t="inlineStr">
        <is>
          <t>504</t>
        </is>
      </c>
      <c r="J666" t="inlineStr">
        <is>
          <t>SEM COSMOS</t>
        </is>
      </c>
      <c r="K666" t="inlineStr"/>
      <c r="L666" t="inlineStr"/>
      <c r="M666" t="inlineStr">
        <is>
          <t>REDE MAST AT0081996543</t>
        </is>
      </c>
    </row>
    <row r="667">
      <c r="A667" t="n">
        <v>666</v>
      </c>
      <c r="B667" t="inlineStr">
        <is>
          <t>09/04/2026</t>
        </is>
      </c>
      <c r="C667" t="inlineStr">
        <is>
          <t>REF. A REDE VISA AT0081996543</t>
        </is>
      </c>
      <c r="D667" s="7" t="n">
        <v>19454.28</v>
      </c>
      <c r="E667" t="inlineStr">
        <is>
          <t>504</t>
        </is>
      </c>
      <c r="F667" t="inlineStr">
        <is>
          <t>CLIENTES DIVERSOS</t>
        </is>
      </c>
      <c r="G667" s="2" t="inlineStr">
        <is>
          <t>504</t>
        </is>
      </c>
      <c r="H667">
        <f>IFERROR(VLOOKUP(G667&amp;"",PLANO!A:B,2,FALSE),"CONTA NAO EXISTE NO PLANO")</f>
        <v/>
      </c>
      <c r="I667" t="inlineStr">
        <is>
          <t>504</t>
        </is>
      </c>
      <c r="J667" t="inlineStr">
        <is>
          <t>SEM COSMOS</t>
        </is>
      </c>
      <c r="K667" t="inlineStr"/>
      <c r="L667" t="inlineStr"/>
      <c r="M667" t="inlineStr">
        <is>
          <t>REDE VISA AT0081996543</t>
        </is>
      </c>
    </row>
    <row r="668">
      <c r="A668" t="n">
        <v>667</v>
      </c>
      <c r="B668" t="inlineStr">
        <is>
          <t>09/04/2026</t>
        </is>
      </c>
      <c r="C668" t="inlineStr">
        <is>
          <t>JOELMA APARECIDA NASCIMENTO LUDOVIC - PGTO REF.SERVIÇOS PRESTADOS CONF.CONTRATO 01-2026</t>
        </is>
      </c>
      <c r="D668" s="7" t="n">
        <v>-5000</v>
      </c>
      <c r="E668" t="inlineStr">
        <is>
          <t>362</t>
        </is>
      </c>
      <c r="F668" t="inlineStr">
        <is>
          <t>SERVIÇOS PRESTADOS POR TERCEIROS</t>
        </is>
      </c>
      <c r="G668" s="2" t="inlineStr">
        <is>
          <t>362</t>
        </is>
      </c>
      <c r="H668">
        <f>IFERROR(VLOOKUP(G668&amp;"",PLANO!A:B,2,FALSE),"CONTA NAO EXISTE NO PLANO")</f>
        <v/>
      </c>
      <c r="I668" t="inlineStr">
        <is>
          <t>362</t>
        </is>
      </c>
      <c r="J668" t="inlineStr">
        <is>
          <t>OK</t>
        </is>
      </c>
      <c r="K668" t="inlineStr">
        <is>
          <t>servico prestado</t>
        </is>
      </c>
      <c r="L668" t="inlineStr">
        <is>
          <t>JOELMA APARECIDA NASCIMENTO LUDOVIC | 115/171 | PGTO REF.SERVIÇOS PRESTADOS CONF.CONTRATO 01-2026</t>
        </is>
      </c>
      <c r="M668" t="inlineStr">
        <is>
          <t>JOELMA APARECIDA NASCIMENTO LUDOVIC - PGTO REF.SERVIÇOS PRESTADOS CONF.CONTRATO 01-2026</t>
        </is>
      </c>
    </row>
    <row r="669">
      <c r="A669" t="n">
        <v>668</v>
      </c>
      <c r="B669" t="inlineStr">
        <is>
          <t>09/04/2026</t>
        </is>
      </c>
      <c r="C669" t="inlineStr">
        <is>
          <t>SKIN LAB INDUSTRIA E COMERCIO DE COSMETICOS LTDA PAGAMENTO REFERENTE A COMPRA DE OLEO MINERAL 1TON.(GARANTIA DE PREÇO)</t>
        </is>
      </c>
      <c r="D669" s="7" t="n">
        <v>-3877.56</v>
      </c>
      <c r="E669" t="inlineStr">
        <is>
          <t>506</t>
        </is>
      </c>
      <c r="F669" t="inlineStr">
        <is>
          <t>FORNECEDORES DIVERSOS</t>
        </is>
      </c>
      <c r="G669" s="2" t="inlineStr">
        <is>
          <t>506</t>
        </is>
      </c>
      <c r="H669">
        <f>IFERROR(VLOOKUP(G669&amp;"",PLANO!A:B,2,FALSE),"CONTA NAO EXISTE NO PLANO")</f>
        <v/>
      </c>
      <c r="I669" t="inlineStr">
        <is>
          <t>506</t>
        </is>
      </c>
      <c r="J669" t="inlineStr">
        <is>
          <t>OK</t>
        </is>
      </c>
      <c r="K669" t="inlineStr">
        <is>
          <t>fornecedor com NF</t>
        </is>
      </c>
      <c r="L669" t="inlineStr">
        <is>
          <t>SKIN LAB INDUSTRIA E COMERCIO DE COSMETICOS LTDA | 115/6 | PAGAMENTO REFERENTE A COMPRA DE OLEO MINERAL 1TON. (GARANTIA DE PREÇO)</t>
        </is>
      </c>
      <c r="M669" t="inlineStr">
        <is>
          <t>SKIN LAB INDUSTRIA E COMERCIO DE COSMETICOS LTDA - PAGAMENTO REFERENTE A COMPRA DE OLEO MINERAL 1TON. (GARANTIA DE PREÇO)</t>
        </is>
      </c>
    </row>
    <row r="670">
      <c r="A670" t="n">
        <v>669</v>
      </c>
      <c r="B670" t="inlineStr">
        <is>
          <t>09/04/2026</t>
        </is>
      </c>
      <c r="C670" t="inlineStr">
        <is>
          <t>REF A PIX ENVIADO YAHWEH PRINT</t>
        </is>
      </c>
      <c r="D670" s="7" t="n">
        <v>-6012.16</v>
      </c>
      <c r="E670" t="inlineStr">
        <is>
          <t>506</t>
        </is>
      </c>
      <c r="F670" t="inlineStr">
        <is>
          <t>FORNECEDORES DIVERSOS</t>
        </is>
      </c>
      <c r="G670" s="2" t="inlineStr">
        <is>
          <t>506</t>
        </is>
      </c>
      <c r="H670">
        <f>IFERROR(VLOOKUP(G670&amp;"",PLANO!A:B,2,FALSE),"CONTA NAO EXISTE NO PLANO")</f>
        <v/>
      </c>
      <c r="I670" t="inlineStr">
        <is>
          <t>506</t>
        </is>
      </c>
      <c r="J670" t="inlineStr">
        <is>
          <t>SEM COSMOS</t>
        </is>
      </c>
      <c r="K670" t="inlineStr"/>
      <c r="L670" t="inlineStr"/>
      <c r="M670" t="inlineStr">
        <is>
          <t>PIX ENVIADO YAHWEH PRINT</t>
        </is>
      </c>
    </row>
    <row r="671">
      <c r="A671" t="n">
        <v>670</v>
      </c>
      <c r="B671" t="inlineStr">
        <is>
          <t>09/04/2026</t>
        </is>
      </c>
      <c r="C671" t="inlineStr">
        <is>
          <t>REF. A BOLETO PAGO TABELIONATO</t>
        </is>
      </c>
      <c r="D671" s="7" t="n">
        <v>-4857.95</v>
      </c>
      <c r="E671" t="inlineStr">
        <is>
          <t>365</t>
        </is>
      </c>
      <c r="F671" t="inlineStr">
        <is>
          <t>DESPESAS LEGAIS E JUDICIAIS</t>
        </is>
      </c>
      <c r="G671" s="2" t="inlineStr">
        <is>
          <t>365</t>
        </is>
      </c>
      <c r="H671">
        <f>IFERROR(VLOOKUP(G671&amp;"",PLANO!A:B,2,FALSE),"CONTA NAO EXISTE NO PLANO")</f>
        <v/>
      </c>
      <c r="I671" t="inlineStr">
        <is>
          <t>365</t>
        </is>
      </c>
      <c r="J671" t="inlineStr">
        <is>
          <t>SEM COSMOS</t>
        </is>
      </c>
      <c r="K671" t="inlineStr"/>
      <c r="L671" t="inlineStr"/>
      <c r="M671" t="inlineStr">
        <is>
          <t>BOLETO PAGO TABELIONATO</t>
        </is>
      </c>
    </row>
    <row r="672">
      <c r="A672" t="n">
        <v>671</v>
      </c>
      <c r="B672" t="inlineStr">
        <is>
          <t>09/04/2026</t>
        </is>
      </c>
      <c r="C672" t="inlineStr">
        <is>
          <t>REF A BOLETO PAGO UNIMED CURIT - UNIMEDPAGTO REF. PLANO DE SAUDE GLOBAL</t>
        </is>
      </c>
      <c r="D672" s="7" t="n">
        <v>-13655.26</v>
      </c>
      <c r="E672" t="inlineStr">
        <is>
          <t>576</t>
        </is>
      </c>
      <c r="F672" t="inlineStr">
        <is>
          <t>PLANO DE SAÚDE EMPREGADOS</t>
        </is>
      </c>
      <c r="G672" s="2" t="inlineStr">
        <is>
          <t>576</t>
        </is>
      </c>
      <c r="H672">
        <f>IFERROR(VLOOKUP(G672&amp;"",PLANO!A:B,2,FALSE),"CONTA NAO EXISTE NO PLANO")</f>
        <v/>
      </c>
      <c r="I672" t="inlineStr">
        <is>
          <t>576</t>
        </is>
      </c>
      <c r="J672" t="inlineStr">
        <is>
          <t>OK</t>
        </is>
      </c>
      <c r="K672" t="inlineStr">
        <is>
          <t>categoria Cosmos 85</t>
        </is>
      </c>
      <c r="L672" t="inlineStr">
        <is>
          <t>UNIMED | 115/85 | PAGTO REF. PLANO DE SAUDE GLOBAL</t>
        </is>
      </c>
      <c r="M672" t="inlineStr">
        <is>
          <t>UNIMED - PAGTO REF. PLANO DE SAUDE GLOBAL</t>
        </is>
      </c>
    </row>
    <row r="673">
      <c r="A673" s="8" t="n">
        <v>672</v>
      </c>
      <c r="B673" s="8" t="inlineStr">
        <is>
          <t>09/04/2026</t>
        </is>
      </c>
      <c r="C673" s="8" t="inlineStr">
        <is>
          <t>REF. A BOLETO PAGO TABELIONATO - GRÁFICA MALIRES LTDA - PGTO REF. A CARTELA DE AMOSTRA DE PERFUMES</t>
        </is>
      </c>
      <c r="D673" s="9" t="n">
        <v>-912.11</v>
      </c>
      <c r="E673" s="8" t="inlineStr">
        <is>
          <t>365</t>
        </is>
      </c>
      <c r="F673" s="8" t="inlineStr">
        <is>
          <t>DESPESAS LEGAIS E JUDICIAIS</t>
        </is>
      </c>
      <c r="G673" s="10" t="inlineStr">
        <is>
          <t>506</t>
        </is>
      </c>
      <c r="H673" s="8">
        <f>IFERROR(VLOOKUP(G673&amp;"",PLANO!A:B,2,FALSE),"CONTA NAO EXISTE NO PLANO")</f>
        <v/>
      </c>
      <c r="I673" s="8" t="inlineStr">
        <is>
          <t>506</t>
        </is>
      </c>
      <c r="J673" s="8" t="inlineStr">
        <is>
          <t>CORRIGIR</t>
        </is>
      </c>
      <c r="K673" s="8" t="inlineStr">
        <is>
          <t>fornecedor com NF (Cosmos: compra MP/embalagem) - pagamento deve baixar fornecedores 506</t>
        </is>
      </c>
      <c r="L673" s="8" t="inlineStr">
        <is>
          <t>GRÁFICA MALIRES LTDA | 115/9 | PGTO REF. A CARTELA DE AMOSTRA DE PERFUMES</t>
        </is>
      </c>
      <c r="M673" s="8" t="inlineStr">
        <is>
          <t>GRÁFICA MALIRES LTDA - PGTO REF. A CARTELA DE AMOSTRA DE PERFUMES</t>
        </is>
      </c>
    </row>
    <row r="674">
      <c r="A674" t="n">
        <v>673</v>
      </c>
      <c r="B674" t="inlineStr">
        <is>
          <t>09/04/2026</t>
        </is>
      </c>
      <c r="C674" t="inlineStr">
        <is>
          <t>REF. A BOLETO PAGO MASTER PUMPS</t>
        </is>
      </c>
      <c r="D674" s="7" t="n">
        <v>-1874.4</v>
      </c>
      <c r="E674" t="inlineStr">
        <is>
          <t>506</t>
        </is>
      </c>
      <c r="F674" t="inlineStr">
        <is>
          <t>FORNECEDORES DIVERSOS</t>
        </is>
      </c>
      <c r="G674" s="2" t="inlineStr">
        <is>
          <t>506</t>
        </is>
      </c>
      <c r="H674">
        <f>IFERROR(VLOOKUP(G674&amp;"",PLANO!A:B,2,FALSE),"CONTA NAO EXISTE NO PLANO")</f>
        <v/>
      </c>
      <c r="I674" t="inlineStr">
        <is>
          <t>506</t>
        </is>
      </c>
      <c r="J674" t="inlineStr">
        <is>
          <t>OK</t>
        </is>
      </c>
      <c r="K674" t="inlineStr">
        <is>
          <t>fornecedor com NF</t>
        </is>
      </c>
      <c r="L674" t="inlineStr">
        <is>
          <t>MASTER PUMPS EMBALAGENS COMERCIO IMPORTACAO E EXPORTACAO LTDA | 115/9 | PAGAMENTO REFERENTE A COMPRA DE VALVULAS PARA PRODUÇÃO</t>
        </is>
      </c>
      <c r="M674" t="inlineStr">
        <is>
          <t>MASTER PUMPS EMBALAGENS COMERCIO IMPORTACAO E EXPORTACAO LTDA - PAGAMENTO REFERENTE A COMPRA DE VALVULAS PARA PRODUÇÃO</t>
        </is>
      </c>
    </row>
    <row r="675">
      <c r="A675" t="n">
        <v>674</v>
      </c>
      <c r="B675" t="inlineStr">
        <is>
          <t>09/04/2026</t>
        </is>
      </c>
      <c r="C675" t="inlineStr">
        <is>
          <t>REF. A BOLETO PAGO TABELIONATO - CHEMYUNION LTDA - PGTO REF. A COMPRA DE MATERIA PRIMA, UNIOX 200 KG-</t>
        </is>
      </c>
      <c r="D675" s="7" t="n">
        <v>-4847.9</v>
      </c>
      <c r="E675" t="inlineStr">
        <is>
          <t>506</t>
        </is>
      </c>
      <c r="F675" t="inlineStr">
        <is>
          <t>FORNECEDORES DIVERSOS</t>
        </is>
      </c>
      <c r="G675" s="2" t="inlineStr">
        <is>
          <t>506</t>
        </is>
      </c>
      <c r="H675">
        <f>IFERROR(VLOOKUP(G675&amp;"",PLANO!A:B,2,FALSE),"CONTA NAO EXISTE NO PLANO")</f>
        <v/>
      </c>
      <c r="I675" t="inlineStr">
        <is>
          <t>506</t>
        </is>
      </c>
      <c r="J675" t="inlineStr">
        <is>
          <t>OK</t>
        </is>
      </c>
      <c r="K675" t="inlineStr">
        <is>
          <t>fornecedor com NF</t>
        </is>
      </c>
      <c r="L675" t="inlineStr">
        <is>
          <t>CHEMYUNION LTDA | 115/6 | PGTO REF. A COMPRA DE MATERIA PRIMA, UNIOX 200 KG</t>
        </is>
      </c>
      <c r="M675" t="inlineStr">
        <is>
          <t>CHEMYUNION LTDA - PGTO REF. A COMPRA DE MATERIA PRIMA, UNIOX 200 KG</t>
        </is>
      </c>
    </row>
    <row r="676">
      <c r="A676" t="n">
        <v>675</v>
      </c>
      <c r="B676" t="inlineStr">
        <is>
          <t>10/04/2026</t>
        </is>
      </c>
      <c r="C676" t="inlineStr">
        <is>
          <t>REF A SISPAG FRANCISCO ROSARI</t>
        </is>
      </c>
      <c r="D676" s="7" t="n">
        <v>2568.8</v>
      </c>
      <c r="E676" t="inlineStr">
        <is>
          <t>504</t>
        </is>
      </c>
      <c r="F676" t="inlineStr">
        <is>
          <t>CLIENTES DIVERSOS</t>
        </is>
      </c>
      <c r="G676" s="2" t="inlineStr">
        <is>
          <t>504</t>
        </is>
      </c>
      <c r="H676">
        <f>IFERROR(VLOOKUP(G676&amp;"",PLANO!A:B,2,FALSE),"CONTA NAO EXISTE NO PLANO")</f>
        <v/>
      </c>
      <c r="I676" t="inlineStr">
        <is>
          <t>504</t>
        </is>
      </c>
      <c r="J676" t="inlineStr">
        <is>
          <t>SEM COSMOS</t>
        </is>
      </c>
      <c r="K676" t="inlineStr"/>
      <c r="L676" t="inlineStr"/>
      <c r="M676" t="inlineStr">
        <is>
          <t>SISPAG FRANCISCO ROSARI</t>
        </is>
      </c>
    </row>
    <row r="677">
      <c r="A677" t="n">
        <v>676</v>
      </c>
      <c r="B677" t="inlineStr">
        <is>
          <t>10/04/2026</t>
        </is>
      </c>
      <c r="C677" t="inlineStr">
        <is>
          <t>REF. A MOV TIT COB DISP 10/04S</t>
        </is>
      </c>
      <c r="D677" s="7" t="n">
        <v>2133.87</v>
      </c>
      <c r="E677" t="inlineStr">
        <is>
          <t>504</t>
        </is>
      </c>
      <c r="F677" t="inlineStr">
        <is>
          <t>CLIENTES DIVERSOS</t>
        </is>
      </c>
      <c r="G677" s="2" t="inlineStr">
        <is>
          <t>504</t>
        </is>
      </c>
      <c r="H677">
        <f>IFERROR(VLOOKUP(G677&amp;"",PLANO!A:B,2,FALSE),"CONTA NAO EXISTE NO PLANO")</f>
        <v/>
      </c>
      <c r="I677" t="inlineStr">
        <is>
          <t>504</t>
        </is>
      </c>
      <c r="J677" t="inlineStr">
        <is>
          <t>SEM COSMOS</t>
        </is>
      </c>
      <c r="K677" t="inlineStr"/>
      <c r="L677" t="inlineStr"/>
      <c r="M677" t="inlineStr">
        <is>
          <t>MOV TIT COB DISP 10/04S</t>
        </is>
      </c>
    </row>
    <row r="678">
      <c r="A678" t="n">
        <v>677</v>
      </c>
      <c r="B678" t="inlineStr">
        <is>
          <t>10/04/2026</t>
        </is>
      </c>
      <c r="C678" t="inlineStr">
        <is>
          <t>REF. A PIX TRANSF ATTOZ B10/04</t>
        </is>
      </c>
      <c r="D678" s="7" t="n">
        <v>1672</v>
      </c>
      <c r="E678" t="inlineStr">
        <is>
          <t>504</t>
        </is>
      </c>
      <c r="F678" t="inlineStr">
        <is>
          <t>CLIENTES DIVERSOS</t>
        </is>
      </c>
      <c r="G678" s="2" t="inlineStr">
        <is>
          <t>504</t>
        </is>
      </c>
      <c r="H678">
        <f>IFERROR(VLOOKUP(G678&amp;"",PLANO!A:B,2,FALSE),"CONTA NAO EXISTE NO PLANO")</f>
        <v/>
      </c>
      <c r="I678" t="inlineStr">
        <is>
          <t>504</t>
        </is>
      </c>
      <c r="J678" t="inlineStr">
        <is>
          <t>SEM COSMOS</t>
        </is>
      </c>
      <c r="K678" t="inlineStr"/>
      <c r="L678" t="inlineStr"/>
      <c r="M678" t="inlineStr">
        <is>
          <t>PIX TRANSF ATTOZ B10/04</t>
        </is>
      </c>
    </row>
    <row r="679">
      <c r="A679" t="n">
        <v>678</v>
      </c>
      <c r="B679" t="inlineStr">
        <is>
          <t>10/04/2026</t>
        </is>
      </c>
      <c r="C679" t="inlineStr">
        <is>
          <t>REF. A PIX TRANSF NATURAL10/04</t>
        </is>
      </c>
      <c r="D679" s="7" t="n">
        <v>1500.56</v>
      </c>
      <c r="E679" t="inlineStr">
        <is>
          <t>504</t>
        </is>
      </c>
      <c r="F679" t="inlineStr">
        <is>
          <t>CLIENTES DIVERSOS</t>
        </is>
      </c>
      <c r="G679" s="2" t="inlineStr">
        <is>
          <t>504</t>
        </is>
      </c>
      <c r="H679">
        <f>IFERROR(VLOOKUP(G679&amp;"",PLANO!A:B,2,FALSE),"CONTA NAO EXISTE NO PLANO")</f>
        <v/>
      </c>
      <c r="I679" t="inlineStr">
        <is>
          <t>504</t>
        </is>
      </c>
      <c r="J679" t="inlineStr">
        <is>
          <t>SEM COSMOS</t>
        </is>
      </c>
      <c r="K679" t="inlineStr"/>
      <c r="L679" t="inlineStr"/>
      <c r="M679" t="inlineStr">
        <is>
          <t>PIX TRANSF NATURAL10/04</t>
        </is>
      </c>
    </row>
    <row r="680">
      <c r="A680" s="8" t="n">
        <v>679</v>
      </c>
      <c r="B680" s="8" t="inlineStr">
        <is>
          <t>10/04/2026</t>
        </is>
      </c>
      <c r="C680" s="8" t="inlineStr">
        <is>
          <t>REF A PIX MARCOS HENRIQUE SOTHER - PGTO REF.JUROS S/EMPRESTIMOS A LONGO PRAZO</t>
        </is>
      </c>
      <c r="D680" s="9" t="n">
        <v>-1600</v>
      </c>
      <c r="E680" s="8" t="inlineStr">
        <is>
          <t>362</t>
        </is>
      </c>
      <c r="F680" s="8" t="inlineStr">
        <is>
          <t>SERVIÇOS PRESTADOS POR TERCEIROS</t>
        </is>
      </c>
      <c r="G680" s="10" t="inlineStr">
        <is>
          <t>375</t>
        </is>
      </c>
      <c r="H680" s="8">
        <f>IFERROR(VLOOKUP(G680&amp;"",PLANO!A:B,2,FALSE),"CONTA NAO EXISTE NO PLANO")</f>
        <v/>
      </c>
      <c r="I680" s="8" t="inlineStr">
        <is>
          <t>375</t>
        </is>
      </c>
      <c r="J680" s="8" t="inlineStr">
        <is>
          <t>CORRIGIR</t>
        </is>
      </c>
      <c r="K680" s="8" t="inlineStr">
        <is>
          <t>categoria Cosmos 84</t>
        </is>
      </c>
      <c r="L680" s="8" t="inlineStr">
        <is>
          <t>MARCOS HENRIQUE SOTHER | 115/84 | PGTO REF.JUROS S/EMPRESTIMOS A LONGO PRAZO</t>
        </is>
      </c>
      <c r="M680" s="8" t="inlineStr">
        <is>
          <t>MARCOS HENRIQUE SOTHER - PGTO REF.JUROS S/EMPRESTIMOS A LONGO PRAZO</t>
        </is>
      </c>
    </row>
    <row r="681">
      <c r="A681" s="4" t="n">
        <v>680</v>
      </c>
      <c r="B681" s="4" t="inlineStr">
        <is>
          <t>10/04/2026</t>
        </is>
      </c>
      <c r="C681" s="4" t="inlineStr">
        <is>
          <t>REF A PIX ENVIADO IGOR RENATO MORESCHI PGTO REF.SERVIÇOS PRESTADOS CONF.CONTRATO</t>
        </is>
      </c>
      <c r="D681" s="5" t="n">
        <v>-1000</v>
      </c>
      <c r="E681" s="4" t="inlineStr">
        <is>
          <t>362</t>
        </is>
      </c>
      <c r="F681" s="4" t="inlineStr">
        <is>
          <t>SERVIÇOS PRESTADOS POR TERCEIROS</t>
        </is>
      </c>
      <c r="G681" s="6" t="inlineStr">
        <is>
          <t>640</t>
        </is>
      </c>
      <c r="H681" s="4">
        <f>IFERROR(VLOOKUP(G681&amp;"",PLANO!A:B,2,FALSE),"CONTA NAO EXISTE NO PLANO")</f>
        <v/>
      </c>
      <c r="I681" s="4" t="inlineStr">
        <is>
          <t>362</t>
        </is>
      </c>
      <c r="J681" s="4" t="inlineStr">
        <is>
          <t>AJUSTADO</t>
        </is>
      </c>
      <c r="K681" s="4" t="inlineStr">
        <is>
          <t>software/sistema (Cosmos cat. 47)</t>
        </is>
      </c>
      <c r="L681" s="4" t="inlineStr">
        <is>
          <t>IGOR RENATO MORESCHI 00575611928 | 115/47 | PGTO REF.SERVIÇOS PRESTADOS CONF.CONTRATO</t>
        </is>
      </c>
      <c r="M681" s="4" t="inlineStr">
        <is>
          <t>IGOR RENATO MORESCHI 00575611928 - PGTO REF.SERVIÇOS PRESTADOS CONF.CONTRATO</t>
        </is>
      </c>
    </row>
    <row r="682">
      <c r="A682" s="4" t="n">
        <v>681</v>
      </c>
      <c r="B682" s="4" t="inlineStr">
        <is>
          <t>10/04/2026</t>
        </is>
      </c>
      <c r="C682" s="4" t="inlineStr">
        <is>
          <t>REF. A PIX ENVIADO F.V.S COMERC - OUTRAS SAIDAS</t>
        </is>
      </c>
      <c r="D682" s="5" t="n">
        <v>-1200</v>
      </c>
      <c r="E682" s="4" t="inlineStr">
        <is>
          <t>671</t>
        </is>
      </c>
      <c r="F682" s="4" t="inlineStr">
        <is>
          <t>F.V.S COMERCIO DE COSMETICOS LTDA</t>
        </is>
      </c>
      <c r="G682" s="6" t="inlineStr">
        <is>
          <t>662</t>
        </is>
      </c>
      <c r="H682" s="4">
        <f>IFERROR(VLOOKUP(G682&amp;"",PLANO!A:B,2,FALSE),"CONTA NAO EXISTE NO PLANO")</f>
        <v/>
      </c>
      <c r="I682" s="4" t="inlineStr">
        <is>
          <t>662</t>
        </is>
      </c>
      <c r="J682" s="4" t="inlineStr">
        <is>
          <t>AJUSTADO</t>
        </is>
      </c>
      <c r="K682" s="4" t="inlineStr">
        <is>
          <t>F.V.S - conta-corrente unica de mutuo (662)</t>
        </is>
      </c>
      <c r="L682" s="4" t="inlineStr">
        <is>
          <t xml:space="preserve">OUTRAS SAIDAS | 123/71 | </t>
        </is>
      </c>
      <c r="M682" s="4" t="inlineStr">
        <is>
          <t>PIX ENVIADO F.V.S COMERC - OUTRAS SAIDAS</t>
        </is>
      </c>
    </row>
    <row r="683">
      <c r="A683" s="4" t="n">
        <v>682</v>
      </c>
      <c r="B683" s="4" t="inlineStr">
        <is>
          <t>10/04/2026</t>
        </is>
      </c>
      <c r="C683" s="4" t="inlineStr">
        <is>
          <t>REF. A PIX ENVIADO GULA COSMETI - OUTRAS SAIDAS</t>
        </is>
      </c>
      <c r="D683" s="5" t="n">
        <v>-2000</v>
      </c>
      <c r="E683" s="4" t="inlineStr">
        <is>
          <t>506</t>
        </is>
      </c>
      <c r="F683" s="4" t="inlineStr">
        <is>
          <t>FORNECEDORES DIVERSOS</t>
        </is>
      </c>
      <c r="G683" s="6" t="inlineStr">
        <is>
          <t>366</t>
        </is>
      </c>
      <c r="H683" s="4">
        <f>IFERROR(VLOOKUP(G683&amp;"",PLANO!A:B,2,FALSE),"CONTA NAO EXISTE NO PLANO")</f>
        <v/>
      </c>
      <c r="I683" s="4" t="inlineStr">
        <is>
          <t>672</t>
        </is>
      </c>
      <c r="J683" s="4" t="inlineStr">
        <is>
          <t>AJUSTADO</t>
        </is>
      </c>
      <c r="K683" s="4" t="inlineStr">
        <is>
          <t>GULA/FIQUE BEM (mesmo CNPJ, empresa do grupo) - mutuo em EMPRESTIMOS A TERCEIROS (366); nao e fornecedor</t>
        </is>
      </c>
      <c r="L683" s="4" t="inlineStr">
        <is>
          <t xml:space="preserve">OUTRAS SAIDAS | 123/71 | </t>
        </is>
      </c>
      <c r="M683" s="4" t="inlineStr">
        <is>
          <t>PIX ENVIADO GULA COSMETI - OUTRAS SAIDAS</t>
        </is>
      </c>
    </row>
    <row r="684">
      <c r="A684" t="n">
        <v>683</v>
      </c>
      <c r="B684" t="inlineStr">
        <is>
          <t>10/04/2026</t>
        </is>
      </c>
      <c r="C684" t="inlineStr">
        <is>
          <t>REF. A BOLETO PAGO LOVIZ ENTRETENIMENTO E TELECOMUNICACOES LTDA - PGTO REF.INTERNET 10 GIGA</t>
        </is>
      </c>
      <c r="D684" s="7" t="n">
        <v>-199.99</v>
      </c>
      <c r="E684" t="inlineStr">
        <is>
          <t>555</t>
        </is>
      </c>
      <c r="F684" t="inlineStr">
        <is>
          <t>INTERNET</t>
        </is>
      </c>
      <c r="G684" s="2" t="inlineStr">
        <is>
          <t>555</t>
        </is>
      </c>
      <c r="H684">
        <f>IFERROR(VLOOKUP(G684&amp;"",PLANO!A:B,2,FALSE),"CONTA NAO EXISTE NO PLANO")</f>
        <v/>
      </c>
      <c r="I684" t="inlineStr">
        <is>
          <t>555</t>
        </is>
      </c>
      <c r="J684" t="inlineStr">
        <is>
          <t>OK</t>
        </is>
      </c>
      <c r="K684" t="inlineStr">
        <is>
          <t>categoria Cosmos 14</t>
        </is>
      </c>
      <c r="L684" t="inlineStr">
        <is>
          <t>LOVIZ ENTRETENIMENTO E TELECOMUNICACOES LTDA | 115/14 | PGTO REF.INTERNET 10 GIGA</t>
        </is>
      </c>
      <c r="M684" t="inlineStr">
        <is>
          <t>LOVIZ ENTRETENIMENTO E TELECOMUNICACOES LTDA - PGTO REF.INTERNET 10 GIGA</t>
        </is>
      </c>
    </row>
    <row r="685">
      <c r="A685" t="n">
        <v>684</v>
      </c>
      <c r="B685" t="inlineStr">
        <is>
          <t>13/04/2026</t>
        </is>
      </c>
      <c r="C685" t="inlineStr">
        <is>
          <t>REF. A MOV TIT COB DISP 13/04S</t>
        </is>
      </c>
      <c r="D685" s="7" t="n">
        <v>2130.87</v>
      </c>
      <c r="E685" t="inlineStr">
        <is>
          <t>504</t>
        </is>
      </c>
      <c r="F685" t="inlineStr">
        <is>
          <t>CLIENTES DIVERSOS</t>
        </is>
      </c>
      <c r="G685" s="2" t="inlineStr">
        <is>
          <t>504</t>
        </is>
      </c>
      <c r="H685">
        <f>IFERROR(VLOOKUP(G685&amp;"",PLANO!A:B,2,FALSE),"CONTA NAO EXISTE NO PLANO")</f>
        <v/>
      </c>
      <c r="I685" t="inlineStr">
        <is>
          <t>504</t>
        </is>
      </c>
      <c r="J685" t="inlineStr">
        <is>
          <t>SEM COSMOS</t>
        </is>
      </c>
      <c r="K685" t="inlineStr"/>
      <c r="L685" t="inlineStr"/>
      <c r="M685" t="inlineStr">
        <is>
          <t>MOV TIT COB DISP 13/04S</t>
        </is>
      </c>
    </row>
    <row r="686">
      <c r="A686" t="n">
        <v>685</v>
      </c>
      <c r="B686" t="inlineStr">
        <is>
          <t>13/04/2026</t>
        </is>
      </c>
      <c r="C686" t="inlineStr">
        <is>
          <t>REF. A REDE VISA AT0081996543</t>
        </is>
      </c>
      <c r="D686" s="7" t="n">
        <v>13758.28</v>
      </c>
      <c r="E686" t="inlineStr">
        <is>
          <t>504</t>
        </is>
      </c>
      <c r="F686" t="inlineStr">
        <is>
          <t>CLIENTES DIVERSOS</t>
        </is>
      </c>
      <c r="G686" s="2" t="inlineStr">
        <is>
          <t>504</t>
        </is>
      </c>
      <c r="H686">
        <f>IFERROR(VLOOKUP(G686&amp;"",PLANO!A:B,2,FALSE),"CONTA NAO EXISTE NO PLANO")</f>
        <v/>
      </c>
      <c r="I686" t="inlineStr">
        <is>
          <t>504</t>
        </is>
      </c>
      <c r="J686" t="inlineStr">
        <is>
          <t>SEM COSMOS</t>
        </is>
      </c>
      <c r="K686" t="inlineStr"/>
      <c r="L686" t="inlineStr"/>
      <c r="M686" t="inlineStr">
        <is>
          <t>REDE VISA AT0081996543</t>
        </is>
      </c>
    </row>
    <row r="687">
      <c r="A687" t="n">
        <v>686</v>
      </c>
      <c r="B687" t="inlineStr">
        <is>
          <t>13/04/2026</t>
        </is>
      </c>
      <c r="C687" t="inlineStr">
        <is>
          <t>REF FLASH TECNOLOGIA E INSTITUICAO DE PAGAMENTO LTDA PGTO REF.CREDITO VALE ALIMENTAÇÃO CONF.CCT2025-2026</t>
        </is>
      </c>
      <c r="D687" s="7" t="n">
        <v>-8137.38</v>
      </c>
      <c r="E687" t="inlineStr">
        <is>
          <t>659</t>
        </is>
      </c>
      <c r="F687" t="inlineStr">
        <is>
          <t>VA / VR</t>
        </is>
      </c>
      <c r="G687" s="2" t="inlineStr">
        <is>
          <t>659</t>
        </is>
      </c>
      <c r="H687">
        <f>IFERROR(VLOOKUP(G687&amp;"",PLANO!A:B,2,FALSE),"CONTA NAO EXISTE NO PLANO")</f>
        <v/>
      </c>
      <c r="I687" t="inlineStr">
        <is>
          <t>659</t>
        </is>
      </c>
      <c r="J687" t="inlineStr">
        <is>
          <t>OK</t>
        </is>
      </c>
      <c r="K687" t="inlineStr">
        <is>
          <t>categoria Cosmos 93</t>
        </is>
      </c>
      <c r="L687" t="inlineStr">
        <is>
          <t>FLASH TECNOLOGIA E INSTITUICAO DE PAGAMENTO LTDA | 115/93 | PGTO REF.CREDITO VALE ALIMENTAÇÃO CONF.CCT 2025-2026</t>
        </is>
      </c>
      <c r="M687" t="inlineStr">
        <is>
          <t>FLASH TECNOLOGIA E INSTITUICAO DE PAGAMENTO LTDA - PGTO REF.CREDITO VALE ALIMENTAÇÃO CONF.CCT 2025-2026</t>
        </is>
      </c>
    </row>
    <row r="688">
      <c r="A688" s="11" t="n">
        <v>687</v>
      </c>
      <c r="B688" s="11" t="inlineStr">
        <is>
          <t>13/04/2026</t>
        </is>
      </c>
      <c r="C688" s="11" t="inlineStr">
        <is>
          <t>REF. A PIX ENVIADO CARLOS ALEXANDRE MAZZONI PGTO REF.PRO-LABORE</t>
        </is>
      </c>
      <c r="D688" s="12" t="n">
        <v>-1000</v>
      </c>
      <c r="E688" s="11" t="inlineStr">
        <is>
          <t>362</t>
        </is>
      </c>
      <c r="F688" s="11" t="inlineStr">
        <is>
          <t>SERVIÇOS PRESTADOS POR TERCEIROS</t>
        </is>
      </c>
      <c r="G688" s="13" t="inlineStr">
        <is>
          <t>362</t>
        </is>
      </c>
      <c r="H688" s="11">
        <f>IFERROR(VLOOKUP(G688&amp;"",PLANO!A:B,2,FALSE),"CONTA NAO EXISTE NO PLANO")</f>
        <v/>
      </c>
      <c r="I688" s="11" t="inlineStr">
        <is>
          <t>362</t>
        </is>
      </c>
      <c r="J688" s="11" t="inlineStr">
        <is>
          <t>MANTIDO</t>
        </is>
      </c>
      <c r="K688" s="11" t="inlineStr">
        <is>
          <t>socios Mazzoni (fora do contrato social) - mantido como estava</t>
        </is>
      </c>
      <c r="L688" s="11" t="inlineStr">
        <is>
          <t>CARLOS ALEXANDRE MAZZONI | 115/33 | PGTO REF.PRO-LABORE</t>
        </is>
      </c>
      <c r="M688" s="11" t="inlineStr">
        <is>
          <t>CARLOS ALEXANDRE MAZZONI - PGTO REF.PRO-LABORE</t>
        </is>
      </c>
    </row>
    <row r="689">
      <c r="A689" t="n">
        <v>688</v>
      </c>
      <c r="B689" t="inlineStr">
        <is>
          <t>13/04/2026</t>
        </is>
      </c>
      <c r="C689" t="inlineStr">
        <is>
          <t>REF. A PIX ENVIADO CLAUDIA APARECIDA RUBIN - PGTO REF.SERVIÇOS PRESTADOS CONF.CONTRATO</t>
        </is>
      </c>
      <c r="D689" s="7" t="n">
        <v>-1000</v>
      </c>
      <c r="E689" t="inlineStr">
        <is>
          <t>362</t>
        </is>
      </c>
      <c r="F689" t="inlineStr">
        <is>
          <t>SERVIÇOS PRESTADOS POR TERCEIROS</t>
        </is>
      </c>
      <c r="G689" s="2" t="inlineStr">
        <is>
          <t>362</t>
        </is>
      </c>
      <c r="H689">
        <f>IFERROR(VLOOKUP(G689&amp;"",PLANO!A:B,2,FALSE),"CONTA NAO EXISTE NO PLANO")</f>
        <v/>
      </c>
      <c r="I689" t="inlineStr">
        <is>
          <t>362</t>
        </is>
      </c>
      <c r="J689" t="inlineStr">
        <is>
          <t>OK</t>
        </is>
      </c>
      <c r="K689" t="inlineStr">
        <is>
          <t>servico prestado</t>
        </is>
      </c>
      <c r="L689" t="inlineStr">
        <is>
          <t>CLAUDIA APARECIDA RUBIN | 115/81 | PGTO REF.SERVIÇOS PRESTADOS CONF.CONTRATO</t>
        </is>
      </c>
      <c r="M689" t="inlineStr">
        <is>
          <t>CLAUDIA APARECIDA RUBIN - PGTO REF.SERVIÇOS PRESTADOS CONF.CONTRATO</t>
        </is>
      </c>
    </row>
    <row r="690">
      <c r="A690" s="8" t="n">
        <v>689</v>
      </c>
      <c r="B690" s="8" t="inlineStr">
        <is>
          <t>13/04/2026</t>
        </is>
      </c>
      <c r="C690" s="8" t="inlineStr">
        <is>
          <t>REF. A BOLETO PAGO URBANO BRASPRESS TRANSPORTES URGENTES LTDA - PAGTO REF. FRETE NFE S/ VENDAS</t>
        </is>
      </c>
      <c r="D690" s="9" t="n">
        <v>-371.73</v>
      </c>
      <c r="E690" s="8" t="inlineStr">
        <is>
          <t>350</t>
        </is>
      </c>
      <c r="F690" s="8" t="inlineStr">
        <is>
          <t>TAXAS DIVERSAS</t>
        </is>
      </c>
      <c r="G690" s="10" t="inlineStr">
        <is>
          <t>312</t>
        </is>
      </c>
      <c r="H690" s="8">
        <f>IFERROR(VLOOKUP(G690&amp;"",PLANO!A:B,2,FALSE),"CONTA NAO EXISTE NO PLANO")</f>
        <v/>
      </c>
      <c r="I690" s="8" t="inlineStr">
        <is>
          <t>312</t>
        </is>
      </c>
      <c r="J690" s="8" t="inlineStr">
        <is>
          <t>CORRIGIR</t>
        </is>
      </c>
      <c r="K690" s="8" t="inlineStr">
        <is>
          <t>categoria Cosmos 97</t>
        </is>
      </c>
      <c r="L690" s="8" t="inlineStr">
        <is>
          <t>BRASPRESS TRANSPORTES URGENTES LTDA | 115/97 | PAGTO REF. FRETE NFE S/ VENDAS</t>
        </is>
      </c>
      <c r="M690" s="8" t="inlineStr">
        <is>
          <t>BRASPRESS TRANSPORTES URGENTES LTDA - PAGTO REF. FRETE NFE S/ VENDAS</t>
        </is>
      </c>
    </row>
    <row r="691">
      <c r="A691" t="n">
        <v>690</v>
      </c>
      <c r="B691" t="inlineStr">
        <is>
          <t>14/04/2026</t>
        </is>
      </c>
      <c r="C691" t="inlineStr">
        <is>
          <t>REF. A TED 363.0001.RNX F M D R</t>
        </is>
      </c>
      <c r="D691" s="7" t="n">
        <v>114.3</v>
      </c>
      <c r="E691" t="inlineStr">
        <is>
          <t>504</t>
        </is>
      </c>
      <c r="F691" t="inlineStr">
        <is>
          <t>CLIENTES DIVERSOS</t>
        </is>
      </c>
      <c r="G691" s="2" t="inlineStr">
        <is>
          <t>504</t>
        </is>
      </c>
      <c r="H691">
        <f>IFERROR(VLOOKUP(G691&amp;"",PLANO!A:B,2,FALSE),"CONTA NAO EXISTE NO PLANO")</f>
        <v/>
      </c>
      <c r="I691" t="inlineStr">
        <is>
          <t>504</t>
        </is>
      </c>
      <c r="J691" t="inlineStr">
        <is>
          <t>SEM COSMOS</t>
        </is>
      </c>
      <c r="K691" t="inlineStr"/>
      <c r="L691" t="inlineStr"/>
      <c r="M691" t="inlineStr">
        <is>
          <t>TED 363.0001.RNX F M D R</t>
        </is>
      </c>
    </row>
    <row r="692">
      <c r="A692" t="n">
        <v>691</v>
      </c>
      <c r="B692" t="inlineStr">
        <is>
          <t>14/04/2026</t>
        </is>
      </c>
      <c r="C692" t="inlineStr">
        <is>
          <t>EMPRESA BRASILEIRA DE CORREIOS E TELEGRAFOS PAGTO REF. A FRETE SOBRE VENDAS CORREIOS</t>
        </is>
      </c>
      <c r="D692" s="7" t="n">
        <v>-1000</v>
      </c>
      <c r="E692" t="inlineStr">
        <is>
          <t>312</t>
        </is>
      </c>
      <c r="F692" t="inlineStr">
        <is>
          <t>FRETES E CARRETOS</t>
        </is>
      </c>
      <c r="G692" s="2" t="inlineStr">
        <is>
          <t>312</t>
        </is>
      </c>
      <c r="H692">
        <f>IFERROR(VLOOKUP(G692&amp;"",PLANO!A:B,2,FALSE),"CONTA NAO EXISTE NO PLANO")</f>
        <v/>
      </c>
      <c r="I692" t="inlineStr">
        <is>
          <t>312</t>
        </is>
      </c>
      <c r="J692" t="inlineStr">
        <is>
          <t>OK</t>
        </is>
      </c>
      <c r="K692" t="inlineStr">
        <is>
          <t>categoria Cosmos 97</t>
        </is>
      </c>
      <c r="L692" t="inlineStr">
        <is>
          <t>EMPRESA BRASILEIRA DE CORREIOS E TELEGRAFOS | 115/97 | PAGTO REF. A FRETE SOBRE VENDAS CORREIOS</t>
        </is>
      </c>
      <c r="M692" t="inlineStr">
        <is>
          <t>EMPRESA BRASILEIRA DE CORREIOS E TELEGRAFOS - PAGTO REF. A FRETE SOBRE VENDAS CORREIOS</t>
        </is>
      </c>
    </row>
    <row r="693">
      <c r="A693" t="n">
        <v>692</v>
      </c>
      <c r="B693" t="inlineStr">
        <is>
          <t>14/04/2026</t>
        </is>
      </c>
      <c r="C693" t="inlineStr">
        <is>
          <t>REF. A PIX ENVIADO RODONAVES TRANSPORTES E ENCOMENDAS LTDA PAGTO REF. A FRETE SOBRE NFE</t>
        </is>
      </c>
      <c r="D693" s="7" t="n">
        <v>-212.29</v>
      </c>
      <c r="E693" t="inlineStr">
        <is>
          <t>312</t>
        </is>
      </c>
      <c r="F693" t="inlineStr">
        <is>
          <t>FRETES E CARRETOS</t>
        </is>
      </c>
      <c r="G693" s="2" t="inlineStr">
        <is>
          <t>312</t>
        </is>
      </c>
      <c r="H693">
        <f>IFERROR(VLOOKUP(G693&amp;"",PLANO!A:B,2,FALSE),"CONTA NAO EXISTE NO PLANO")</f>
        <v/>
      </c>
      <c r="I693" t="inlineStr">
        <is>
          <t>312</t>
        </is>
      </c>
      <c r="J693" t="inlineStr">
        <is>
          <t>OK</t>
        </is>
      </c>
      <c r="K693" t="inlineStr">
        <is>
          <t>categoria Cosmos 97</t>
        </is>
      </c>
      <c r="L693" t="inlineStr">
        <is>
          <t>RODONAVES TRANSPORTES E ENCOMENDAS LTDA | 115/97 | PAGTO REF. A FRETE SOBRE NFE</t>
        </is>
      </c>
      <c r="M693" t="inlineStr">
        <is>
          <t>RODONAVES TRANSPORTES E ENCOMENDAS LTDA - PAGTO REF. A FRETE SOBRE NFE</t>
        </is>
      </c>
    </row>
    <row r="694">
      <c r="A694" t="n">
        <v>693</v>
      </c>
      <c r="B694" t="inlineStr">
        <is>
          <t>14/04/2026</t>
        </is>
      </c>
      <c r="C694" t="inlineStr">
        <is>
          <t>REF. A BOLETO PAGO EFITRANS TRANSPORTES LTDA - PAGTO REF. FRETE SOBRE NFE</t>
        </is>
      </c>
      <c r="D694" s="7" t="n">
        <v>-325.11</v>
      </c>
      <c r="E694" t="inlineStr">
        <is>
          <t>312</t>
        </is>
      </c>
      <c r="F694" t="inlineStr">
        <is>
          <t>FRETES E CARRETOS</t>
        </is>
      </c>
      <c r="G694" s="2" t="inlineStr">
        <is>
          <t>312</t>
        </is>
      </c>
      <c r="H694">
        <f>IFERROR(VLOOKUP(G694&amp;"",PLANO!A:B,2,FALSE),"CONTA NAO EXISTE NO PLANO")</f>
        <v/>
      </c>
      <c r="I694" t="inlineStr">
        <is>
          <t>312</t>
        </is>
      </c>
      <c r="J694" t="inlineStr">
        <is>
          <t>OK</t>
        </is>
      </c>
      <c r="K694" t="inlineStr">
        <is>
          <t>categoria Cosmos 4</t>
        </is>
      </c>
      <c r="L694" t="inlineStr">
        <is>
          <t>EFITRANS TRANSPORTES LTDA | 115/4 | PAGTO REF. FRETE SOBRE NFE</t>
        </is>
      </c>
      <c r="M694" t="inlineStr">
        <is>
          <t>EFITRANS TRANSPORTES LTDA - PAGTO REF. FRETE SOBRE NFE</t>
        </is>
      </c>
    </row>
    <row r="695">
      <c r="A695" t="n">
        <v>694</v>
      </c>
      <c r="B695" t="inlineStr">
        <is>
          <t>14/04/2026</t>
        </is>
      </c>
      <c r="C695" t="inlineStr">
        <is>
          <t>COSMOTEC INTERNATIONAL ESPECIALIDADES COSMETICAS LTDA. PAGAMENTO REFERENTE A COMPRA DE MATERIA PRIMA, SFHC400</t>
        </is>
      </c>
      <c r="D695" s="7" t="n">
        <v>-569.48</v>
      </c>
      <c r="E695" t="inlineStr">
        <is>
          <t>506</t>
        </is>
      </c>
      <c r="F695" t="inlineStr">
        <is>
          <t>FORNECEDORES DIVERSOS</t>
        </is>
      </c>
      <c r="G695" s="2" t="inlineStr">
        <is>
          <t>506</t>
        </is>
      </c>
      <c r="H695">
        <f>IFERROR(VLOOKUP(G695&amp;"",PLANO!A:B,2,FALSE),"CONTA NAO EXISTE NO PLANO")</f>
        <v/>
      </c>
      <c r="I695" t="inlineStr">
        <is>
          <t>506</t>
        </is>
      </c>
      <c r="J695" t="inlineStr">
        <is>
          <t>OK</t>
        </is>
      </c>
      <c r="K695" t="inlineStr">
        <is>
          <t>fornecedor com NF</t>
        </is>
      </c>
      <c r="L695" t="inlineStr">
        <is>
          <t>COSMOTEC INTERNATIONAL ESPECIALIDADES COSMETICAS LTDA. | 115/6 | PAGAMENTO REFERENTE A COMPRA DE MATERIA PRIMA, SF HC400</t>
        </is>
      </c>
      <c r="M695" t="inlineStr">
        <is>
          <t>COSMOTEC INTERNATIONAL ESPECIALIDADES COSMETICAS LTDA. - PAGAMENTO REFERENTE A COMPRA DE MATERIA PRIMA, SF HC400</t>
        </is>
      </c>
    </row>
    <row r="696">
      <c r="A696" t="n">
        <v>695</v>
      </c>
      <c r="B696" t="inlineStr">
        <is>
          <t>14/04/2026</t>
        </is>
      </c>
      <c r="C696" t="inlineStr">
        <is>
          <t>REF. A BOLETO PAGO 60512435 ALT</t>
        </is>
      </c>
      <c r="D696" s="7" t="n">
        <v>-540</v>
      </c>
      <c r="E696" t="inlineStr">
        <is>
          <t>506</t>
        </is>
      </c>
      <c r="F696" t="inlineStr">
        <is>
          <t>FORNECEDORES DIVERSOS</t>
        </is>
      </c>
      <c r="G696" s="2" t="inlineStr">
        <is>
          <t>506</t>
        </is>
      </c>
      <c r="H696">
        <f>IFERROR(VLOOKUP(G696&amp;"",PLANO!A:B,2,FALSE),"CONTA NAO EXISTE NO PLANO")</f>
        <v/>
      </c>
      <c r="I696" t="inlineStr">
        <is>
          <t>506</t>
        </is>
      </c>
      <c r="J696" t="inlineStr">
        <is>
          <t>SEM COSMOS</t>
        </is>
      </c>
      <c r="K696" t="inlineStr"/>
      <c r="L696" t="inlineStr"/>
      <c r="M696" t="inlineStr">
        <is>
          <t>BOLETO PAGO 60512435 ALT</t>
        </is>
      </c>
    </row>
    <row r="697">
      <c r="A697" t="n">
        <v>696</v>
      </c>
      <c r="B697" t="inlineStr">
        <is>
          <t>15/04/2026</t>
        </is>
      </c>
      <c r="C697" t="inlineStr">
        <is>
          <t>REF. A MOV TIT COB DISP 15/04S</t>
        </is>
      </c>
      <c r="D697" s="7" t="n">
        <v>1792</v>
      </c>
      <c r="E697" t="inlineStr">
        <is>
          <t>504</t>
        </is>
      </c>
      <c r="F697" t="inlineStr">
        <is>
          <t>CLIENTES DIVERSOS</t>
        </is>
      </c>
      <c r="G697" s="2" t="inlineStr">
        <is>
          <t>504</t>
        </is>
      </c>
      <c r="H697">
        <f>IFERROR(VLOOKUP(G697&amp;"",PLANO!A:B,2,FALSE),"CONTA NAO EXISTE NO PLANO")</f>
        <v/>
      </c>
      <c r="I697" t="inlineStr">
        <is>
          <t>504</t>
        </is>
      </c>
      <c r="J697" t="inlineStr">
        <is>
          <t>SEM COSMOS</t>
        </is>
      </c>
      <c r="K697" t="inlineStr"/>
      <c r="L697" t="inlineStr"/>
      <c r="M697" t="inlineStr">
        <is>
          <t>MOV TIT COB DISP 15/04S</t>
        </is>
      </c>
    </row>
    <row r="698">
      <c r="A698" t="n">
        <v>697</v>
      </c>
      <c r="B698" t="inlineStr">
        <is>
          <t>15/04/2026</t>
        </is>
      </c>
      <c r="C698" t="inlineStr">
        <is>
          <t>REF. A PIX TRANSF JRB COS15/04</t>
        </is>
      </c>
      <c r="D698" s="7" t="n">
        <v>356</v>
      </c>
      <c r="E698" t="inlineStr">
        <is>
          <t>504</t>
        </is>
      </c>
      <c r="F698" t="inlineStr">
        <is>
          <t>CLIENTES DIVERSOS</t>
        </is>
      </c>
      <c r="G698" s="2" t="inlineStr">
        <is>
          <t>504</t>
        </is>
      </c>
      <c r="H698">
        <f>IFERROR(VLOOKUP(G698&amp;"",PLANO!A:B,2,FALSE),"CONTA NAO EXISTE NO PLANO")</f>
        <v/>
      </c>
      <c r="I698" t="inlineStr">
        <is>
          <t>504</t>
        </is>
      </c>
      <c r="J698" t="inlineStr">
        <is>
          <t>SEM COSMOS</t>
        </is>
      </c>
      <c r="K698" t="inlineStr"/>
      <c r="L698" t="inlineStr"/>
      <c r="M698" t="inlineStr">
        <is>
          <t>PIX TRANSF JRB COS15/04</t>
        </is>
      </c>
    </row>
    <row r="699">
      <c r="A699" t="n">
        <v>698</v>
      </c>
      <c r="B699" t="inlineStr">
        <is>
          <t>15/04/2026</t>
        </is>
      </c>
      <c r="C699" t="inlineStr">
        <is>
          <t>REF. A PIX TRANSF MARIA D15/04</t>
        </is>
      </c>
      <c r="D699" s="7" t="n">
        <v>287.4</v>
      </c>
      <c r="E699" t="inlineStr">
        <is>
          <t>504</t>
        </is>
      </c>
      <c r="F699" t="inlineStr">
        <is>
          <t>CLIENTES DIVERSOS</t>
        </is>
      </c>
      <c r="G699" s="2" t="inlineStr">
        <is>
          <t>504</t>
        </is>
      </c>
      <c r="H699">
        <f>IFERROR(VLOOKUP(G699&amp;"",PLANO!A:B,2,FALSE),"CONTA NAO EXISTE NO PLANO")</f>
        <v/>
      </c>
      <c r="I699" t="inlineStr">
        <is>
          <t>504</t>
        </is>
      </c>
      <c r="J699" t="inlineStr">
        <is>
          <t>SEM COSMOS</t>
        </is>
      </c>
      <c r="K699" t="inlineStr"/>
      <c r="L699" t="inlineStr"/>
      <c r="M699" t="inlineStr">
        <is>
          <t>PIX TRANSF MARIA D15/04</t>
        </is>
      </c>
    </row>
    <row r="700">
      <c r="A700" t="n">
        <v>699</v>
      </c>
      <c r="B700" t="inlineStr">
        <is>
          <t>15/04/2026</t>
        </is>
      </c>
      <c r="C700" t="inlineStr">
        <is>
          <t>REF. A PIX TRANSF PERFIL 15/04</t>
        </is>
      </c>
      <c r="D700" s="7" t="n">
        <v>8665.809999999999</v>
      </c>
      <c r="E700" t="inlineStr">
        <is>
          <t>504</t>
        </is>
      </c>
      <c r="F700" t="inlineStr">
        <is>
          <t>CLIENTES DIVERSOS</t>
        </is>
      </c>
      <c r="G700" s="2" t="inlineStr">
        <is>
          <t>504</t>
        </is>
      </c>
      <c r="H700">
        <f>IFERROR(VLOOKUP(G700&amp;"",PLANO!A:B,2,FALSE),"CONTA NAO EXISTE NO PLANO")</f>
        <v/>
      </c>
      <c r="I700" t="inlineStr">
        <is>
          <t>504</t>
        </is>
      </c>
      <c r="J700" t="inlineStr">
        <is>
          <t>SEM COSMOS</t>
        </is>
      </c>
      <c r="K700" t="inlineStr"/>
      <c r="L700" t="inlineStr"/>
      <c r="M700" t="inlineStr">
        <is>
          <t>PIX TRANSF PERFIL 15/04</t>
        </is>
      </c>
    </row>
    <row r="701">
      <c r="A701" t="n">
        <v>700</v>
      </c>
      <c r="B701" t="inlineStr">
        <is>
          <t>15/04/2026</t>
        </is>
      </c>
      <c r="C701" t="inlineStr">
        <is>
          <t>REF. A PIX TRANSF RAFAEL 15/04</t>
        </is>
      </c>
      <c r="D701" s="7" t="n">
        <v>20216</v>
      </c>
      <c r="E701" t="inlineStr">
        <is>
          <t>504</t>
        </is>
      </c>
      <c r="F701" t="inlineStr">
        <is>
          <t>CLIENTES DIVERSOS</t>
        </is>
      </c>
      <c r="G701" s="2" t="inlineStr">
        <is>
          <t>504</t>
        </is>
      </c>
      <c r="H701">
        <f>IFERROR(VLOOKUP(G701&amp;"",PLANO!A:B,2,FALSE),"CONTA NAO EXISTE NO PLANO")</f>
        <v/>
      </c>
      <c r="I701" t="inlineStr">
        <is>
          <t>504</t>
        </is>
      </c>
      <c r="J701" t="inlineStr">
        <is>
          <t>SEM COSMOS</t>
        </is>
      </c>
      <c r="K701" t="inlineStr"/>
      <c r="L701" t="inlineStr"/>
      <c r="M701" t="inlineStr">
        <is>
          <t>PIX TRANSF RAFAEL 15/04</t>
        </is>
      </c>
    </row>
    <row r="702">
      <c r="A702" t="n">
        <v>701</v>
      </c>
      <c r="B702" t="inlineStr">
        <is>
          <t>15/04/2026</t>
        </is>
      </c>
      <c r="C702" t="inlineStr">
        <is>
          <t>REF. A TED 363.0001.RNX F M D R</t>
        </is>
      </c>
      <c r="D702" s="7" t="n">
        <v>16601</v>
      </c>
      <c r="E702" t="inlineStr">
        <is>
          <t>504</t>
        </is>
      </c>
      <c r="F702" t="inlineStr">
        <is>
          <t>CLIENTES DIVERSOS</t>
        </is>
      </c>
      <c r="G702" s="2" t="inlineStr">
        <is>
          <t>504</t>
        </is>
      </c>
      <c r="H702">
        <f>IFERROR(VLOOKUP(G702&amp;"",PLANO!A:B,2,FALSE),"CONTA NAO EXISTE NO PLANO")</f>
        <v/>
      </c>
      <c r="I702" t="inlineStr">
        <is>
          <t>504</t>
        </is>
      </c>
      <c r="J702" t="inlineStr">
        <is>
          <t>SEM COSMOS</t>
        </is>
      </c>
      <c r="K702" t="inlineStr"/>
      <c r="L702" t="inlineStr"/>
      <c r="M702" t="inlineStr">
        <is>
          <t>TED 363.0001.RNX F M D R</t>
        </is>
      </c>
    </row>
    <row r="703">
      <c r="A703" s="4" t="n">
        <v>702</v>
      </c>
      <c r="B703" s="4" t="inlineStr">
        <is>
          <t>15/04/2026</t>
        </is>
      </c>
      <c r="C703" s="4" t="inlineStr">
        <is>
          <t>REF. A PIX ENVIADO COSMETICON C (OUTRAS SAIDAS)</t>
        </is>
      </c>
      <c r="D703" s="5" t="n">
        <v>-40000</v>
      </c>
      <c r="E703" s="4" t="inlineStr">
        <is>
          <t>664</t>
        </is>
      </c>
      <c r="F703" s="4" t="inlineStr">
        <is>
          <t>COSMETICON COMERCIO DE COSMETICOS LTDA</t>
        </is>
      </c>
      <c r="G703" s="6" t="inlineStr">
        <is>
          <t>663</t>
        </is>
      </c>
      <c r="H703" s="4">
        <f>IFERROR(VLOOKUP(G703&amp;"",PLANO!A:B,2,FALSE),"CONTA NAO EXISTE NO PLANO")</f>
        <v/>
      </c>
      <c r="I703" s="4" t="inlineStr">
        <is>
          <t>663</t>
        </is>
      </c>
      <c r="J703" s="4" t="inlineStr">
        <is>
          <t>AJUSTADO</t>
        </is>
      </c>
      <c r="K703" s="4" t="inlineStr">
        <is>
          <t>COSMETICON - conta-corrente unica de mutuo (663)</t>
        </is>
      </c>
      <c r="L703" s="4" t="inlineStr">
        <is>
          <t xml:space="preserve">OUTRAS SAIDAS | 123/100 | </t>
        </is>
      </c>
      <c r="M703" s="4" t="inlineStr">
        <is>
          <t>PIX ENVIADO COSMETICON C (OUTRAS SAIDAS)</t>
        </is>
      </c>
    </row>
    <row r="704">
      <c r="A704" s="8" t="n">
        <v>703</v>
      </c>
      <c r="B704" s="8" t="inlineStr">
        <is>
          <t>15/04/2026</t>
        </is>
      </c>
      <c r="C704" s="8" t="inlineStr">
        <is>
          <t>REF. A BOLETO PAGO URBANO SA SO</t>
        </is>
      </c>
      <c r="D704" s="9" t="n">
        <v>-181.6</v>
      </c>
      <c r="E704" s="8" t="inlineStr">
        <is>
          <t>350</t>
        </is>
      </c>
      <c r="F704" s="8" t="inlineStr">
        <is>
          <t>TAXAS DIVERSAS</t>
        </is>
      </c>
      <c r="G704" s="10" t="inlineStr">
        <is>
          <t>312</t>
        </is>
      </c>
      <c r="H704" s="8">
        <f>IFERROR(VLOOKUP(G704&amp;"",PLANO!A:B,2,FALSE),"CONTA NAO EXISTE NO PLANO")</f>
        <v/>
      </c>
      <c r="I704" s="8" t="inlineStr">
        <is>
          <t>312</t>
        </is>
      </c>
      <c r="J704" s="8" t="inlineStr">
        <is>
          <t>CORRIGIR</t>
        </is>
      </c>
      <c r="K704" s="8" t="inlineStr">
        <is>
          <t>categoria Cosmos 97</t>
        </is>
      </c>
      <c r="L704" s="8" t="inlineStr">
        <is>
          <t>BRASPRESS TRANSPORTES URGENTES LTDA | 115/97 | PAGTO REF. VENDAS S/NFE</t>
        </is>
      </c>
      <c r="M704" s="8" t="inlineStr">
        <is>
          <t>BRASPRESS TRANSPORTES URGENTES LTDA - PAGTO REF. VENDAS S/NFE</t>
        </is>
      </c>
    </row>
    <row r="705">
      <c r="A705" t="n">
        <v>704</v>
      </c>
      <c r="B705" t="inlineStr">
        <is>
          <t>15/04/2026</t>
        </is>
      </c>
      <c r="C705" t="inlineStr">
        <is>
          <t>REF. A BOLETO PAGO DENTAL UNI COOPERATIVA ODONTOLOGICA PGTO REF.PRESTAÇÃO DE SERVIÇOS</t>
        </is>
      </c>
      <c r="D705" s="7" t="n">
        <v>-190.73</v>
      </c>
      <c r="E705" t="inlineStr">
        <is>
          <t>628</t>
        </is>
      </c>
      <c r="F705" t="inlineStr">
        <is>
          <t>PLANO ODONTOLOGICO</t>
        </is>
      </c>
      <c r="G705" s="2" t="inlineStr">
        <is>
          <t>628</t>
        </is>
      </c>
      <c r="H705">
        <f>IFERROR(VLOOKUP(G705&amp;"",PLANO!A:B,2,FALSE),"CONTA NAO EXISTE NO PLANO")</f>
        <v/>
      </c>
      <c r="I705" t="inlineStr">
        <is>
          <t>628</t>
        </is>
      </c>
      <c r="J705" t="inlineStr">
        <is>
          <t>OK</t>
        </is>
      </c>
      <c r="K705" t="inlineStr">
        <is>
          <t>categoria Cosmos 89</t>
        </is>
      </c>
      <c r="L705" t="inlineStr">
        <is>
          <t>DENTAL UNI COOPERATIVA ODONTOLOGICA | 115/89 | PGTO REF.PRESTAÇÃO DE SERVIÇOS</t>
        </is>
      </c>
      <c r="M705" t="inlineStr">
        <is>
          <t>DENTAL UNI COOPERATIVA ODONTOLOGICA - PGTO REF.PRESTAÇÃO DE SERVIÇOS</t>
        </is>
      </c>
    </row>
    <row r="706">
      <c r="A706" s="11" t="n">
        <v>705</v>
      </c>
      <c r="B706" s="11" t="inlineStr">
        <is>
          <t>15/04/2026</t>
        </is>
      </c>
      <c r="C706" s="11" t="inlineStr">
        <is>
          <t>REF. A BOLETO PAGO E.J. KRIEGER &amp; CIA LTDA 115 8 7 0,00 1.442,44 -776.184,51PAGTO REF. A MANUTENÇÃO</t>
        </is>
      </c>
      <c r="D706" s="12" t="n">
        <v>-1442.44</v>
      </c>
      <c r="E706" s="11" t="inlineStr">
        <is>
          <t>506</t>
        </is>
      </c>
      <c r="F706" s="11" t="inlineStr">
        <is>
          <t>FORNECEDORES DIVERSOS</t>
        </is>
      </c>
      <c r="G706" s="13" t="inlineStr">
        <is>
          <t>506</t>
        </is>
      </c>
      <c r="H706" s="11">
        <f>IFERROR(VLOOKUP(G706&amp;"",PLANO!A:B,2,FALSE),"CONTA NAO EXISTE NO PLANO")</f>
        <v/>
      </c>
      <c r="I706" s="11" t="inlineStr">
        <is>
          <t>506</t>
        </is>
      </c>
      <c r="J706" s="11" t="inlineStr">
        <is>
          <t>MANTIDO</t>
        </is>
      </c>
      <c r="K706" s="11" t="inlineStr">
        <is>
          <t>material laboratorio/embalagem consumo | mantida a conta atual (sem informacao que justifique troca)</t>
        </is>
      </c>
      <c r="L706" s="11" t="inlineStr">
        <is>
          <t>E.J. KRIEGER &amp; CIA LTDA | 115/8 | PAGTO REF. A MANUTENÇÃO</t>
        </is>
      </c>
      <c r="M706" s="11" t="inlineStr">
        <is>
          <t>E.J. KRIEGER &amp; CIA LTDA - PAGTO REF. A MANUTENÇÃO</t>
        </is>
      </c>
    </row>
    <row r="707">
      <c r="A707" s="11" t="n">
        <v>706</v>
      </c>
      <c r="B707" s="11" t="inlineStr">
        <is>
          <t>15/04/2026</t>
        </is>
      </c>
      <c r="C707" s="11" t="inlineStr">
        <is>
          <t>REF. A BOLETO PAGO ECOPLUS - LAVANDERIA INDUSTRIAL - EIRELI - PAGTO REF. A LOCAÇAO DE TOALHAS INDUSTRIAIS</t>
        </is>
      </c>
      <c r="D707" s="12" t="n">
        <v>-672</v>
      </c>
      <c r="E707" s="11" t="inlineStr">
        <is>
          <t>506</t>
        </is>
      </c>
      <c r="F707" s="11" t="inlineStr">
        <is>
          <t>FORNECEDORES DIVERSOS</t>
        </is>
      </c>
      <c r="G707" s="13" t="inlineStr">
        <is>
          <t>506</t>
        </is>
      </c>
      <c r="H707" s="11">
        <f>IFERROR(VLOOKUP(G707&amp;"",PLANO!A:B,2,FALSE),"CONTA NAO EXISTE NO PLANO")</f>
        <v/>
      </c>
      <c r="I707" s="11" t="inlineStr">
        <is>
          <t>506</t>
        </is>
      </c>
      <c r="J707" s="11" t="inlineStr">
        <is>
          <t>MANTIDO</t>
        </is>
      </c>
      <c r="K707" s="11" t="inlineStr">
        <is>
          <t>servicos diversos (lavanderia, dedetizacao, contabilidade, Plus Sante) | mantida a conta atual (sem informacao que justifique troca)</t>
        </is>
      </c>
      <c r="L707" s="11" t="inlineStr">
        <is>
          <t>ECOPLUS LAVANDERIA INDUSTRIAL EIRELI | 115/45 | PAGTO REF. A LOCAÇAO DE TOALHAS INDUSTRIAIS</t>
        </is>
      </c>
      <c r="M707" s="11" t="inlineStr">
        <is>
          <t>ECOPLUS LAVANDERIA INDUSTRIAL EIRELI - PAGTO REF. A LOCAÇAO DE TOALHAS INDUSTRIAIS</t>
        </is>
      </c>
    </row>
    <row r="708">
      <c r="A708" s="11" t="n">
        <v>707</v>
      </c>
      <c r="B708" s="11" t="inlineStr">
        <is>
          <t>15/04/2026</t>
        </is>
      </c>
      <c r="C708" s="11" t="inlineStr">
        <is>
          <t>REF. A BOLETO PAGO M. GRINGS E CIA LTDA ME - PGTO REF.SERVIÇOS DE COPIADORA</t>
        </is>
      </c>
      <c r="D708" s="12" t="n">
        <v>-1137.39</v>
      </c>
      <c r="E708" s="11" t="inlineStr">
        <is>
          <t>506</t>
        </is>
      </c>
      <c r="F708" s="11" t="inlineStr">
        <is>
          <t>FORNECEDORES DIVERSOS</t>
        </is>
      </c>
      <c r="G708" s="13" t="inlineStr">
        <is>
          <t>506</t>
        </is>
      </c>
      <c r="H708" s="11">
        <f>IFERROR(VLOOKUP(G708&amp;"",PLANO!A:B,2,FALSE),"CONTA NAO EXISTE NO PLANO")</f>
        <v/>
      </c>
      <c r="I708" s="11" t="inlineStr">
        <is>
          <t>506</t>
        </is>
      </c>
      <c r="J708" s="11" t="inlineStr">
        <is>
          <t>MANTIDO</t>
        </is>
      </c>
      <c r="K708" s="11" t="inlineStr">
        <is>
          <t>sistemas/VR beneficios/desenvolvimento | mantida a conta atual (sem informacao que justifique troca)</t>
        </is>
      </c>
      <c r="L708" s="11" t="inlineStr">
        <is>
          <t>M. GRINGS E CIA LTDA ME | 115/47 | PGTO REF.SERVIÇOS DE COPIADORA</t>
        </is>
      </c>
      <c r="M708" s="11" t="inlineStr">
        <is>
          <t>M. GRINGS E CIA LTDA ME - PGTO REF.SERVIÇOS DE COPIADORA</t>
        </is>
      </c>
    </row>
    <row r="709">
      <c r="A709" t="n">
        <v>708</v>
      </c>
      <c r="B709" t="inlineStr">
        <is>
          <t>15/04/2026</t>
        </is>
      </c>
      <c r="C709" t="inlineStr">
        <is>
          <t>AZUL LINHAS AEREAS BRASILEIRAS S.A.PAG REF A FRETE SOBRE VENDAS</t>
        </is>
      </c>
      <c r="D709" s="7" t="n">
        <v>-200</v>
      </c>
      <c r="E709" t="inlineStr">
        <is>
          <t>312</t>
        </is>
      </c>
      <c r="F709" t="inlineStr">
        <is>
          <t>FRETES E CARRETOS</t>
        </is>
      </c>
      <c r="G709" s="2" t="inlineStr">
        <is>
          <t>312</t>
        </is>
      </c>
      <c r="H709">
        <f>IFERROR(VLOOKUP(G709&amp;"",PLANO!A:B,2,FALSE),"CONTA NAO EXISTE NO PLANO")</f>
        <v/>
      </c>
      <c r="I709" t="inlineStr">
        <is>
          <t>312</t>
        </is>
      </c>
      <c r="J709" t="inlineStr">
        <is>
          <t>OK</t>
        </is>
      </c>
      <c r="K709" t="inlineStr">
        <is>
          <t>categoria Cosmos 97</t>
        </is>
      </c>
      <c r="L709" t="inlineStr">
        <is>
          <t>AZUL LINHAS AEREAS BRASILEIRAS S.A. | 115/97 | PAG REF A FRETE SOBRE VENDAS</t>
        </is>
      </c>
      <c r="M709" t="inlineStr">
        <is>
          <t>AZUL LINHAS AEREAS BRASILEIRAS S.A. - PAG REF A FRETE SOBRE VENDAS</t>
        </is>
      </c>
    </row>
    <row r="710">
      <c r="A710" t="n">
        <v>709</v>
      </c>
      <c r="B710" t="inlineStr">
        <is>
          <t>15/04/2026</t>
        </is>
      </c>
      <c r="C710" t="inlineStr">
        <is>
          <t>REF. A BOLETO PAGO RAPIDO BRASPRESS TRANSPORTES URGENTES LTDA PAGTO REF. VENDAS S/NFE</t>
        </is>
      </c>
      <c r="D710" s="7" t="n">
        <v>-181.5</v>
      </c>
      <c r="E710" t="inlineStr">
        <is>
          <t>312</t>
        </is>
      </c>
      <c r="F710" t="inlineStr">
        <is>
          <t>FRETES E CARRETOS</t>
        </is>
      </c>
      <c r="G710" s="2" t="inlineStr">
        <is>
          <t>312</t>
        </is>
      </c>
      <c r="H710">
        <f>IFERROR(VLOOKUP(G710&amp;"",PLANO!A:B,2,FALSE),"CONTA NAO EXISTE NO PLANO")</f>
        <v/>
      </c>
      <c r="I710" t="inlineStr">
        <is>
          <t>312</t>
        </is>
      </c>
      <c r="J710" t="inlineStr">
        <is>
          <t>OK</t>
        </is>
      </c>
      <c r="K710" t="inlineStr">
        <is>
          <t>categoria Cosmos 4</t>
        </is>
      </c>
      <c r="L710" t="inlineStr">
        <is>
          <t>RAPIDO ABC TRANSPORTES LTDA | 115/4 | PAGAMENTO REFERENTE A FRETE SOBRE COMPRA</t>
        </is>
      </c>
      <c r="M710" t="inlineStr">
        <is>
          <t>RAPIDO ABC TRANSPORTES LTDA - PAGAMENTO REFERENTE A FRETE SOBRE COMPRA</t>
        </is>
      </c>
    </row>
    <row r="711">
      <c r="A711" t="n">
        <v>710</v>
      </c>
      <c r="B711" t="inlineStr">
        <is>
          <t>15/04/2026</t>
        </is>
      </c>
      <c r="C711" t="inlineStr">
        <is>
          <t>REF. A BOLETO PAGO AGENCIA NACIONAL DE VIGILANCIA SANITARIA PGTO REF. REGISTRO PRODUTOS COSMETICOS</t>
        </is>
      </c>
      <c r="D711" s="7" t="n">
        <v>-244.05</v>
      </c>
      <c r="E711" t="inlineStr">
        <is>
          <t>350</t>
        </is>
      </c>
      <c r="F711" t="inlineStr">
        <is>
          <t>TAXAS DIVERSAS</t>
        </is>
      </c>
      <c r="G711" s="2" t="inlineStr">
        <is>
          <t>350</t>
        </is>
      </c>
      <c r="H711">
        <f>IFERROR(VLOOKUP(G711&amp;"",PLANO!A:B,2,FALSE),"CONTA NAO EXISTE NO PLANO")</f>
        <v/>
      </c>
      <c r="I711" t="inlineStr">
        <is>
          <t>350</t>
        </is>
      </c>
      <c r="J711" t="inlineStr">
        <is>
          <t>OK</t>
        </is>
      </c>
      <c r="K711" t="inlineStr">
        <is>
          <t>categoria Cosmos 128</t>
        </is>
      </c>
      <c r="L711" t="inlineStr">
        <is>
          <t>AGENCIA NACIONAL DE VIGILANCIA SANITARIA | 115/128 | PGTO REF. REGISTRO PRODUTOS COSMETICOS</t>
        </is>
      </c>
      <c r="M711" t="inlineStr">
        <is>
          <t>AGENCIA NACIONAL DE VIGILANCIA SANITARIA - PGTO REF. REGISTRO PRODUTOS COSMETICOS</t>
        </is>
      </c>
    </row>
    <row r="712">
      <c r="A712" s="11" t="n">
        <v>711</v>
      </c>
      <c r="B712" s="11" t="inlineStr">
        <is>
          <t>15/04/2026</t>
        </is>
      </c>
      <c r="C712" s="11" t="inlineStr">
        <is>
          <t>REF. A BOLETO PAGO PENSU EXACTU COMERCIO E SERVICOS DE EQUIPAMENTOS METROLOGICOS PAGTO REF. PRESTAÇÃO DE SERVIÇOS</t>
        </is>
      </c>
      <c r="D712" s="12" t="n">
        <v>-612.25</v>
      </c>
      <c r="E712" s="11" t="inlineStr">
        <is>
          <t>506</t>
        </is>
      </c>
      <c r="F712" s="11" t="inlineStr">
        <is>
          <t>FORNECEDORES DIVERSOS</t>
        </is>
      </c>
      <c r="G712" s="13" t="inlineStr">
        <is>
          <t>506</t>
        </is>
      </c>
      <c r="H712" s="11">
        <f>IFERROR(VLOOKUP(G712&amp;"",PLANO!A:B,2,FALSE),"CONTA NAO EXISTE NO PLANO")</f>
        <v/>
      </c>
      <c r="I712" s="11" t="inlineStr">
        <is>
          <t>362</t>
        </is>
      </c>
      <c r="J712" s="11" t="inlineStr">
        <is>
          <t>MANTIDO</t>
        </is>
      </c>
      <c r="K712" s="11" t="inlineStr">
        <is>
          <t>Cosmos: servicos/comissao lancado em 506 - se houver NFS-e lancada no fiscal, 506 esta certo | mantida a conta atual (sem informacao que justifique troca)</t>
        </is>
      </c>
      <c r="L712" s="11" t="inlineStr">
        <is>
          <t>PENSU EXACTU COMERCIO E SERVICOS DE EQUIPAMENTOS METROLOGICOS LTDA | 115/172 | PAGTO REF. PRESTAÇÃO DE SERVIÇOS</t>
        </is>
      </c>
      <c r="M712" s="11" t="inlineStr">
        <is>
          <t>PENSU EXACTU COMERCIO E SERVICOS DE EQUIPAMENTOS METROLOGICOS LTDA - PAGTO REF. PRESTAÇÃO DE SERVIÇOS</t>
        </is>
      </c>
    </row>
    <row r="713">
      <c r="A713" t="n">
        <v>712</v>
      </c>
      <c r="B713" t="inlineStr">
        <is>
          <t>16/04/2026</t>
        </is>
      </c>
      <c r="C713" t="inlineStr">
        <is>
          <t>REF. A REDE MAST AT0081996543</t>
        </is>
      </c>
      <c r="D713" s="7" t="n">
        <v>2963.4</v>
      </c>
      <c r="E713" t="inlineStr">
        <is>
          <t>504</t>
        </is>
      </c>
      <c r="F713" t="inlineStr">
        <is>
          <t>CLIENTES DIVERSOS</t>
        </is>
      </c>
      <c r="G713" s="2" t="inlineStr">
        <is>
          <t>504</t>
        </is>
      </c>
      <c r="H713">
        <f>IFERROR(VLOOKUP(G713&amp;"",PLANO!A:B,2,FALSE),"CONTA NAO EXISTE NO PLANO")</f>
        <v/>
      </c>
      <c r="I713" t="inlineStr">
        <is>
          <t>504</t>
        </is>
      </c>
      <c r="J713" t="inlineStr">
        <is>
          <t>SEM COSMOS</t>
        </is>
      </c>
      <c r="K713" t="inlineStr"/>
      <c r="L713" t="inlineStr"/>
      <c r="M713" t="inlineStr">
        <is>
          <t>REDE MAST AT0081996543</t>
        </is>
      </c>
    </row>
    <row r="714">
      <c r="A714" t="n">
        <v>713</v>
      </c>
      <c r="B714" t="inlineStr">
        <is>
          <t>16/04/2026</t>
        </is>
      </c>
      <c r="C714" t="inlineStr">
        <is>
          <t>REF. A REDE VISA AT0081996543</t>
        </is>
      </c>
      <c r="D714" s="7" t="n">
        <v>4052.81</v>
      </c>
      <c r="E714" t="inlineStr">
        <is>
          <t>504</t>
        </is>
      </c>
      <c r="F714" t="inlineStr">
        <is>
          <t>CLIENTES DIVERSOS</t>
        </is>
      </c>
      <c r="G714" s="2" t="inlineStr">
        <is>
          <t>504</t>
        </is>
      </c>
      <c r="H714">
        <f>IFERROR(VLOOKUP(G714&amp;"",PLANO!A:B,2,FALSE),"CONTA NAO EXISTE NO PLANO")</f>
        <v/>
      </c>
      <c r="I714" t="inlineStr">
        <is>
          <t>504</t>
        </is>
      </c>
      <c r="J714" t="inlineStr">
        <is>
          <t>SEM COSMOS</t>
        </is>
      </c>
      <c r="K714" t="inlineStr"/>
      <c r="L714" t="inlineStr"/>
      <c r="M714" t="inlineStr">
        <is>
          <t>REDE VISA AT0081996543</t>
        </is>
      </c>
    </row>
    <row r="715">
      <c r="A715" t="n">
        <v>714</v>
      </c>
      <c r="B715" t="inlineStr">
        <is>
          <t>16/04/2026</t>
        </is>
      </c>
      <c r="C715" t="inlineStr">
        <is>
          <t>REF. A PIX TRANSF CELSO M16/04</t>
        </is>
      </c>
      <c r="D715" s="7" t="n">
        <v>49.42</v>
      </c>
      <c r="E715" t="inlineStr">
        <is>
          <t>504</t>
        </is>
      </c>
      <c r="F715" t="inlineStr">
        <is>
          <t>CLIENTES DIVERSOS</t>
        </is>
      </c>
      <c r="G715" s="2" t="inlineStr">
        <is>
          <t>504</t>
        </is>
      </c>
      <c r="H715">
        <f>IFERROR(VLOOKUP(G715&amp;"",PLANO!A:B,2,FALSE),"CONTA NAO EXISTE NO PLANO")</f>
        <v/>
      </c>
      <c r="I715" t="inlineStr">
        <is>
          <t>504</t>
        </is>
      </c>
      <c r="J715" t="inlineStr">
        <is>
          <t>SEM COSMOS</t>
        </is>
      </c>
      <c r="K715" t="inlineStr"/>
      <c r="L715" t="inlineStr"/>
      <c r="M715" t="inlineStr">
        <is>
          <t>PIX TRANSF CELSO M16/04</t>
        </is>
      </c>
    </row>
    <row r="716">
      <c r="A716" t="n">
        <v>715</v>
      </c>
      <c r="B716" t="inlineStr">
        <is>
          <t>16/04/2026</t>
        </is>
      </c>
      <c r="C716" t="inlineStr">
        <is>
          <t>REF. A TED 363.0001.RNX F M D R</t>
        </is>
      </c>
      <c r="D716" s="7" t="n">
        <v>14738.18</v>
      </c>
      <c r="E716" t="inlineStr">
        <is>
          <t>504</t>
        </is>
      </c>
      <c r="F716" t="inlineStr">
        <is>
          <t>CLIENTES DIVERSOS</t>
        </is>
      </c>
      <c r="G716" s="2" t="inlineStr">
        <is>
          <t>504</t>
        </is>
      </c>
      <c r="H716">
        <f>IFERROR(VLOOKUP(G716&amp;"",PLANO!A:B,2,FALSE),"CONTA NAO EXISTE NO PLANO")</f>
        <v/>
      </c>
      <c r="I716" t="inlineStr">
        <is>
          <t>504</t>
        </is>
      </c>
      <c r="J716" t="inlineStr">
        <is>
          <t>SEM COSMOS</t>
        </is>
      </c>
      <c r="K716" t="inlineStr"/>
      <c r="L716" t="inlineStr"/>
      <c r="M716" t="inlineStr">
        <is>
          <t>TED 363.0001.RNX F M D R</t>
        </is>
      </c>
    </row>
    <row r="717">
      <c r="A717" t="n">
        <v>716</v>
      </c>
      <c r="B717" t="inlineStr">
        <is>
          <t>16/04/2026</t>
        </is>
      </c>
      <c r="C717" t="inlineStr">
        <is>
          <t>REF. A SISPAG CONCESSIONARIA COPEL DISTRIBUICAO PGTO REF. DISTRIBUIÇÃO E CONSUMO DE ENERGIA</t>
        </is>
      </c>
      <c r="D717" s="7" t="n">
        <v>-4371.76</v>
      </c>
      <c r="E717" t="inlineStr">
        <is>
          <t>354</t>
        </is>
      </c>
      <c r="F717" t="inlineStr">
        <is>
          <t>ENERGIA ELÉTRICA</t>
        </is>
      </c>
      <c r="G717" s="2" t="inlineStr">
        <is>
          <t>354</t>
        </is>
      </c>
      <c r="H717">
        <f>IFERROR(VLOOKUP(G717&amp;"",PLANO!A:B,2,FALSE),"CONTA NAO EXISTE NO PLANO")</f>
        <v/>
      </c>
      <c r="I717" t="inlineStr">
        <is>
          <t>354</t>
        </is>
      </c>
      <c r="J717" t="inlineStr">
        <is>
          <t>OK</t>
        </is>
      </c>
      <c r="K717" t="inlineStr">
        <is>
          <t>categoria Cosmos 13</t>
        </is>
      </c>
      <c r="L717" t="inlineStr">
        <is>
          <t>COPEL DISTRIBUICAO S.A. | 115/13 | PGTO REF. DISTRIBUIÇÃO E CONSUMO DE ENERGIA</t>
        </is>
      </c>
      <c r="M717" t="inlineStr">
        <is>
          <t>COPEL DISTRIBUICAO S.A. - PGTO REF. DISTRIBUIÇÃO E CONSUMO DE ENERGIA</t>
        </is>
      </c>
    </row>
    <row r="718">
      <c r="A718" t="n">
        <v>717</v>
      </c>
      <c r="B718" t="inlineStr">
        <is>
          <t>16/04/2026</t>
        </is>
      </c>
      <c r="C718" t="inlineStr">
        <is>
          <t>EMPRESA BRASILEIRA DE CORREIOS E TELEGRAFOS PAGTO REF. A FRETE SOBRE VENDAS CORREIOS</t>
        </is>
      </c>
      <c r="D718" s="7" t="n">
        <v>-2000</v>
      </c>
      <c r="E718" t="inlineStr">
        <is>
          <t>312</t>
        </is>
      </c>
      <c r="F718" t="inlineStr">
        <is>
          <t>FRETES E CARRETOS</t>
        </is>
      </c>
      <c r="G718" s="2" t="inlineStr">
        <is>
          <t>312</t>
        </is>
      </c>
      <c r="H718">
        <f>IFERROR(VLOOKUP(G718&amp;"",PLANO!A:B,2,FALSE),"CONTA NAO EXISTE NO PLANO")</f>
        <v/>
      </c>
      <c r="I718" t="inlineStr">
        <is>
          <t>312</t>
        </is>
      </c>
      <c r="J718" t="inlineStr">
        <is>
          <t>OK</t>
        </is>
      </c>
      <c r="K718" t="inlineStr">
        <is>
          <t>categoria Cosmos 97</t>
        </is>
      </c>
      <c r="L718" t="inlineStr">
        <is>
          <t>EMPRESA BRASILEIRA DE CORREIOS E TELEGRAFOS | 115/97 | PAGTO REF. A FRETE SOBRE VENDAS CORREIOS</t>
        </is>
      </c>
      <c r="M718" t="inlineStr">
        <is>
          <t>EMPRESA BRASILEIRA DE CORREIOS E TELEGRAFOS - PAGTO REF. A FRETE SOBRE VENDAS CORREIOS</t>
        </is>
      </c>
    </row>
    <row r="719">
      <c r="A719" s="4" t="n">
        <v>718</v>
      </c>
      <c r="B719" s="4" t="inlineStr">
        <is>
          <t>16/04/2026</t>
        </is>
      </c>
      <c r="C719" s="4" t="inlineStr">
        <is>
          <t>REF. A PIX ENVIADO COSMETICON C - OUTRAS SAIDAS</t>
        </is>
      </c>
      <c r="D719" s="5" t="n">
        <v>-2000</v>
      </c>
      <c r="E719" s="4" t="inlineStr">
        <is>
          <t>664</t>
        </is>
      </c>
      <c r="F719" s="4" t="inlineStr">
        <is>
          <t>COSMETICON COMERCIO DE COSMETICOS LTDA</t>
        </is>
      </c>
      <c r="G719" s="6" t="inlineStr">
        <is>
          <t>663</t>
        </is>
      </c>
      <c r="H719" s="4">
        <f>IFERROR(VLOOKUP(G719&amp;"",PLANO!A:B,2,FALSE),"CONTA NAO EXISTE NO PLANO")</f>
        <v/>
      </c>
      <c r="I719" s="4" t="inlineStr">
        <is>
          <t>663</t>
        </is>
      </c>
      <c r="J719" s="4" t="inlineStr">
        <is>
          <t>AJUSTADO</t>
        </is>
      </c>
      <c r="K719" s="4" t="inlineStr">
        <is>
          <t>COSMETICON - conta-corrente unica de mutuo (663)</t>
        </is>
      </c>
      <c r="L719" s="4" t="inlineStr">
        <is>
          <t xml:space="preserve">OUTRAS SAIDAS | 123/71 | </t>
        </is>
      </c>
      <c r="M719" s="4" t="inlineStr">
        <is>
          <t>PIX ENVIADO COSMETICON C - OUTRAS SAIDAS</t>
        </is>
      </c>
    </row>
    <row r="720">
      <c r="A720" t="n">
        <v>719</v>
      </c>
      <c r="B720" t="inlineStr">
        <is>
          <t>16/04/2026</t>
        </is>
      </c>
      <c r="C720" t="inlineStr">
        <is>
          <t>REF. A PIX ENVIADO RODONAVES TRANSPORTES E ENCOMENDAS LTDA PAGTO REF. A FRETE SOBRE NFE</t>
        </is>
      </c>
      <c r="D720" s="7" t="n">
        <v>-319.81</v>
      </c>
      <c r="E720" t="inlineStr">
        <is>
          <t>312</t>
        </is>
      </c>
      <c r="F720" t="inlineStr">
        <is>
          <t>FRETES E CARRETOS</t>
        </is>
      </c>
      <c r="G720" s="2" t="inlineStr">
        <is>
          <t>312</t>
        </is>
      </c>
      <c r="H720">
        <f>IFERROR(VLOOKUP(G720&amp;"",PLANO!A:B,2,FALSE),"CONTA NAO EXISTE NO PLANO")</f>
        <v/>
      </c>
      <c r="I720" t="inlineStr">
        <is>
          <t>312</t>
        </is>
      </c>
      <c r="J720" t="inlineStr">
        <is>
          <t>OK</t>
        </is>
      </c>
      <c r="K720" t="inlineStr">
        <is>
          <t>categoria Cosmos 97</t>
        </is>
      </c>
      <c r="L720" t="inlineStr">
        <is>
          <t>RODONAVES TRANSPORTES E ENCOMENDAS LTDA | 115/97 | PAGTO REF. A FRETE SOBRE NFE</t>
        </is>
      </c>
      <c r="M720" t="inlineStr">
        <is>
          <t>RODONAVES TRANSPORTES E ENCOMENDAS LTDA - PAGTO REF. A FRETE SOBRE NFE</t>
        </is>
      </c>
    </row>
    <row r="721">
      <c r="A721" t="n">
        <v>720</v>
      </c>
      <c r="B721" t="inlineStr">
        <is>
          <t>16/04/2026</t>
        </is>
      </c>
      <c r="C721" t="inlineStr">
        <is>
          <t>SKIN LAB INDUSTRIA E COMERCIO DE COSMETICOS LTDA PAGAMENTO REFERENTE A COMPRA DE MATERIA PRIMA,OLEO MINERAL 2TON</t>
        </is>
      </c>
      <c r="D721" s="7" t="n">
        <v>-6480</v>
      </c>
      <c r="E721" t="inlineStr">
        <is>
          <t>506</t>
        </is>
      </c>
      <c r="F721" t="inlineStr">
        <is>
          <t>FORNECEDORES DIVERSOS</t>
        </is>
      </c>
      <c r="G721" s="2" t="inlineStr">
        <is>
          <t>506</t>
        </is>
      </c>
      <c r="H721">
        <f>IFERROR(VLOOKUP(G721&amp;"",PLANO!A:B,2,FALSE),"CONTA NAO EXISTE NO PLANO")</f>
        <v/>
      </c>
      <c r="I721" t="inlineStr">
        <is>
          <t>506</t>
        </is>
      </c>
      <c r="J721" t="inlineStr">
        <is>
          <t>OK</t>
        </is>
      </c>
      <c r="K721" t="inlineStr">
        <is>
          <t>fornecedor com NF</t>
        </is>
      </c>
      <c r="L721" t="inlineStr">
        <is>
          <t>SKIN LAB INDUSTRIA E COMERCIO DE COSMETICOS LTDA | 115/6 | PAGAMENTO REFERENTE A COMPRA DE MATERIA PRIMA, OLEO MINERAL 2TON</t>
        </is>
      </c>
      <c r="M721" t="inlineStr">
        <is>
          <t>SKIN LAB INDUSTRIA E COMERCIO DE COSMETICOS LTDA - PAGAMENTO REFERENTE A COMPRA DE MATERIA PRIMA, OLEO MINERAL 2TON</t>
        </is>
      </c>
    </row>
    <row r="722">
      <c r="A722" t="n">
        <v>721</v>
      </c>
      <c r="B722" t="inlineStr">
        <is>
          <t>17/04/2026</t>
        </is>
      </c>
      <c r="C722" t="inlineStr">
        <is>
          <t>REF. A REDE MAST AT0081996543</t>
        </is>
      </c>
      <c r="D722" s="7" t="n">
        <v>1697.41</v>
      </c>
      <c r="E722" t="inlineStr">
        <is>
          <t>504</t>
        </is>
      </c>
      <c r="F722" t="inlineStr">
        <is>
          <t>CLIENTES DIVERSOS</t>
        </is>
      </c>
      <c r="G722" s="2" t="inlineStr">
        <is>
          <t>504</t>
        </is>
      </c>
      <c r="H722">
        <f>IFERROR(VLOOKUP(G722&amp;"",PLANO!A:B,2,FALSE),"CONTA NAO EXISTE NO PLANO")</f>
        <v/>
      </c>
      <c r="I722" t="inlineStr">
        <is>
          <t>504</t>
        </is>
      </c>
      <c r="J722" t="inlineStr">
        <is>
          <t>SEM COSMOS</t>
        </is>
      </c>
      <c r="K722" t="inlineStr"/>
      <c r="L722" t="inlineStr"/>
      <c r="M722" t="inlineStr">
        <is>
          <t>REDE MAST AT0081996543</t>
        </is>
      </c>
    </row>
    <row r="723">
      <c r="A723" t="n">
        <v>722</v>
      </c>
      <c r="B723" t="inlineStr">
        <is>
          <t>17/04/2026</t>
        </is>
      </c>
      <c r="C723" t="inlineStr">
        <is>
          <t>REF. A REDE VISA AT0081996543</t>
        </is>
      </c>
      <c r="D723" s="7" t="n">
        <v>839.89</v>
      </c>
      <c r="E723" t="inlineStr">
        <is>
          <t>504</t>
        </is>
      </c>
      <c r="F723" t="inlineStr">
        <is>
          <t>CLIENTES DIVERSOS</t>
        </is>
      </c>
      <c r="G723" s="2" t="inlineStr">
        <is>
          <t>504</t>
        </is>
      </c>
      <c r="H723">
        <f>IFERROR(VLOOKUP(G723&amp;"",PLANO!A:B,2,FALSE),"CONTA NAO EXISTE NO PLANO")</f>
        <v/>
      </c>
      <c r="I723" t="inlineStr">
        <is>
          <t>504</t>
        </is>
      </c>
      <c r="J723" t="inlineStr">
        <is>
          <t>SEM COSMOS</t>
        </is>
      </c>
      <c r="K723" t="inlineStr"/>
      <c r="L723" t="inlineStr"/>
      <c r="M723" t="inlineStr">
        <is>
          <t>REDE VISA AT0081996543</t>
        </is>
      </c>
    </row>
    <row r="724">
      <c r="A724" t="n">
        <v>723</v>
      </c>
      <c r="B724" t="inlineStr">
        <is>
          <t>17/04/2026</t>
        </is>
      </c>
      <c r="C724" t="inlineStr">
        <is>
          <t>REF A DEV PIX AJ SOLUCOES17/04</t>
        </is>
      </c>
      <c r="D724" s="7" t="n">
        <v>32</v>
      </c>
      <c r="E724" t="inlineStr">
        <is>
          <t>504</t>
        </is>
      </c>
      <c r="F724" t="inlineStr">
        <is>
          <t>CLIENTES DIVERSOS</t>
        </is>
      </c>
      <c r="G724" s="2" t="inlineStr">
        <is>
          <t>504</t>
        </is>
      </c>
      <c r="H724">
        <f>IFERROR(VLOOKUP(G724&amp;"",PLANO!A:B,2,FALSE),"CONTA NAO EXISTE NO PLANO")</f>
        <v/>
      </c>
      <c r="I724" t="inlineStr">
        <is>
          <t>504</t>
        </is>
      </c>
      <c r="J724" t="inlineStr">
        <is>
          <t>SEM COSMOS</t>
        </is>
      </c>
      <c r="K724" t="inlineStr"/>
      <c r="L724" t="inlineStr"/>
      <c r="M724" t="inlineStr">
        <is>
          <t>DEV PIX AJ SOLUCOES17/04</t>
        </is>
      </c>
    </row>
    <row r="725">
      <c r="A725" t="n">
        <v>724</v>
      </c>
      <c r="B725" t="inlineStr">
        <is>
          <t>17/04/2026</t>
        </is>
      </c>
      <c r="C725" t="inlineStr">
        <is>
          <t>REF. A PIX TRANSF ATTOZ B17/04</t>
        </is>
      </c>
      <c r="D725" s="7" t="n">
        <v>2700</v>
      </c>
      <c r="E725" t="inlineStr">
        <is>
          <t>504</t>
        </is>
      </c>
      <c r="F725" t="inlineStr">
        <is>
          <t>CLIENTES DIVERSOS</t>
        </is>
      </c>
      <c r="G725" s="2" t="inlineStr">
        <is>
          <t>504</t>
        </is>
      </c>
      <c r="H725">
        <f>IFERROR(VLOOKUP(G725&amp;"",PLANO!A:B,2,FALSE),"CONTA NAO EXISTE NO PLANO")</f>
        <v/>
      </c>
      <c r="I725" t="inlineStr">
        <is>
          <t>504</t>
        </is>
      </c>
      <c r="J725" t="inlineStr">
        <is>
          <t>SEM COSMOS</t>
        </is>
      </c>
      <c r="K725" t="inlineStr"/>
      <c r="L725" t="inlineStr"/>
      <c r="M725" t="inlineStr">
        <is>
          <t>PIX TRANSF ATTOZ B17/04</t>
        </is>
      </c>
    </row>
    <row r="726">
      <c r="A726" t="n">
        <v>725</v>
      </c>
      <c r="B726" t="inlineStr">
        <is>
          <t>17/04/2026</t>
        </is>
      </c>
      <c r="C726" t="inlineStr">
        <is>
          <t>REF. A PIX TRANSF RS COM17/04</t>
        </is>
      </c>
      <c r="D726" s="7" t="n">
        <v>5000</v>
      </c>
      <c r="E726" t="inlineStr">
        <is>
          <t>504</t>
        </is>
      </c>
      <c r="F726" t="inlineStr">
        <is>
          <t>CLIENTES DIVERSOS</t>
        </is>
      </c>
      <c r="G726" s="2" t="inlineStr">
        <is>
          <t>504</t>
        </is>
      </c>
      <c r="H726">
        <f>IFERROR(VLOOKUP(G726&amp;"",PLANO!A:B,2,FALSE),"CONTA NAO EXISTE NO PLANO")</f>
        <v/>
      </c>
      <c r="I726" t="inlineStr">
        <is>
          <t>504</t>
        </is>
      </c>
      <c r="J726" t="inlineStr">
        <is>
          <t>SEM COSMOS</t>
        </is>
      </c>
      <c r="K726" t="inlineStr"/>
      <c r="L726" t="inlineStr"/>
      <c r="M726" t="inlineStr">
        <is>
          <t>PIX TRANSF RS COM17/04</t>
        </is>
      </c>
    </row>
    <row r="727">
      <c r="A727" t="n">
        <v>726</v>
      </c>
      <c r="B727" t="inlineStr">
        <is>
          <t>17/04/2026</t>
        </is>
      </c>
      <c r="C727" t="inlineStr">
        <is>
          <t>REF. A PIX TRANSF VIVALDO17/04</t>
        </is>
      </c>
      <c r="D727" s="7" t="n">
        <v>1376</v>
      </c>
      <c r="E727" t="inlineStr">
        <is>
          <t>504</t>
        </is>
      </c>
      <c r="F727" t="inlineStr">
        <is>
          <t>CLIENTES DIVERSOS</t>
        </is>
      </c>
      <c r="G727" s="2" t="inlineStr">
        <is>
          <t>504</t>
        </is>
      </c>
      <c r="H727">
        <f>IFERROR(VLOOKUP(G727&amp;"",PLANO!A:B,2,FALSE),"CONTA NAO EXISTE NO PLANO")</f>
        <v/>
      </c>
      <c r="I727" t="inlineStr">
        <is>
          <t>504</t>
        </is>
      </c>
      <c r="J727" t="inlineStr">
        <is>
          <t>SEM COSMOS</t>
        </is>
      </c>
      <c r="K727" t="inlineStr"/>
      <c r="L727" t="inlineStr"/>
      <c r="M727" t="inlineStr">
        <is>
          <t>PIX TRANSF VIVALDO17/04</t>
        </is>
      </c>
    </row>
    <row r="728">
      <c r="A728" t="n">
        <v>727</v>
      </c>
      <c r="B728" t="inlineStr">
        <is>
          <t>17/04/2026</t>
        </is>
      </c>
      <c r="C728" t="inlineStr">
        <is>
          <t>REF A PIX ENVIADO IGOR FERNAND</t>
        </is>
      </c>
      <c r="D728" s="7" t="n">
        <v>-2000</v>
      </c>
      <c r="E728" t="inlineStr">
        <is>
          <t>362</t>
        </is>
      </c>
      <c r="F728" t="inlineStr">
        <is>
          <t>SERVIÇOS PRESTADOS POR TERCEIROS</t>
        </is>
      </c>
      <c r="G728" s="2" t="inlineStr">
        <is>
          <t>362</t>
        </is>
      </c>
      <c r="H728">
        <f>IFERROR(VLOOKUP(G728&amp;"",PLANO!A:B,2,FALSE),"CONTA NAO EXISTE NO PLANO")</f>
        <v/>
      </c>
      <c r="I728" t="inlineStr">
        <is>
          <t>362</t>
        </is>
      </c>
      <c r="J728" t="inlineStr">
        <is>
          <t>SEM COSMOS</t>
        </is>
      </c>
      <c r="K728" t="inlineStr"/>
      <c r="L728" t="inlineStr"/>
      <c r="M728" t="inlineStr">
        <is>
          <t>PIX ENVIADO IGOR FERNAND</t>
        </is>
      </c>
    </row>
    <row r="729">
      <c r="A729" s="11" t="n">
        <v>728</v>
      </c>
      <c r="B729" s="11" t="inlineStr">
        <is>
          <t>17/04/2026</t>
        </is>
      </c>
      <c r="C729" s="11" t="inlineStr">
        <is>
          <t>REF A PIX ENVIADO MICHEL SCANDER MAZZONI PAGTO REF. PRO-LABORE</t>
        </is>
      </c>
      <c r="D729" s="12" t="n">
        <v>-5000</v>
      </c>
      <c r="E729" s="11" t="inlineStr">
        <is>
          <t>362</t>
        </is>
      </c>
      <c r="F729" s="11" t="inlineStr">
        <is>
          <t>SERVIÇOS PRESTADOS POR TERCEIROS</t>
        </is>
      </c>
      <c r="G729" s="13" t="inlineStr">
        <is>
          <t>362</t>
        </is>
      </c>
      <c r="H729" s="11">
        <f>IFERROR(VLOOKUP(G729&amp;"",PLANO!A:B,2,FALSE),"CONTA NAO EXISTE NO PLANO")</f>
        <v/>
      </c>
      <c r="I729" s="11" t="inlineStr">
        <is>
          <t>362</t>
        </is>
      </c>
      <c r="J729" s="11" t="inlineStr">
        <is>
          <t>MANTIDO</t>
        </is>
      </c>
      <c r="K729" s="11" t="inlineStr">
        <is>
          <t>socios Mazzoni (fora do contrato social) - mantido como estava</t>
        </is>
      </c>
      <c r="L729" s="11" t="inlineStr">
        <is>
          <t>MICHEL SCANDER MAZZONI | 115/33 | PAGTO REF. PRO-LABORE</t>
        </is>
      </c>
      <c r="M729" s="11" t="inlineStr">
        <is>
          <t>MICHEL SCANDER MAZZONI - PAGTO REF. PRO-LABORE</t>
        </is>
      </c>
    </row>
    <row r="730">
      <c r="A730" s="4" t="n">
        <v>729</v>
      </c>
      <c r="B730" s="4" t="inlineStr">
        <is>
          <t>17/04/2026</t>
        </is>
      </c>
      <c r="C730" s="4" t="inlineStr">
        <is>
          <t>REF. A PIX ENVIADO COSMETICON C - OUTRAS SAIDAS</t>
        </is>
      </c>
      <c r="D730" s="5" t="n">
        <v>-3000</v>
      </c>
      <c r="E730" s="4" t="inlineStr">
        <is>
          <t>664</t>
        </is>
      </c>
      <c r="F730" s="4" t="inlineStr">
        <is>
          <t>COSMETICON COMERCIO DE COSMETICOS LTDA</t>
        </is>
      </c>
      <c r="G730" s="6" t="inlineStr">
        <is>
          <t>663</t>
        </is>
      </c>
      <c r="H730" s="4">
        <f>IFERROR(VLOOKUP(G730&amp;"",PLANO!A:B,2,FALSE),"CONTA NAO EXISTE NO PLANO")</f>
        <v/>
      </c>
      <c r="I730" s="4" t="inlineStr">
        <is>
          <t>663</t>
        </is>
      </c>
      <c r="J730" s="4" t="inlineStr">
        <is>
          <t>AJUSTADO</t>
        </is>
      </c>
      <c r="K730" s="4" t="inlineStr">
        <is>
          <t>COSMETICON - conta-corrente unica de mutuo (663)</t>
        </is>
      </c>
      <c r="L730" s="4" t="inlineStr">
        <is>
          <t xml:space="preserve">OUTRAS SAIDAS | 123/71 | </t>
        </is>
      </c>
      <c r="M730" s="4" t="inlineStr">
        <is>
          <t>PIX ENVIADO COSMETICON C - OUTRAS SAIDAS</t>
        </is>
      </c>
    </row>
    <row r="731">
      <c r="A731" t="n">
        <v>730</v>
      </c>
      <c r="B731" t="inlineStr">
        <is>
          <t>17/04/2026</t>
        </is>
      </c>
      <c r="C731" t="inlineStr">
        <is>
          <t>REF A PIX ENVIADO FRANCIS KEIT - FRANCIS KODAMA PGTO REF. SERVIÇOS PRESTADOS CONF. CONTRATO</t>
        </is>
      </c>
      <c r="D731" s="7" t="n">
        <v>-1000</v>
      </c>
      <c r="E731" t="inlineStr">
        <is>
          <t>362</t>
        </is>
      </c>
      <c r="F731" t="inlineStr">
        <is>
          <t>SERVIÇOS PRESTADOS POR TERCEIROS</t>
        </is>
      </c>
      <c r="G731" s="2" t="inlineStr">
        <is>
          <t>362</t>
        </is>
      </c>
      <c r="H731">
        <f>IFERROR(VLOOKUP(G731&amp;"",PLANO!A:B,2,FALSE),"CONTA NAO EXISTE NO PLANO")</f>
        <v/>
      </c>
      <c r="I731" t="inlineStr">
        <is>
          <t>362</t>
        </is>
      </c>
      <c r="J731" t="inlineStr">
        <is>
          <t>OK</t>
        </is>
      </c>
      <c r="K731" t="inlineStr">
        <is>
          <t>servico prestado</t>
        </is>
      </c>
      <c r="L731" t="inlineStr">
        <is>
          <t>FRANCIS KODAMA | 115/170 | PGTO REF. SERVIÇOS PRESTADOS CONF. CONTRATO</t>
        </is>
      </c>
      <c r="M731" t="inlineStr">
        <is>
          <t>FRANCIS KODAMA - PGTO REF. SERVIÇOS PRESTADOS CONF. CONTRATO</t>
        </is>
      </c>
    </row>
    <row r="732">
      <c r="A732" t="n">
        <v>731</v>
      </c>
      <c r="B732" t="inlineStr">
        <is>
          <t>17/04/2026</t>
        </is>
      </c>
      <c r="C732" t="inlineStr">
        <is>
          <t>REF A PIX ENVIADO ESTER MELO GOMES DOS SANTOSPAGTO REF. SERVICOS PRESTADOS CONFORME CONTRATO</t>
        </is>
      </c>
      <c r="D732" s="7" t="n">
        <v>-600</v>
      </c>
      <c r="E732" t="inlineStr">
        <is>
          <t>362</t>
        </is>
      </c>
      <c r="F732" t="inlineStr">
        <is>
          <t>SERVIÇOS PRESTADOS POR TERCEIROS</t>
        </is>
      </c>
      <c r="G732" s="2" t="inlineStr">
        <is>
          <t>362</t>
        </is>
      </c>
      <c r="H732">
        <f>IFERROR(VLOOKUP(G732&amp;"",PLANO!A:B,2,FALSE),"CONTA NAO EXISTE NO PLANO")</f>
        <v/>
      </c>
      <c r="I732" t="inlineStr">
        <is>
          <t>362</t>
        </is>
      </c>
      <c r="J732" t="inlineStr">
        <is>
          <t>OK</t>
        </is>
      </c>
      <c r="K732" t="inlineStr">
        <is>
          <t>servico prestado</t>
        </is>
      </c>
      <c r="L732" t="inlineStr">
        <is>
          <t>ESTER MELO GOMES DOS SANTOS | 115/34 | PAGTO REF. SERVICOS PRESTADOS CONFORME CONTRATO.</t>
        </is>
      </c>
      <c r="M732" t="inlineStr">
        <is>
          <t>ESTER MELO GOMES DOS SANTOS - PAGTO REF. SERVICOS PRESTADOS CONFORME CONTRATO.</t>
        </is>
      </c>
    </row>
    <row r="733">
      <c r="A733" s="11" t="n">
        <v>732</v>
      </c>
      <c r="B733" s="11" t="inlineStr">
        <is>
          <t>17/04/2026</t>
        </is>
      </c>
      <c r="C733" s="11" t="inlineStr">
        <is>
          <t>REF. A PIX ENVIADO CARLOS ALEXA</t>
        </is>
      </c>
      <c r="D733" s="12" t="n">
        <v>-1000</v>
      </c>
      <c r="E733" s="11" t="inlineStr">
        <is>
          <t>362</t>
        </is>
      </c>
      <c r="F733" s="11" t="inlineStr">
        <is>
          <t>SERVIÇOS PRESTADOS POR TERCEIROS</t>
        </is>
      </c>
      <c r="G733" s="13" t="inlineStr">
        <is>
          <t>362</t>
        </is>
      </c>
      <c r="H733" s="11">
        <f>IFERROR(VLOOKUP(G733&amp;"",PLANO!A:B,2,FALSE),"CONTA NAO EXISTE NO PLANO")</f>
        <v/>
      </c>
      <c r="I733" s="11" t="inlineStr">
        <is>
          <t>362</t>
        </is>
      </c>
      <c r="J733" s="11" t="inlineStr">
        <is>
          <t>MANTIDO</t>
        </is>
      </c>
      <c r="K733" s="11" t="inlineStr">
        <is>
          <t>socios Mazzoni (fora do contrato social) - mantido como estava</t>
        </is>
      </c>
      <c r="L733" s="11" t="inlineStr">
        <is>
          <t>CARLOS ALEXANDRE MAZZONI | 115/33 | PGTO REF.PRO-LABORE</t>
        </is>
      </c>
      <c r="M733" s="11" t="inlineStr">
        <is>
          <t>CARLOS ALEXANDRE MAZZONI - PGTO REF.PRO-LABORE</t>
        </is>
      </c>
    </row>
    <row r="734">
      <c r="A734" t="n">
        <v>733</v>
      </c>
      <c r="B734" t="inlineStr">
        <is>
          <t>17/04/2026</t>
        </is>
      </c>
      <c r="C734" t="inlineStr">
        <is>
          <t>REF A PIX ENVIADO A J SOLUCOES</t>
        </is>
      </c>
      <c r="D734" s="7" t="n">
        <v>-372</v>
      </c>
      <c r="E734" t="inlineStr">
        <is>
          <t>493</t>
        </is>
      </c>
      <c r="F734" t="inlineStr">
        <is>
          <t>DESPESAS DIVERSAS</t>
        </is>
      </c>
      <c r="G734" s="2" t="inlineStr">
        <is>
          <t>493</t>
        </is>
      </c>
      <c r="H734">
        <f>IFERROR(VLOOKUP(G734&amp;"",PLANO!A:B,2,FALSE),"CONTA NAO EXISTE NO PLANO")</f>
        <v/>
      </c>
      <c r="I734" t="inlineStr">
        <is>
          <t>493</t>
        </is>
      </c>
      <c r="J734" t="inlineStr">
        <is>
          <t>SEM COSMOS</t>
        </is>
      </c>
      <c r="K734" t="inlineStr"/>
      <c r="L734" t="inlineStr"/>
      <c r="M734" t="inlineStr">
        <is>
          <t>PIX ENVIADO A J SOLUCOES</t>
        </is>
      </c>
    </row>
    <row r="735">
      <c r="A735" s="8" t="n">
        <v>734</v>
      </c>
      <c r="B735" s="8" t="inlineStr">
        <is>
          <t>17/04/2026</t>
        </is>
      </c>
      <c r="C735" s="8" t="inlineStr">
        <is>
          <t>REF. A BOLETO PAGO QUIMIFORMULA COMERCIO DE PRODUTOS QUIMICOS LTDA PAGAMENTO REFERENTE A COMPRA DE MATERIA PRIMA,UVINUL MC80, 25KG</t>
        </is>
      </c>
      <c r="D735" s="9" t="n">
        <v>-1461.46</v>
      </c>
      <c r="E735" s="8" t="inlineStr">
        <is>
          <t>365</t>
        </is>
      </c>
      <c r="F735" s="8" t="inlineStr">
        <is>
          <t>DESPESAS LEGAIS E JUDICIAIS</t>
        </is>
      </c>
      <c r="G735" s="10" t="inlineStr">
        <is>
          <t>506</t>
        </is>
      </c>
      <c r="H735" s="8">
        <f>IFERROR(VLOOKUP(G735&amp;"",PLANO!A:B,2,FALSE),"CONTA NAO EXISTE NO PLANO")</f>
        <v/>
      </c>
      <c r="I735" s="8" t="inlineStr">
        <is>
          <t>506</t>
        </is>
      </c>
      <c r="J735" s="8" t="inlineStr">
        <is>
          <t>CORRIGIR</t>
        </is>
      </c>
      <c r="K735" s="8" t="inlineStr">
        <is>
          <t>fornecedor com NF (Cosmos: compra MP/embalagem) - pagamento deve baixar fornecedores 506</t>
        </is>
      </c>
      <c r="L735" s="8" t="inlineStr">
        <is>
          <t>QUIMIFORMULA COMERCIO DE PRODUTOS QUIMICOS LTDA | 115/6 | PAGAMENTO REFERENTE A COMPRA DE MATERIA PRIMA, UVINUL MC80, 25KG</t>
        </is>
      </c>
      <c r="M735" s="8" t="inlineStr">
        <is>
          <t>QUIMIFORMULA COMERCIO DE PRODUTOS QUIMICOS LTDA - PAGAMENTO REFERENTE A COMPRA DE MATERIA PRIMA, UVINUL MC80, 25KG</t>
        </is>
      </c>
    </row>
    <row r="736">
      <c r="A736" t="n">
        <v>735</v>
      </c>
      <c r="B736" t="inlineStr">
        <is>
          <t>17/04/2026</t>
        </is>
      </c>
      <c r="C736" t="inlineStr">
        <is>
          <t>REF A BOLETO PAGO STEELPACK GR</t>
        </is>
      </c>
      <c r="D736" s="7" t="n">
        <v>-1210.93</v>
      </c>
      <c r="E736" t="inlineStr">
        <is>
          <t>506</t>
        </is>
      </c>
      <c r="F736" t="inlineStr">
        <is>
          <t>FORNECEDORES DIVERSOS</t>
        </is>
      </c>
      <c r="G736" s="2" t="inlineStr">
        <is>
          <t>506</t>
        </is>
      </c>
      <c r="H736">
        <f>IFERROR(VLOOKUP(G736&amp;"",PLANO!A:B,2,FALSE),"CONTA NAO EXISTE NO PLANO")</f>
        <v/>
      </c>
      <c r="I736" t="inlineStr">
        <is>
          <t>506</t>
        </is>
      </c>
      <c r="J736" t="inlineStr">
        <is>
          <t>SEM COSMOS</t>
        </is>
      </c>
      <c r="K736" t="inlineStr"/>
      <c r="L736" t="inlineStr"/>
      <c r="M736" t="inlineStr">
        <is>
          <t>BOLETO PAGO STEELPACK GR</t>
        </is>
      </c>
    </row>
    <row r="737">
      <c r="A737" s="4" t="n">
        <v>736</v>
      </c>
      <c r="B737" s="4" t="inlineStr">
        <is>
          <t>17/04/2026</t>
        </is>
      </c>
      <c r="C737" s="4" t="inlineStr">
        <is>
          <t>REF. A BOLETO PAGO SUPER BRILHO - SB DISTRIBUIDORA LTDA 115 16 4 0,00 546,53 -799.964,07PAGAMENTO REFERENTE A COMPRA DE PRODUTOS DELIMPEZA</t>
        </is>
      </c>
      <c r="D737" s="5" t="n">
        <v>-546.53</v>
      </c>
      <c r="E737" s="4" t="inlineStr">
        <is>
          <t>360</t>
        </is>
      </c>
      <c r="F737" s="4" t="inlineStr">
        <is>
          <t>MATERIAL DE HIGIENE E LIMPEZA / COPA</t>
        </is>
      </c>
      <c r="G737" s="6" t="inlineStr">
        <is>
          <t>360</t>
        </is>
      </c>
      <c r="H737" s="4">
        <f>IFERROR(VLOOKUP(G737&amp;"",PLANO!A:B,2,FALSE),"CONTA NAO EXISTE NO PLANO")</f>
        <v/>
      </c>
      <c r="I737" s="4" t="inlineStr">
        <is>
          <t>360</t>
        </is>
      </c>
      <c r="J737" s="4" t="inlineStr">
        <is>
          <t>AJUSTADO</t>
        </is>
      </c>
      <c r="K737" s="4" t="inlineStr">
        <is>
          <t>material de limpeza</t>
        </is>
      </c>
      <c r="L737" s="4" t="inlineStr">
        <is>
          <t>SB DISTRIBUIDORA LTDA | 115/16 | PAGAMENTO REFERENTE A COMPRA DE PRODUTOS DE LIMPEZA</t>
        </is>
      </c>
      <c r="M737" s="4" t="inlineStr">
        <is>
          <t>SB DISTRIBUIDORA LTDA - PAGAMENTO REFERENTE A COMPRA DE PRODUTOS DE LIMPEZA</t>
        </is>
      </c>
    </row>
    <row r="738">
      <c r="A738" t="n">
        <v>737</v>
      </c>
      <c r="B738" t="inlineStr">
        <is>
          <t>17/04/2026</t>
        </is>
      </c>
      <c r="C738" t="inlineStr">
        <is>
          <t>REF. A BOLETO PAGO YAHWEH PRINT - YAHWEH PRINT BRASIL LTDA PAGAMENTO REFERENTE A COMPRA DE ETIQUETAS E RIBONSPARA ZEBRA</t>
        </is>
      </c>
      <c r="D738" s="7" t="n">
        <v>-576.78</v>
      </c>
      <c r="E738" t="inlineStr">
        <is>
          <t>506</t>
        </is>
      </c>
      <c r="F738" t="inlineStr">
        <is>
          <t>FORNECEDORES DIVERSOS</t>
        </is>
      </c>
      <c r="G738" s="2" t="inlineStr">
        <is>
          <t>506</t>
        </is>
      </c>
      <c r="H738">
        <f>IFERROR(VLOOKUP(G738&amp;"",PLANO!A:B,2,FALSE),"CONTA NAO EXISTE NO PLANO")</f>
        <v/>
      </c>
      <c r="I738" t="inlineStr">
        <is>
          <t>506</t>
        </is>
      </c>
      <c r="J738" t="inlineStr">
        <is>
          <t>OK</t>
        </is>
      </c>
      <c r="K738" t="inlineStr">
        <is>
          <t>fornecedor com NF</t>
        </is>
      </c>
      <c r="L738" t="inlineStr">
        <is>
          <t>YAHWEH PRINT BRASIL LTDA | 115/9 | PAGAMENTO REFERENTE A COMPRA DE ETIQUETAS E RIBONS PARA ZEBRA</t>
        </is>
      </c>
      <c r="M738" t="inlineStr">
        <is>
          <t>YAHWEH PRINT BRASIL LTDA - PAGAMENTO REFERENTE A COMPRA DE ETIQUETAS E RIBONS PARA ZEBRA</t>
        </is>
      </c>
    </row>
    <row r="739">
      <c r="A739" s="11" t="n">
        <v>738</v>
      </c>
      <c r="B739" s="11" t="inlineStr">
        <is>
          <t>17/04/2026</t>
        </is>
      </c>
      <c r="C739" s="11" t="inlineStr">
        <is>
          <t>REF. A BOLETO PAGO CMS CONS EM - CMS CONSULTORIA EM MEDICINA SEG DO TRAB E MEIO AMB LTDA PGTO REF.EXAMES REALIZADOS SEGURANÇA DO TRABALHO</t>
        </is>
      </c>
      <c r="D739" s="12" t="n">
        <v>-763.99</v>
      </c>
      <c r="E739" s="11" t="inlineStr">
        <is>
          <t>364</t>
        </is>
      </c>
      <c r="F739" s="11" t="inlineStr">
        <is>
          <t>DESPESAS ADMINISTRATIVAS</t>
        </is>
      </c>
      <c r="G739" s="13" t="inlineStr">
        <is>
          <t>364</t>
        </is>
      </c>
      <c r="H739" s="11">
        <f>IFERROR(VLOOKUP(G739&amp;"",PLANO!A:B,2,FALSE),"CONTA NAO EXISTE NO PLANO")</f>
        <v/>
      </c>
      <c r="I739" s="11" t="inlineStr">
        <is>
          <t>364</t>
        </is>
      </c>
      <c r="J739" s="11" t="inlineStr">
        <is>
          <t>MANTIDO</t>
        </is>
      </c>
      <c r="K739" s="11" t="inlineStr">
        <is>
          <t>servicos diversos (lavanderia, dedetizacao, contabilidade, Plus Sante) | mantida a conta atual (sem informacao que justifique troca)</t>
        </is>
      </c>
      <c r="L739" s="11" t="inlineStr">
        <is>
          <t>CMS CONSULTORIA EM MEDICINA SEG DO TRAB E MEIO AMB LTDA | 115/45 | PGTO REF.EXAMES REALIZADOS SEGURANÇA DO TRABALHO</t>
        </is>
      </c>
      <c r="M739" s="11" t="inlineStr">
        <is>
          <t>CMS CONSULTORIA EM MEDICINA SEG DO TRAB E MEIO AMB LTDA - PGTO REF.EXAMES REALIZADOS SEGURANÇA DO TRABALHO</t>
        </is>
      </c>
    </row>
    <row r="740">
      <c r="A740" s="11" t="n">
        <v>739</v>
      </c>
      <c r="B740" s="11" t="inlineStr">
        <is>
          <t>17/04/2026</t>
        </is>
      </c>
      <c r="C740" s="11" t="inlineStr">
        <is>
          <t>REF. A BOLETO PAGO CMS CONS EM - CMS CONSULTORIA EM MEDICINA SEG DO TRAB E MEIO AMB LTDA PGTO REF.SERVIÇOS PRESTADOS DE SEGURANÇA DOTRABALHO</t>
        </is>
      </c>
      <c r="D740" s="12" t="n">
        <v>-6801.91</v>
      </c>
      <c r="E740" s="11" t="inlineStr">
        <is>
          <t>364</t>
        </is>
      </c>
      <c r="F740" s="11" t="inlineStr">
        <is>
          <t>DESPESAS ADMINISTRATIVAS</t>
        </is>
      </c>
      <c r="G740" s="13" t="inlineStr">
        <is>
          <t>364</t>
        </is>
      </c>
      <c r="H740" s="11">
        <f>IFERROR(VLOOKUP(G740&amp;"",PLANO!A:B,2,FALSE),"CONTA NAO EXISTE NO PLANO")</f>
        <v/>
      </c>
      <c r="I740" s="11" t="inlineStr">
        <is>
          <t>364</t>
        </is>
      </c>
      <c r="J740" s="11" t="inlineStr">
        <is>
          <t>MANTIDO</t>
        </is>
      </c>
      <c r="K740" s="11" t="inlineStr">
        <is>
          <t>servicos diversos (lavanderia, dedetizacao, contabilidade, Plus Sante) | mantida a conta atual (sem informacao que justifique troca)</t>
        </is>
      </c>
      <c r="L740" s="11" t="inlineStr">
        <is>
          <t>CMS CONSULTORIA EM MEDICINA SEG DO TRAB E MEIO AMB LTDA | 115/45 | PGTO REF.SERVIÇOS PRESTADOS DE SEGURANÇA DO TRABALHO</t>
        </is>
      </c>
      <c r="M740" s="11" t="inlineStr">
        <is>
          <t>CMS CONSULTORIA EM MEDICINA SEG DO TRAB E MEIO AMB LTDA - PGTO REF.SERVIÇOS PRESTADOS DE SEGURANÇA DO TRABALHO</t>
        </is>
      </c>
    </row>
    <row r="741">
      <c r="A741" t="n">
        <v>740</v>
      </c>
      <c r="B741" t="inlineStr">
        <is>
          <t>17/04/2026</t>
        </is>
      </c>
      <c r="C741" t="inlineStr">
        <is>
          <t>REF. A BOLETO PAGO YAHWEH PRINT - YAHWEH PRINT BRASIL LTDA 115 9 7 0,00 642,14 -801.182,99PAGAMENTO REFERENTE A FACA DOS ROTULOS NOVOS</t>
        </is>
      </c>
      <c r="D741" s="7" t="n">
        <v>-642.14</v>
      </c>
      <c r="E741" t="inlineStr">
        <is>
          <t>506</t>
        </is>
      </c>
      <c r="F741" t="inlineStr">
        <is>
          <t>FORNECEDORES DIVERSOS</t>
        </is>
      </c>
      <c r="G741" s="2" t="inlineStr">
        <is>
          <t>506</t>
        </is>
      </c>
      <c r="H741">
        <f>IFERROR(VLOOKUP(G741&amp;"",PLANO!A:B,2,FALSE),"CONTA NAO EXISTE NO PLANO")</f>
        <v/>
      </c>
      <c r="I741" t="inlineStr">
        <is>
          <t>506</t>
        </is>
      </c>
      <c r="J741" t="inlineStr">
        <is>
          <t>OK</t>
        </is>
      </c>
      <c r="K741" t="inlineStr">
        <is>
          <t>fornecedor com NF</t>
        </is>
      </c>
      <c r="L741" t="inlineStr">
        <is>
          <t>YAHWEH PRINT BRASIL LTDA | 115/9 | PAGAMENTO REFERENTE A FACA DOS ROTULOS NOVOS</t>
        </is>
      </c>
      <c r="M741" t="inlineStr">
        <is>
          <t>YAHWEH PRINT BRASIL LTDA - PAGAMENTO REFERENTE A FACA DOS ROTULOS NOVOS</t>
        </is>
      </c>
    </row>
    <row r="742">
      <c r="A742" t="n">
        <v>741</v>
      </c>
      <c r="B742" t="inlineStr">
        <is>
          <t>17/04/2026</t>
        </is>
      </c>
      <c r="C742" t="inlineStr">
        <is>
          <t>REF. A BOLETO PAGO MASTER PUMPS - MASTER PUMPS EMBALAGENS COMERCIO IMPORTACAO E EXPORTACAO LTDA 115 9 4 0,00 1.880,02 -803.944,78PAGAMENTO REFERENTE A COMPRA DE VALVULAS PARAPRODUÇÃO</t>
        </is>
      </c>
      <c r="D742" s="7" t="n">
        <v>-1880.02</v>
      </c>
      <c r="E742" t="inlineStr">
        <is>
          <t>506</t>
        </is>
      </c>
      <c r="F742" t="inlineStr">
        <is>
          <t>FORNECEDORES DIVERSOS</t>
        </is>
      </c>
      <c r="G742" s="2" t="inlineStr">
        <is>
          <t>506</t>
        </is>
      </c>
      <c r="H742">
        <f>IFERROR(VLOOKUP(G742&amp;"",PLANO!A:B,2,FALSE),"CONTA NAO EXISTE NO PLANO")</f>
        <v/>
      </c>
      <c r="I742" t="inlineStr">
        <is>
          <t>506</t>
        </is>
      </c>
      <c r="J742" t="inlineStr">
        <is>
          <t>OK</t>
        </is>
      </c>
      <c r="K742" t="inlineStr">
        <is>
          <t>fornecedor com NF</t>
        </is>
      </c>
      <c r="L742" t="inlineStr">
        <is>
          <t>MASTER PUMPS EMBALAGENS COMERCIO IMPORTACAO E EXPORTACAO LTDA | 115/9 | PAGAMENTO REFERENTE A COMPRA DE VALVULAS PARA PRODUÇÃO</t>
        </is>
      </c>
      <c r="M742" t="inlineStr">
        <is>
          <t>MASTER PUMPS EMBALAGENS COMERCIO IMPORTACAO E EXPORTACAO LTDA - PAGAMENTO REFERENTE A COMPRA DE VALVULAS PARA PRODUÇÃO</t>
        </is>
      </c>
    </row>
    <row r="743">
      <c r="A743" s="11" t="n">
        <v>742</v>
      </c>
      <c r="B743" s="11" t="inlineStr">
        <is>
          <t>17/04/2026</t>
        </is>
      </c>
      <c r="C743" s="11" t="inlineStr">
        <is>
          <t>REF. A BOLETO PAGO SAVATEC COME - SAVATEC COMERCIO E SERVICOS LTDA</t>
        </is>
      </c>
      <c r="D743" s="12" t="n">
        <v>-881.77</v>
      </c>
      <c r="E743" s="11" t="inlineStr">
        <is>
          <t>359</t>
        </is>
      </c>
      <c r="F743" s="11" t="inlineStr">
        <is>
          <t>MATERIAL DE ESCRITÓRIO</t>
        </is>
      </c>
      <c r="G743" s="13" t="inlineStr">
        <is>
          <t>359</t>
        </is>
      </c>
      <c r="H743" s="11">
        <f>IFERROR(VLOOKUP(G743&amp;"",PLANO!A:B,2,FALSE),"CONTA NAO EXISTE NO PLANO")</f>
        <v/>
      </c>
      <c r="I743" s="11" t="inlineStr">
        <is>
          <t>359</t>
        </is>
      </c>
      <c r="J743" s="11" t="inlineStr">
        <is>
          <t>MANTIDO</t>
        </is>
      </c>
      <c r="K743" s="11" t="inlineStr">
        <is>
          <t>material laboratorio/embalagem consumo | mantida a conta atual (sem informacao que justifique troca)</t>
        </is>
      </c>
      <c r="L743" s="11" t="inlineStr">
        <is>
          <t xml:space="preserve">SAVATEC COMERCIO E SERVICOS LTDA | 115/8 | </t>
        </is>
      </c>
      <c r="M743" s="11" t="inlineStr">
        <is>
          <t>SAVATEC COMERCIO E SERVICOS LTDA</t>
        </is>
      </c>
    </row>
    <row r="744">
      <c r="A744" t="n">
        <v>743</v>
      </c>
      <c r="B744" t="inlineStr">
        <is>
          <t>20/04/2026</t>
        </is>
      </c>
      <c r="C744" t="inlineStr">
        <is>
          <t>REF. A MOV TIT COB DISP 20/04S</t>
        </is>
      </c>
      <c r="D744" s="7" t="n">
        <v>2948.58</v>
      </c>
      <c r="E744" t="inlineStr">
        <is>
          <t>504</t>
        </is>
      </c>
      <c r="F744" t="inlineStr">
        <is>
          <t>CLIENTES DIVERSOS</t>
        </is>
      </c>
      <c r="G744" s="2" t="inlineStr">
        <is>
          <t>504</t>
        </is>
      </c>
      <c r="H744">
        <f>IFERROR(VLOOKUP(G744&amp;"",PLANO!A:B,2,FALSE),"CONTA NAO EXISTE NO PLANO")</f>
        <v/>
      </c>
      <c r="I744" t="inlineStr">
        <is>
          <t>504</t>
        </is>
      </c>
      <c r="J744" t="inlineStr">
        <is>
          <t>SEM COSMOS</t>
        </is>
      </c>
      <c r="K744" t="inlineStr"/>
      <c r="L744" t="inlineStr"/>
      <c r="M744" t="inlineStr">
        <is>
          <t>MOV TIT COB DISP 20/04S</t>
        </is>
      </c>
    </row>
    <row r="745">
      <c r="A745" t="n">
        <v>744</v>
      </c>
      <c r="B745" t="inlineStr">
        <is>
          <t>20/04/2026</t>
        </is>
      </c>
      <c r="C745" t="inlineStr">
        <is>
          <t>REF. A REDE ELO AT0081996543</t>
        </is>
      </c>
      <c r="D745" s="7" t="n">
        <v>2856.37</v>
      </c>
      <c r="E745" t="inlineStr">
        <is>
          <t>504</t>
        </is>
      </c>
      <c r="F745" t="inlineStr">
        <is>
          <t>CLIENTES DIVERSOS</t>
        </is>
      </c>
      <c r="G745" s="2" t="inlineStr">
        <is>
          <t>504</t>
        </is>
      </c>
      <c r="H745">
        <f>IFERROR(VLOOKUP(G745&amp;"",PLANO!A:B,2,FALSE),"CONTA NAO EXISTE NO PLANO")</f>
        <v/>
      </c>
      <c r="I745" t="inlineStr">
        <is>
          <t>504</t>
        </is>
      </c>
      <c r="J745" t="inlineStr">
        <is>
          <t>SEM COSMOS</t>
        </is>
      </c>
      <c r="K745" t="inlineStr"/>
      <c r="L745" t="inlineStr"/>
      <c r="M745" t="inlineStr">
        <is>
          <t>REDE ELO AT0081996543</t>
        </is>
      </c>
    </row>
    <row r="746">
      <c r="A746" t="n">
        <v>745</v>
      </c>
      <c r="B746" t="inlineStr">
        <is>
          <t>20/04/2026</t>
        </is>
      </c>
      <c r="C746" t="inlineStr">
        <is>
          <t>REF. A REDE MAST AT0081996543</t>
        </is>
      </c>
      <c r="D746" s="7" t="n">
        <v>353.56</v>
      </c>
      <c r="E746" t="inlineStr">
        <is>
          <t>504</t>
        </is>
      </c>
      <c r="F746" t="inlineStr">
        <is>
          <t>CLIENTES DIVERSOS</t>
        </is>
      </c>
      <c r="G746" s="2" t="inlineStr">
        <is>
          <t>504</t>
        </is>
      </c>
      <c r="H746">
        <f>IFERROR(VLOOKUP(G746&amp;"",PLANO!A:B,2,FALSE),"CONTA NAO EXISTE NO PLANO")</f>
        <v/>
      </c>
      <c r="I746" t="inlineStr">
        <is>
          <t>504</t>
        </is>
      </c>
      <c r="J746" t="inlineStr">
        <is>
          <t>SEM COSMOS</t>
        </is>
      </c>
      <c r="K746" t="inlineStr"/>
      <c r="L746" t="inlineStr"/>
      <c r="M746" t="inlineStr">
        <is>
          <t>REDE MAST AT0081996543</t>
        </is>
      </c>
    </row>
    <row r="747">
      <c r="A747" t="n">
        <v>746</v>
      </c>
      <c r="B747" t="inlineStr">
        <is>
          <t>20/04/2026</t>
        </is>
      </c>
      <c r="C747" t="inlineStr">
        <is>
          <t>REF. A PIX TRANSF CLINIC 20/04</t>
        </is>
      </c>
      <c r="D747" s="7" t="n">
        <v>657.54</v>
      </c>
      <c r="E747" t="inlineStr">
        <is>
          <t>504</t>
        </is>
      </c>
      <c r="F747" t="inlineStr">
        <is>
          <t>CLIENTES DIVERSOS</t>
        </is>
      </c>
      <c r="G747" s="2" t="inlineStr">
        <is>
          <t>504</t>
        </is>
      </c>
      <c r="H747">
        <f>IFERROR(VLOOKUP(G747&amp;"",PLANO!A:B,2,FALSE),"CONTA NAO EXISTE NO PLANO")</f>
        <v/>
      </c>
      <c r="I747" t="inlineStr">
        <is>
          <t>504</t>
        </is>
      </c>
      <c r="J747" t="inlineStr">
        <is>
          <t>SEM COSMOS</t>
        </is>
      </c>
      <c r="K747" t="inlineStr"/>
      <c r="L747" t="inlineStr"/>
      <c r="M747" t="inlineStr">
        <is>
          <t>PIX TRANSF CLINIC 20/04</t>
        </is>
      </c>
    </row>
    <row r="748">
      <c r="A748" t="n">
        <v>747</v>
      </c>
      <c r="B748" t="inlineStr">
        <is>
          <t>20/04/2026</t>
        </is>
      </c>
      <c r="C748" t="inlineStr">
        <is>
          <t>REF. A PIX TRANSF F B RI20/04</t>
        </is>
      </c>
      <c r="D748" s="7" t="n">
        <v>8665.809999999999</v>
      </c>
      <c r="E748" t="inlineStr">
        <is>
          <t>504</t>
        </is>
      </c>
      <c r="F748" t="inlineStr">
        <is>
          <t>CLIENTES DIVERSOS</t>
        </is>
      </c>
      <c r="G748" s="2" t="inlineStr">
        <is>
          <t>504</t>
        </is>
      </c>
      <c r="H748">
        <f>IFERROR(VLOOKUP(G748&amp;"",PLANO!A:B,2,FALSE),"CONTA NAO EXISTE NO PLANO")</f>
        <v/>
      </c>
      <c r="I748" t="inlineStr">
        <is>
          <t>504</t>
        </is>
      </c>
      <c r="J748" t="inlineStr">
        <is>
          <t>SEM COSMOS</t>
        </is>
      </c>
      <c r="K748" t="inlineStr"/>
      <c r="L748" t="inlineStr"/>
      <c r="M748" t="inlineStr">
        <is>
          <t>PIX TRANSF F B RI20/04</t>
        </is>
      </c>
    </row>
    <row r="749">
      <c r="A749" t="n">
        <v>748</v>
      </c>
      <c r="B749" t="inlineStr">
        <is>
          <t>20/04/2026</t>
        </is>
      </c>
      <c r="C749" t="inlineStr">
        <is>
          <t>REF. A PIX TRANSF JORGE L20/04</t>
        </is>
      </c>
      <c r="D749" s="7" t="n">
        <v>9006.200000000001</v>
      </c>
      <c r="E749" t="inlineStr">
        <is>
          <t>504</t>
        </is>
      </c>
      <c r="F749" t="inlineStr">
        <is>
          <t>CLIENTES DIVERSOS</t>
        </is>
      </c>
      <c r="G749" s="2" t="inlineStr">
        <is>
          <t>504</t>
        </is>
      </c>
      <c r="H749">
        <f>IFERROR(VLOOKUP(G749&amp;"",PLANO!A:B,2,FALSE),"CONTA NAO EXISTE NO PLANO")</f>
        <v/>
      </c>
      <c r="I749" t="inlineStr">
        <is>
          <t>504</t>
        </is>
      </c>
      <c r="J749" t="inlineStr">
        <is>
          <t>SEM COSMOS</t>
        </is>
      </c>
      <c r="K749" t="inlineStr"/>
      <c r="L749" t="inlineStr"/>
      <c r="M749" t="inlineStr">
        <is>
          <t>PIX TRANSF JORGE L20/04</t>
        </is>
      </c>
    </row>
    <row r="750">
      <c r="A750" t="n">
        <v>749</v>
      </c>
      <c r="B750" t="inlineStr">
        <is>
          <t>20/04/2026</t>
        </is>
      </c>
      <c r="C750" t="inlineStr">
        <is>
          <t>REF. A PIX TRANSF 14 204 20/04</t>
        </is>
      </c>
      <c r="D750" s="7" t="n">
        <v>250</v>
      </c>
      <c r="E750" t="inlineStr">
        <is>
          <t>504</t>
        </is>
      </c>
      <c r="F750" t="inlineStr">
        <is>
          <t>CLIENTES DIVERSOS</t>
        </is>
      </c>
      <c r="G750" s="2" t="inlineStr">
        <is>
          <t>504</t>
        </is>
      </c>
      <c r="H750">
        <f>IFERROR(VLOOKUP(G750&amp;"",PLANO!A:B,2,FALSE),"CONTA NAO EXISTE NO PLANO")</f>
        <v/>
      </c>
      <c r="I750" t="inlineStr">
        <is>
          <t>504</t>
        </is>
      </c>
      <c r="J750" t="inlineStr">
        <is>
          <t>SEM COSMOS</t>
        </is>
      </c>
      <c r="K750" t="inlineStr"/>
      <c r="L750" t="inlineStr"/>
      <c r="M750" t="inlineStr">
        <is>
          <t>PIX TRANSF 14 204 20/04</t>
        </is>
      </c>
    </row>
    <row r="751">
      <c r="A751" s="4" t="n">
        <v>750</v>
      </c>
      <c r="B751" s="4" t="inlineStr">
        <is>
          <t>20/04/2026</t>
        </is>
      </c>
      <c r="C751" s="4" t="inlineStr">
        <is>
          <t>REF. A PIX ENVIADO GULA COSMETI - OUTRAS SAIDAS</t>
        </is>
      </c>
      <c r="D751" s="5" t="n">
        <v>-8500</v>
      </c>
      <c r="E751" s="4" t="inlineStr">
        <is>
          <t>506</t>
        </is>
      </c>
      <c r="F751" s="4" t="inlineStr">
        <is>
          <t>FORNECEDORES DIVERSOS</t>
        </is>
      </c>
      <c r="G751" s="6" t="inlineStr">
        <is>
          <t>366</t>
        </is>
      </c>
      <c r="H751" s="4">
        <f>IFERROR(VLOOKUP(G751&amp;"",PLANO!A:B,2,FALSE),"CONTA NAO EXISTE NO PLANO")</f>
        <v/>
      </c>
      <c r="I751" s="4" t="inlineStr">
        <is>
          <t>672</t>
        </is>
      </c>
      <c r="J751" s="4" t="inlineStr">
        <is>
          <t>AJUSTADO</t>
        </is>
      </c>
      <c r="K751" s="4" t="inlineStr">
        <is>
          <t>GULA/FIQUE BEM (mesmo CNPJ, empresa do grupo) - mutuo em EMPRESTIMOS A TERCEIROS (366); nao e fornecedor</t>
        </is>
      </c>
      <c r="L751" s="4" t="inlineStr">
        <is>
          <t xml:space="preserve">OUTRAS SAIDAS | 123/71 | </t>
        </is>
      </c>
      <c r="M751" s="4" t="inlineStr">
        <is>
          <t>PIX ENVIADO GULA COSMETI - OUTRAS SAIDAS</t>
        </is>
      </c>
    </row>
    <row r="752">
      <c r="A752" s="4" t="n">
        <v>751</v>
      </c>
      <c r="B752" s="4" t="inlineStr">
        <is>
          <t>22/04/2026</t>
        </is>
      </c>
      <c r="C752" s="4" t="inlineStr">
        <is>
          <t>REF. A SISPAG F.V.S COMERCIO D</t>
        </is>
      </c>
      <c r="D752" s="5" t="n">
        <v>2000</v>
      </c>
      <c r="E752" s="4" t="inlineStr">
        <is>
          <t>662</t>
        </is>
      </c>
      <c r="F752" s="4" t="inlineStr">
        <is>
          <t>EMPRESTIMO F.V.S COMERCIO (45.569.661/0001-04)</t>
        </is>
      </c>
      <c r="G752" s="6" t="inlineStr">
        <is>
          <t>662</t>
        </is>
      </c>
      <c r="H752" s="4">
        <f>IFERROR(VLOOKUP(G752&amp;"",PLANO!A:B,2,FALSE),"CONTA NAO EXISTE NO PLANO")</f>
        <v/>
      </c>
      <c r="I752" s="4" t="inlineStr">
        <is>
          <t>662</t>
        </is>
      </c>
      <c r="J752" s="4" t="inlineStr">
        <is>
          <t>AJUSTADO</t>
        </is>
      </c>
      <c r="K752" s="4" t="inlineStr">
        <is>
          <t>F.V.S - conta-corrente unica de mutuo (662)</t>
        </is>
      </c>
      <c r="L752" s="4" t="inlineStr"/>
      <c r="M752" s="4" t="inlineStr">
        <is>
          <t>SISPAG F.V.S COMERCIO D</t>
        </is>
      </c>
    </row>
    <row r="753">
      <c r="A753" s="4" t="n">
        <v>752</v>
      </c>
      <c r="B753" s="4" t="inlineStr">
        <is>
          <t>22/04/2026</t>
        </is>
      </c>
      <c r="C753" s="4" t="inlineStr">
        <is>
          <t>REF. A SISPAG F.V.S COMERCIO D</t>
        </is>
      </c>
      <c r="D753" s="5" t="n">
        <v>1100</v>
      </c>
      <c r="E753" s="4" t="inlineStr">
        <is>
          <t>662</t>
        </is>
      </c>
      <c r="F753" s="4" t="inlineStr">
        <is>
          <t>EMPRESTIMO F.V.S COMERCIO (45.569.661/0001-04)</t>
        </is>
      </c>
      <c r="G753" s="6" t="inlineStr">
        <is>
          <t>662</t>
        </is>
      </c>
      <c r="H753" s="4">
        <f>IFERROR(VLOOKUP(G753&amp;"",PLANO!A:B,2,FALSE),"CONTA NAO EXISTE NO PLANO")</f>
        <v/>
      </c>
      <c r="I753" s="4" t="inlineStr">
        <is>
          <t>662</t>
        </is>
      </c>
      <c r="J753" s="4" t="inlineStr">
        <is>
          <t>AJUSTADO</t>
        </is>
      </c>
      <c r="K753" s="4" t="inlineStr">
        <is>
          <t>F.V.S - conta-corrente unica de mutuo (662)</t>
        </is>
      </c>
      <c r="L753" s="4" t="inlineStr"/>
      <c r="M753" s="4" t="inlineStr">
        <is>
          <t>SISPAG F.V.S COMERCIO D</t>
        </is>
      </c>
    </row>
    <row r="754">
      <c r="A754" t="n">
        <v>753</v>
      </c>
      <c r="B754" t="inlineStr">
        <is>
          <t>22/04/2026</t>
        </is>
      </c>
      <c r="C754" t="inlineStr">
        <is>
          <t>REF. A REDE ELO AT0081996543</t>
        </is>
      </c>
      <c r="D754" s="7" t="n">
        <v>457.85</v>
      </c>
      <c r="E754" t="inlineStr">
        <is>
          <t>504</t>
        </is>
      </c>
      <c r="F754" t="inlineStr">
        <is>
          <t>CLIENTES DIVERSOS</t>
        </is>
      </c>
      <c r="G754" s="2" t="inlineStr">
        <is>
          <t>504</t>
        </is>
      </c>
      <c r="H754">
        <f>IFERROR(VLOOKUP(G754&amp;"",PLANO!A:B,2,FALSE),"CONTA NAO EXISTE NO PLANO")</f>
        <v/>
      </c>
      <c r="I754" t="inlineStr">
        <is>
          <t>504</t>
        </is>
      </c>
      <c r="J754" t="inlineStr">
        <is>
          <t>SEM COSMOS</t>
        </is>
      </c>
      <c r="K754" t="inlineStr"/>
      <c r="L754" t="inlineStr"/>
      <c r="M754" t="inlineStr">
        <is>
          <t>REDE ELO AT0081996543</t>
        </is>
      </c>
    </row>
    <row r="755">
      <c r="A755" t="n">
        <v>754</v>
      </c>
      <c r="B755" t="inlineStr">
        <is>
          <t>22/04/2026</t>
        </is>
      </c>
      <c r="C755" t="inlineStr">
        <is>
          <t>REF. A REDE MAST AT0081996543</t>
        </is>
      </c>
      <c r="D755" s="7" t="n">
        <v>552.7</v>
      </c>
      <c r="E755" t="inlineStr">
        <is>
          <t>504</t>
        </is>
      </c>
      <c r="F755" t="inlineStr">
        <is>
          <t>CLIENTES DIVERSOS</t>
        </is>
      </c>
      <c r="G755" s="2" t="inlineStr">
        <is>
          <t>504</t>
        </is>
      </c>
      <c r="H755">
        <f>IFERROR(VLOOKUP(G755&amp;"",PLANO!A:B,2,FALSE),"CONTA NAO EXISTE NO PLANO")</f>
        <v/>
      </c>
      <c r="I755" t="inlineStr">
        <is>
          <t>504</t>
        </is>
      </c>
      <c r="J755" t="inlineStr">
        <is>
          <t>SEM COSMOS</t>
        </is>
      </c>
      <c r="K755" t="inlineStr"/>
      <c r="L755" t="inlineStr"/>
      <c r="M755" t="inlineStr">
        <is>
          <t>REDE MAST AT0081996543</t>
        </is>
      </c>
    </row>
    <row r="756">
      <c r="A756" s="11" t="n">
        <v>755</v>
      </c>
      <c r="B756" s="11" t="inlineStr">
        <is>
          <t>22/04/2026</t>
        </is>
      </c>
      <c r="C756" s="11" t="inlineStr">
        <is>
          <t>REF. A PIX ENVIADO MARCELO HENR - MARCELO HENRIQUE MAZZONI PGTO REF.COMPRA DE MARCAS ALL NATURE, TRIOX ETIMBERMAM, CONFORME CONTRATO EM 25/04/2025</t>
        </is>
      </c>
      <c r="D756" s="12" t="n">
        <v>-2000</v>
      </c>
      <c r="E756" s="11" t="inlineStr">
        <is>
          <t>506</t>
        </is>
      </c>
      <c r="F756" s="11" t="inlineStr">
        <is>
          <t>FORNECEDORES DIVERSOS</t>
        </is>
      </c>
      <c r="G756" s="13" t="inlineStr">
        <is>
          <t>506</t>
        </is>
      </c>
      <c r="H756" s="11">
        <f>IFERROR(VLOOKUP(G756&amp;"",PLANO!A:B,2,FALSE),"CONTA NAO EXISTE NO PLANO")</f>
        <v/>
      </c>
      <c r="I756" s="11" t="inlineStr">
        <is>
          <t>506</t>
        </is>
      </c>
      <c r="J756" s="11" t="inlineStr">
        <is>
          <t>MANTIDO</t>
        </is>
      </c>
      <c r="K756" s="11" t="inlineStr">
        <is>
          <t>socios Mazzoni (fora do contrato social) - mantido como estava</t>
        </is>
      </c>
      <c r="L756" s="11" t="inlineStr">
        <is>
          <t>MARCELO HENRIQUE MAZZONI | 115/182 | PGTO REF.COMPRA DE MARCAS ALL NATURE, TRIOX E TIMBERMAM, CONFORME CONTRATO EM 25/04/2025</t>
        </is>
      </c>
      <c r="M756" s="11" t="inlineStr">
        <is>
          <t>MARCELO HENRIQUE MAZZONI - PGTO REF.COMPRA DE MARCAS ALL NATURE, TRIOX E TIMBERMAM, CONFORME CONTRATO EM 25</t>
        </is>
      </c>
    </row>
    <row r="757">
      <c r="A757" t="n">
        <v>756</v>
      </c>
      <c r="B757" t="inlineStr">
        <is>
          <t>22/04/2026</t>
        </is>
      </c>
      <c r="C757" t="inlineStr">
        <is>
          <t>REF. A PIX ENVIADO BRENNTAG SPE - PIC QUIMICA E FARMACEUTICA LTDA. PAGTO REF. A COMPRA DE MATERIA PRIMA</t>
        </is>
      </c>
      <c r="D757" s="7" t="n">
        <v>-3375.47</v>
      </c>
      <c r="E757" t="inlineStr">
        <is>
          <t>506</t>
        </is>
      </c>
      <c r="F757" t="inlineStr">
        <is>
          <t>FORNECEDORES DIVERSOS</t>
        </is>
      </c>
      <c r="G757" s="2" t="inlineStr">
        <is>
          <t>506</t>
        </is>
      </c>
      <c r="H757">
        <f>IFERROR(VLOOKUP(G757&amp;"",PLANO!A:B,2,FALSE),"CONTA NAO EXISTE NO PLANO")</f>
        <v/>
      </c>
      <c r="I757" t="inlineStr">
        <is>
          <t>506</t>
        </is>
      </c>
      <c r="J757" t="inlineStr">
        <is>
          <t>OK</t>
        </is>
      </c>
      <c r="K757" t="inlineStr">
        <is>
          <t>fornecedor com NF</t>
        </is>
      </c>
      <c r="L757" t="inlineStr">
        <is>
          <t>PIC QUIMICA E FARMACEUTICA LTDA. | 115/6 | PAGTO REF. A COMPRA DE MATERIA PRIMA</t>
        </is>
      </c>
      <c r="M757" t="inlineStr">
        <is>
          <t>PIC QUIMICA E FARMACEUTICA LTDA. - PAGTO REF. A COMPRA DE MATERIA PRIMA</t>
        </is>
      </c>
    </row>
    <row r="758">
      <c r="A758" s="4" t="n">
        <v>757</v>
      </c>
      <c r="B758" s="4" t="inlineStr">
        <is>
          <t>22/04/2026</t>
        </is>
      </c>
      <c r="C758" s="4" t="inlineStr">
        <is>
          <t>REF. A PIX ENVIADO COSMETICON C</t>
        </is>
      </c>
      <c r="D758" s="5" t="n">
        <v>-3100</v>
      </c>
      <c r="E758" s="4" t="inlineStr">
        <is>
          <t>664</t>
        </is>
      </c>
      <c r="F758" s="4" t="inlineStr">
        <is>
          <t>COSMETICON COMERCIO DE COSMETICOS LTDA</t>
        </is>
      </c>
      <c r="G758" s="6" t="inlineStr">
        <is>
          <t>663</t>
        </is>
      </c>
      <c r="H758" s="4">
        <f>IFERROR(VLOOKUP(G758&amp;"",PLANO!A:B,2,FALSE),"CONTA NAO EXISTE NO PLANO")</f>
        <v/>
      </c>
      <c r="I758" s="4" t="inlineStr">
        <is>
          <t>663</t>
        </is>
      </c>
      <c r="J758" s="4" t="inlineStr">
        <is>
          <t>AJUSTADO</t>
        </is>
      </c>
      <c r="K758" s="4" t="inlineStr">
        <is>
          <t>COSMETICON - conta-corrente unica de mutuo (663)</t>
        </is>
      </c>
      <c r="L758" s="4" t="inlineStr">
        <is>
          <t xml:space="preserve">OUTRAS SAIDAS | 123/71 | </t>
        </is>
      </c>
      <c r="M758" s="4" t="inlineStr">
        <is>
          <t>PIX ENVIADO COSMETICON C</t>
        </is>
      </c>
    </row>
    <row r="759">
      <c r="A759" s="11" t="n">
        <v>758</v>
      </c>
      <c r="B759" s="11" t="inlineStr">
        <is>
          <t>22/04/2026</t>
        </is>
      </c>
      <c r="C759" s="11" t="inlineStr">
        <is>
          <t>REF. A PIX ENVIADO INNOVARTH CO - INNOVARTH COMERCIO DE PRODUTOS QUIMICOS LTDA PAGTO REF. SERVIÇOS PRESTADOS CONF. CONTRATO</t>
        </is>
      </c>
      <c r="D759" s="12" t="n">
        <v>-1168</v>
      </c>
      <c r="E759" s="11" t="inlineStr">
        <is>
          <t>506</t>
        </is>
      </c>
      <c r="F759" s="11" t="inlineStr">
        <is>
          <t>FORNECEDORES DIVERSOS</t>
        </is>
      </c>
      <c r="G759" s="13" t="inlineStr">
        <is>
          <t>506</t>
        </is>
      </c>
      <c r="H759" s="11">
        <f>IFERROR(VLOOKUP(G759&amp;"",PLANO!A:B,2,FALSE),"CONTA NAO EXISTE NO PLANO")</f>
        <v/>
      </c>
      <c r="I759" s="11" t="inlineStr">
        <is>
          <t>362</t>
        </is>
      </c>
      <c r="J759" s="11" t="inlineStr">
        <is>
          <t>MANTIDO</t>
        </is>
      </c>
      <c r="K759" s="11" t="inlineStr">
        <is>
          <t>Cosmos: servicos/comissao lancado em 506 - se houver NFS-e lancada no fiscal, 506 esta certo | mantida a conta atual (sem informacao que justifique troca)</t>
        </is>
      </c>
      <c r="L759" s="11" t="inlineStr">
        <is>
          <t>INNOVARTH COMERCIO DE PRODUTOS QUIMICOS LTDA | 115/170 | PAGTO REF. SERVIÇOS PRESTADOS CONF. CONTRATO</t>
        </is>
      </c>
      <c r="M759" s="11" t="inlineStr">
        <is>
          <t>INNOVARTH COMERCIO DE PRODUTOS QUIMICOS LTDA - PAGTO REF. SERVIÇOS PRESTADOS CONF. CONTRATO</t>
        </is>
      </c>
    </row>
    <row r="760">
      <c r="A760" s="4" t="n">
        <v>759</v>
      </c>
      <c r="B760" s="4" t="inlineStr">
        <is>
          <t>22/04/2026</t>
        </is>
      </c>
      <c r="C760" s="4" t="inlineStr">
        <is>
          <t>REF A PIX ENVIADO MARCIA DO CA - MARCIA DO CARMO DE BRITO PGTO REF.COMISSÃO S/VENDAS</t>
        </is>
      </c>
      <c r="D760" s="5" t="n">
        <v>-1000</v>
      </c>
      <c r="E760" s="4" t="inlineStr">
        <is>
          <t>362</t>
        </is>
      </c>
      <c r="F760" s="4" t="inlineStr">
        <is>
          <t>SERVIÇOS PRESTADOS POR TERCEIROS</t>
        </is>
      </c>
      <c r="G760" s="6" t="inlineStr">
        <is>
          <t>308</t>
        </is>
      </c>
      <c r="H760" s="4">
        <f>IFERROR(VLOOKUP(G760&amp;"",PLANO!A:B,2,FALSE),"CONTA NAO EXISTE NO PLANO")</f>
        <v/>
      </c>
      <c r="I760" s="4" t="inlineStr">
        <is>
          <t>362</t>
        </is>
      </c>
      <c r="J760" s="4" t="inlineStr">
        <is>
          <t>AJUSTADO</t>
        </is>
      </c>
      <c r="K760" s="4" t="inlineStr">
        <is>
          <t>comissao sobre vendas -&gt; 308 COMISSOES (conta existente no plano)</t>
        </is>
      </c>
      <c r="L760" s="4" t="inlineStr">
        <is>
          <t>MARCIA DO CARMO DE BRITO | 115/53 | PGTO REF.COMISSÃO S/VENDAS</t>
        </is>
      </c>
      <c r="M760" s="4" t="inlineStr">
        <is>
          <t>MARCIA DO CARMO DE BRITO - PGTO REF.COMISSÃO S/VENDAS</t>
        </is>
      </c>
    </row>
    <row r="761">
      <c r="A761" t="n">
        <v>760</v>
      </c>
      <c r="B761" t="inlineStr">
        <is>
          <t>22/04/2026</t>
        </is>
      </c>
      <c r="C761" t="inlineStr">
        <is>
          <t>REF. A PIX ENVIADO MARCIO ANTON - MARCIO ANTONIO RUSSO - PGTO REF.SERVIÇOS PRESTADOS CONF.CONTRATO</t>
        </is>
      </c>
      <c r="D761" s="7" t="n">
        <v>-2000</v>
      </c>
      <c r="E761" t="inlineStr">
        <is>
          <t>362</t>
        </is>
      </c>
      <c r="F761" t="inlineStr">
        <is>
          <t>SERVIÇOS PRESTADOS POR TERCEIROS</t>
        </is>
      </c>
      <c r="G761" s="2" t="inlineStr">
        <is>
          <t>362</t>
        </is>
      </c>
      <c r="H761">
        <f>IFERROR(VLOOKUP(G761&amp;"",PLANO!A:B,2,FALSE),"CONTA NAO EXISTE NO PLANO")</f>
        <v/>
      </c>
      <c r="I761" t="inlineStr">
        <is>
          <t>362</t>
        </is>
      </c>
      <c r="J761" t="inlineStr">
        <is>
          <t>OK</t>
        </is>
      </c>
      <c r="K761" t="inlineStr">
        <is>
          <t>servico prestado</t>
        </is>
      </c>
      <c r="L761" t="inlineStr">
        <is>
          <t>MARCIO ANTONIO RUSSO 64538427934 | 115/81 | PGTO REF.SERVIÇOS PRESTADOS CONF.CONTRATO</t>
        </is>
      </c>
      <c r="M761" t="inlineStr">
        <is>
          <t>MARCIO ANTONIO RUSSO 64538427934 - PGTO REF.SERVIÇOS PRESTADOS CONF.CONTRATO</t>
        </is>
      </c>
    </row>
    <row r="762">
      <c r="A762" s="4" t="n">
        <v>761</v>
      </c>
      <c r="B762" s="4" t="inlineStr">
        <is>
          <t>22/04/2026</t>
        </is>
      </c>
      <c r="C762" s="4" t="inlineStr">
        <is>
          <t>REF A PIX ENVIADO MARCIA CAUCA  - PGTO REF.COMISSÃO S/VENDAS</t>
        </is>
      </c>
      <c r="D762" s="5" t="n">
        <v>-2000</v>
      </c>
      <c r="E762" s="4" t="inlineStr">
        <is>
          <t>362</t>
        </is>
      </c>
      <c r="F762" s="4" t="inlineStr">
        <is>
          <t>SERVIÇOS PRESTADOS POR TERCEIROS</t>
        </is>
      </c>
      <c r="G762" s="6" t="inlineStr">
        <is>
          <t>308</t>
        </is>
      </c>
      <c r="H762" s="4">
        <f>IFERROR(VLOOKUP(G762&amp;"",PLANO!A:B,2,FALSE),"CONTA NAO EXISTE NO PLANO")</f>
        <v/>
      </c>
      <c r="I762" s="4" t="inlineStr">
        <is>
          <t>362</t>
        </is>
      </c>
      <c r="J762" s="4" t="inlineStr">
        <is>
          <t>AJUSTADO</t>
        </is>
      </c>
      <c r="K762" s="4" t="inlineStr">
        <is>
          <t>comissao sobre vendas -&gt; 308 COMISSOES (conta existente no plano)</t>
        </is>
      </c>
      <c r="L762" s="4" t="inlineStr">
        <is>
          <t>MARCIA CAUCA | 115/53 | PGTO REF.COMISSÃO S/VENDAS</t>
        </is>
      </c>
      <c r="M762" s="4" t="inlineStr">
        <is>
          <t>MARCIA CAUCA - PGTO REF.COMISSÃO S/VENDAS</t>
        </is>
      </c>
    </row>
    <row r="763">
      <c r="A763" t="n">
        <v>762</v>
      </c>
      <c r="B763" t="inlineStr">
        <is>
          <t>22/04/2026</t>
        </is>
      </c>
      <c r="C763" t="inlineStr">
        <is>
          <t>REF. A PIX ENVIADO THIAGO TAIT - THIAGO TAIT DAS CHAGAS PGTO REF.SERVIÇOS PRESTADOS CONF.CONTRATO</t>
        </is>
      </c>
      <c r="D763" s="7" t="n">
        <v>-1000</v>
      </c>
      <c r="E763" t="inlineStr">
        <is>
          <t>362</t>
        </is>
      </c>
      <c r="F763" t="inlineStr">
        <is>
          <t>SERVIÇOS PRESTADOS POR TERCEIROS</t>
        </is>
      </c>
      <c r="G763" s="2" t="inlineStr">
        <is>
          <t>362</t>
        </is>
      </c>
      <c r="H763">
        <f>IFERROR(VLOOKUP(G763&amp;"",PLANO!A:B,2,FALSE),"CONTA NAO EXISTE NO PLANO")</f>
        <v/>
      </c>
      <c r="I763" t="inlineStr">
        <is>
          <t>362</t>
        </is>
      </c>
      <c r="J763" t="inlineStr">
        <is>
          <t>OK</t>
        </is>
      </c>
      <c r="K763" t="inlineStr">
        <is>
          <t>servico prestado</t>
        </is>
      </c>
      <c r="L763" t="inlineStr">
        <is>
          <t>THIAGO TAIT DAS CHAGAS | 115/81 | PGTO REF.SERVIÇOS PRESTADOS CONF.CONTRATO</t>
        </is>
      </c>
      <c r="M763" t="inlineStr">
        <is>
          <t>THIAGO TAIT DAS CHAGAS - PGTO REF.SERVIÇOS PRESTADOS CONF.CONTRATO</t>
        </is>
      </c>
    </row>
    <row r="764">
      <c r="A764" s="11" t="n">
        <v>763</v>
      </c>
      <c r="B764" s="11" t="inlineStr">
        <is>
          <t>22/04/2026</t>
        </is>
      </c>
      <c r="C764" s="11" t="inlineStr">
        <is>
          <t>REF. A PIX ENVIADO LUIZ HENRIQU</t>
        </is>
      </c>
      <c r="D764" s="12" t="n">
        <v>-1000</v>
      </c>
      <c r="E764" s="11" t="inlineStr">
        <is>
          <t>187</t>
        </is>
      </c>
      <c r="F764" s="11" t="inlineStr">
        <is>
          <t>SALÁRIOS E ORDENADOS A PAGAR</t>
        </is>
      </c>
      <c r="G764" s="13" t="inlineStr">
        <is>
          <t>187</t>
        </is>
      </c>
      <c r="H764" s="11">
        <f>IFERROR(VLOOKUP(G764&amp;"",PLANO!A:B,2,FALSE),"CONTA NAO EXISTE NO PLANO")</f>
        <v/>
      </c>
      <c r="I764" s="11" t="inlineStr">
        <is>
          <t>187</t>
        </is>
      </c>
      <c r="J764" s="11" t="inlineStr">
        <is>
          <t>MANTIDO</t>
        </is>
      </c>
      <c r="K764" s="11" t="inlineStr">
        <is>
          <t>socios Mazzoni (fora do contrato social) - mantido como estava</t>
        </is>
      </c>
      <c r="L764" s="11" t="inlineStr">
        <is>
          <t>MARCELO HENRIQUE MAZZONI | 115/182 | PGTO REF.COMPRA DE MARCAS ALL NATURE, TRIOX E TIMBERMAM, CONFORME CONTRATO EM 25/04/2025</t>
        </is>
      </c>
      <c r="M764" s="11" t="inlineStr">
        <is>
          <t>MARCELO HENRIQUE MAZZONI - PGTO REF.COMPRA DE MARCAS ALL NATURE, TRIOX E TIMBERMAM, CONFORME CONTRATO EM 25</t>
        </is>
      </c>
    </row>
    <row r="765">
      <c r="A765" t="n">
        <v>764</v>
      </c>
      <c r="B765" t="inlineStr">
        <is>
          <t>22/04/2026</t>
        </is>
      </c>
      <c r="C765" t="inlineStr">
        <is>
          <t>REF. A PIX ENVIADO ISMAEL CORDE</t>
        </is>
      </c>
      <c r="D765" s="7" t="n">
        <v>-1000</v>
      </c>
      <c r="E765" t="inlineStr">
        <is>
          <t>362</t>
        </is>
      </c>
      <c r="F765" t="inlineStr">
        <is>
          <t>SERVIÇOS PRESTADOS POR TERCEIROS</t>
        </is>
      </c>
      <c r="G765" s="2" t="inlineStr">
        <is>
          <t>362</t>
        </is>
      </c>
      <c r="H765">
        <f>IFERROR(VLOOKUP(G765&amp;"",PLANO!A:B,2,FALSE),"CONTA NAO EXISTE NO PLANO")</f>
        <v/>
      </c>
      <c r="I765" t="inlineStr">
        <is>
          <t>362</t>
        </is>
      </c>
      <c r="J765" t="inlineStr">
        <is>
          <t>SEM COSMOS</t>
        </is>
      </c>
      <c r="K765" t="inlineStr"/>
      <c r="L765" t="inlineStr"/>
      <c r="M765" t="inlineStr">
        <is>
          <t>PIX ENVIADO ISMAEL CORDE</t>
        </is>
      </c>
    </row>
    <row r="766">
      <c r="A766" t="n">
        <v>765</v>
      </c>
      <c r="B766" t="inlineStr">
        <is>
          <t>22/04/2026</t>
        </is>
      </c>
      <c r="C766" t="inlineStr">
        <is>
          <t>PIX ENVIADO SUZAN CRISTI - SUZAN CRISTINA ROSSI PGTO REF.SERVIÇOS PRESTADOS CONF.CONTRATO</t>
        </is>
      </c>
      <c r="D766" s="7" t="n">
        <v>-2000</v>
      </c>
      <c r="E766" t="inlineStr">
        <is>
          <t>362</t>
        </is>
      </c>
      <c r="F766" t="inlineStr">
        <is>
          <t>SERVIÇOS PRESTADOS POR TERCEIROS</t>
        </is>
      </c>
      <c r="G766" s="2" t="inlineStr">
        <is>
          <t>362</t>
        </is>
      </c>
      <c r="H766">
        <f>IFERROR(VLOOKUP(G766&amp;"",PLANO!A:B,2,FALSE),"CONTA NAO EXISTE NO PLANO")</f>
        <v/>
      </c>
      <c r="I766" t="inlineStr">
        <is>
          <t>362</t>
        </is>
      </c>
      <c r="J766" t="inlineStr">
        <is>
          <t>OK</t>
        </is>
      </c>
      <c r="K766" t="inlineStr">
        <is>
          <t>servico prestado</t>
        </is>
      </c>
      <c r="L766" t="inlineStr">
        <is>
          <t>SUZAN CRISTINA ROSSI | 115/81 | PGTO REF.SERVIÇOS PRESTADOS CONF.CONTRATO</t>
        </is>
      </c>
      <c r="M766" t="inlineStr">
        <is>
          <t>SUZAN CRISTINA ROSSI - PGTO REF.SERVIÇOS PRESTADOS CONF.CONTRATO</t>
        </is>
      </c>
    </row>
    <row r="767">
      <c r="A767" t="n">
        <v>766</v>
      </c>
      <c r="B767" t="inlineStr">
        <is>
          <t>22/04/2026</t>
        </is>
      </c>
      <c r="C767" t="inlineStr">
        <is>
          <t>REF. A BOLETO PAGO TRANSAL - TRANSAL TRANSPORTADORA SALVAN LTDA PAGAMENTO REFERENTE A FRETE SOBRE COMPRAS</t>
        </is>
      </c>
      <c r="D767" s="7" t="n">
        <v>-579.75</v>
      </c>
      <c r="E767" t="inlineStr">
        <is>
          <t>312</t>
        </is>
      </c>
      <c r="F767" t="inlineStr">
        <is>
          <t>FRETES E CARRETOS</t>
        </is>
      </c>
      <c r="G767" s="2" t="inlineStr">
        <is>
          <t>312</t>
        </is>
      </c>
      <c r="H767">
        <f>IFERROR(VLOOKUP(G767&amp;"",PLANO!A:B,2,FALSE),"CONTA NAO EXISTE NO PLANO")</f>
        <v/>
      </c>
      <c r="I767" t="inlineStr">
        <is>
          <t>312</t>
        </is>
      </c>
      <c r="J767" t="inlineStr">
        <is>
          <t>OK</t>
        </is>
      </c>
      <c r="K767" t="inlineStr">
        <is>
          <t>categoria Cosmos 4</t>
        </is>
      </c>
      <c r="L767" t="inlineStr">
        <is>
          <t>TRANSAL TRANSPORTADORA SALVAN LTDA | 115/4 | PAGAMENTO REFERENTE A FRETE SOBRE COMPRAS</t>
        </is>
      </c>
      <c r="M767" t="inlineStr">
        <is>
          <t>TRANSAL TRANSPORTADORA SALVAN LTDA - PAGAMENTO REFERENTE A FRETE SOBRE COMPRAS</t>
        </is>
      </c>
    </row>
    <row r="768">
      <c r="A768" t="n">
        <v>767</v>
      </c>
      <c r="B768" t="inlineStr">
        <is>
          <t>22/04/2026</t>
        </is>
      </c>
      <c r="C768" t="inlineStr">
        <is>
          <t>REF. A BOLETO PAGO 60512435 ALT</t>
        </is>
      </c>
      <c r="D768" s="7" t="n">
        <v>-320</v>
      </c>
      <c r="E768" t="inlineStr">
        <is>
          <t>506</t>
        </is>
      </c>
      <c r="F768" t="inlineStr">
        <is>
          <t>FORNECEDORES DIVERSOS</t>
        </is>
      </c>
      <c r="G768" s="2" t="inlineStr">
        <is>
          <t>506</t>
        </is>
      </c>
      <c r="H768">
        <f>IFERROR(VLOOKUP(G768&amp;"",PLANO!A:B,2,FALSE),"CONTA NAO EXISTE NO PLANO")</f>
        <v/>
      </c>
      <c r="I768" t="inlineStr">
        <is>
          <t>506</t>
        </is>
      </c>
      <c r="J768" t="inlineStr">
        <is>
          <t>SEM COSMOS</t>
        </is>
      </c>
      <c r="K768" t="inlineStr"/>
      <c r="L768" t="inlineStr"/>
      <c r="M768" t="inlineStr">
        <is>
          <t>BOLETO PAGO 60512435 ALT</t>
        </is>
      </c>
    </row>
    <row r="769">
      <c r="A769" t="n">
        <v>768</v>
      </c>
      <c r="B769" t="inlineStr">
        <is>
          <t>23/04/2026</t>
        </is>
      </c>
      <c r="C769" t="inlineStr">
        <is>
          <t>REF. A MOV TIT COB DISP 23/04S</t>
        </is>
      </c>
      <c r="D769" s="7" t="n">
        <v>2653.87</v>
      </c>
      <c r="E769" t="inlineStr">
        <is>
          <t>504</t>
        </is>
      </c>
      <c r="F769" t="inlineStr">
        <is>
          <t>CLIENTES DIVERSOS</t>
        </is>
      </c>
      <c r="G769" s="2" t="inlineStr">
        <is>
          <t>504</t>
        </is>
      </c>
      <c r="H769">
        <f>IFERROR(VLOOKUP(G769&amp;"",PLANO!A:B,2,FALSE),"CONTA NAO EXISTE NO PLANO")</f>
        <v/>
      </c>
      <c r="I769" t="inlineStr">
        <is>
          <t>504</t>
        </is>
      </c>
      <c r="J769" t="inlineStr">
        <is>
          <t>SEM COSMOS</t>
        </is>
      </c>
      <c r="K769" t="inlineStr"/>
      <c r="L769" t="inlineStr"/>
      <c r="M769" t="inlineStr">
        <is>
          <t>MOV TIT COB DISP 23/04S</t>
        </is>
      </c>
    </row>
    <row r="770">
      <c r="A770" t="n">
        <v>769</v>
      </c>
      <c r="B770" t="inlineStr">
        <is>
          <t>23/04/2026</t>
        </is>
      </c>
      <c r="C770" t="inlineStr">
        <is>
          <t>REF. A REDE ELO AT0081996543</t>
        </is>
      </c>
      <c r="D770" s="7" t="n">
        <v>242.74</v>
      </c>
      <c r="E770" t="inlineStr">
        <is>
          <t>504</t>
        </is>
      </c>
      <c r="F770" t="inlineStr">
        <is>
          <t>CLIENTES DIVERSOS</t>
        </is>
      </c>
      <c r="G770" s="2" t="inlineStr">
        <is>
          <t>504</t>
        </is>
      </c>
      <c r="H770">
        <f>IFERROR(VLOOKUP(G770&amp;"",PLANO!A:B,2,FALSE),"CONTA NAO EXISTE NO PLANO")</f>
        <v/>
      </c>
      <c r="I770" t="inlineStr">
        <is>
          <t>504</t>
        </is>
      </c>
      <c r="J770" t="inlineStr">
        <is>
          <t>SEM COSMOS</t>
        </is>
      </c>
      <c r="K770" t="inlineStr"/>
      <c r="L770" t="inlineStr"/>
      <c r="M770" t="inlineStr">
        <is>
          <t>REDE ELO AT0081996543</t>
        </is>
      </c>
    </row>
    <row r="771">
      <c r="A771" t="n">
        <v>770</v>
      </c>
      <c r="B771" t="inlineStr">
        <is>
          <t>23/04/2026</t>
        </is>
      </c>
      <c r="C771" t="inlineStr">
        <is>
          <t>REF. A REDE MAST AT0081996543</t>
        </is>
      </c>
      <c r="D771" s="7" t="n">
        <v>1061.83</v>
      </c>
      <c r="E771" t="inlineStr">
        <is>
          <t>504</t>
        </is>
      </c>
      <c r="F771" t="inlineStr">
        <is>
          <t>CLIENTES DIVERSOS</t>
        </is>
      </c>
      <c r="G771" s="2" t="inlineStr">
        <is>
          <t>504</t>
        </is>
      </c>
      <c r="H771">
        <f>IFERROR(VLOOKUP(G771&amp;"",PLANO!A:B,2,FALSE),"CONTA NAO EXISTE NO PLANO")</f>
        <v/>
      </c>
      <c r="I771" t="inlineStr">
        <is>
          <t>504</t>
        </is>
      </c>
      <c r="J771" t="inlineStr">
        <is>
          <t>SEM COSMOS</t>
        </is>
      </c>
      <c r="K771" t="inlineStr"/>
      <c r="L771" t="inlineStr"/>
      <c r="M771" t="inlineStr">
        <is>
          <t>REDE MAST AT0081996543</t>
        </is>
      </c>
    </row>
    <row r="772">
      <c r="A772" t="n">
        <v>771</v>
      </c>
      <c r="B772" t="inlineStr">
        <is>
          <t>23/04/2026</t>
        </is>
      </c>
      <c r="C772" t="inlineStr">
        <is>
          <t>REF. A REDE VISA AT0081996543</t>
        </is>
      </c>
      <c r="D772" s="7" t="n">
        <v>5613.45</v>
      </c>
      <c r="E772" t="inlineStr">
        <is>
          <t>504</t>
        </is>
      </c>
      <c r="F772" t="inlineStr">
        <is>
          <t>CLIENTES DIVERSOS</t>
        </is>
      </c>
      <c r="G772" s="2" t="inlineStr">
        <is>
          <t>504</t>
        </is>
      </c>
      <c r="H772">
        <f>IFERROR(VLOOKUP(G772&amp;"",PLANO!A:B,2,FALSE),"CONTA NAO EXISTE NO PLANO")</f>
        <v/>
      </c>
      <c r="I772" t="inlineStr">
        <is>
          <t>504</t>
        </is>
      </c>
      <c r="J772" t="inlineStr">
        <is>
          <t>SEM COSMOS</t>
        </is>
      </c>
      <c r="K772" t="inlineStr"/>
      <c r="L772" t="inlineStr"/>
      <c r="M772" t="inlineStr">
        <is>
          <t>REDE VISA AT0081996543</t>
        </is>
      </c>
    </row>
    <row r="773">
      <c r="A773" t="n">
        <v>772</v>
      </c>
      <c r="B773" t="inlineStr">
        <is>
          <t>23/04/2026</t>
        </is>
      </c>
      <c r="C773" t="inlineStr">
        <is>
          <t>REF. A PIX TRANSF MARIA A23/04</t>
        </is>
      </c>
      <c r="D773" s="7" t="n">
        <v>592.24</v>
      </c>
      <c r="E773" t="inlineStr">
        <is>
          <t>504</t>
        </is>
      </c>
      <c r="F773" t="inlineStr">
        <is>
          <t>CLIENTES DIVERSOS</t>
        </is>
      </c>
      <c r="G773" s="2" t="inlineStr">
        <is>
          <t>504</t>
        </is>
      </c>
      <c r="H773">
        <f>IFERROR(VLOOKUP(G773&amp;"",PLANO!A:B,2,FALSE),"CONTA NAO EXISTE NO PLANO")</f>
        <v/>
      </c>
      <c r="I773" t="inlineStr">
        <is>
          <t>504</t>
        </is>
      </c>
      <c r="J773" t="inlineStr">
        <is>
          <t>SEM COSMOS</t>
        </is>
      </c>
      <c r="K773" t="inlineStr"/>
      <c r="L773" t="inlineStr"/>
      <c r="M773" t="inlineStr">
        <is>
          <t>PIX TRANSF MARIA A23/04</t>
        </is>
      </c>
    </row>
    <row r="774">
      <c r="A774" t="n">
        <v>773</v>
      </c>
      <c r="B774" t="inlineStr">
        <is>
          <t>23/04/2026</t>
        </is>
      </c>
      <c r="C774" t="inlineStr">
        <is>
          <t>REF. A PIX TRANSF MARIA F23/04</t>
        </is>
      </c>
      <c r="D774" s="7" t="n">
        <v>84</v>
      </c>
      <c r="E774" t="inlineStr">
        <is>
          <t>504</t>
        </is>
      </c>
      <c r="F774" t="inlineStr">
        <is>
          <t>CLIENTES DIVERSOS</t>
        </is>
      </c>
      <c r="G774" s="2" t="inlineStr">
        <is>
          <t>504</t>
        </is>
      </c>
      <c r="H774">
        <f>IFERROR(VLOOKUP(G774&amp;"",PLANO!A:B,2,FALSE),"CONTA NAO EXISTE NO PLANO")</f>
        <v/>
      </c>
      <c r="I774" t="inlineStr">
        <is>
          <t>504</t>
        </is>
      </c>
      <c r="J774" t="inlineStr">
        <is>
          <t>SEM COSMOS</t>
        </is>
      </c>
      <c r="K774" t="inlineStr"/>
      <c r="L774" t="inlineStr"/>
      <c r="M774" t="inlineStr">
        <is>
          <t>PIX TRANSF MARIA F23/04</t>
        </is>
      </c>
    </row>
    <row r="775">
      <c r="A775" t="n">
        <v>774</v>
      </c>
      <c r="B775" t="inlineStr">
        <is>
          <t>23/04/2026</t>
        </is>
      </c>
      <c r="C775" t="inlineStr">
        <is>
          <t>REF. A PIX TRANSF RONALDO23/04</t>
        </is>
      </c>
      <c r="D775" s="7" t="n">
        <v>237.65</v>
      </c>
      <c r="E775" t="inlineStr">
        <is>
          <t>504</t>
        </is>
      </c>
      <c r="F775" t="inlineStr">
        <is>
          <t>CLIENTES DIVERSOS</t>
        </is>
      </c>
      <c r="G775" s="2" t="inlineStr">
        <is>
          <t>504</t>
        </is>
      </c>
      <c r="H775">
        <f>IFERROR(VLOOKUP(G775&amp;"",PLANO!A:B,2,FALSE),"CONTA NAO EXISTE NO PLANO")</f>
        <v/>
      </c>
      <c r="I775" t="inlineStr">
        <is>
          <t>504</t>
        </is>
      </c>
      <c r="J775" t="inlineStr">
        <is>
          <t>SEM COSMOS</t>
        </is>
      </c>
      <c r="K775" t="inlineStr"/>
      <c r="L775" t="inlineStr"/>
      <c r="M775" t="inlineStr">
        <is>
          <t>PIX TRANSF RONALDO23/04</t>
        </is>
      </c>
    </row>
    <row r="776">
      <c r="A776" t="n">
        <v>775</v>
      </c>
      <c r="B776" t="inlineStr">
        <is>
          <t>23/04/2026</t>
        </is>
      </c>
      <c r="C776" t="inlineStr">
        <is>
          <t>REF. A PIX TRANSF VALDIRE23/04</t>
        </is>
      </c>
      <c r="D776" s="7" t="n">
        <v>99.45</v>
      </c>
      <c r="E776" t="inlineStr">
        <is>
          <t>504</t>
        </is>
      </c>
      <c r="F776" t="inlineStr">
        <is>
          <t>CLIENTES DIVERSOS</t>
        </is>
      </c>
      <c r="G776" s="2" t="inlineStr">
        <is>
          <t>504</t>
        </is>
      </c>
      <c r="H776">
        <f>IFERROR(VLOOKUP(G776&amp;"",PLANO!A:B,2,FALSE),"CONTA NAO EXISTE NO PLANO")</f>
        <v/>
      </c>
      <c r="I776" t="inlineStr">
        <is>
          <t>504</t>
        </is>
      </c>
      <c r="J776" t="inlineStr">
        <is>
          <t>SEM COSMOS</t>
        </is>
      </c>
      <c r="K776" t="inlineStr"/>
      <c r="L776" t="inlineStr"/>
      <c r="M776" t="inlineStr">
        <is>
          <t>PIX TRANSF VALDIRE23/04</t>
        </is>
      </c>
    </row>
    <row r="777">
      <c r="A777" t="n">
        <v>776</v>
      </c>
      <c r="B777" t="inlineStr">
        <is>
          <t>23/04/2026</t>
        </is>
      </c>
      <c r="C777" t="inlineStr">
        <is>
          <t>REF. A PIX TRANSF 50.585.23/04</t>
        </is>
      </c>
      <c r="D777" s="7" t="n">
        <v>236</v>
      </c>
      <c r="E777" t="inlineStr">
        <is>
          <t>504</t>
        </is>
      </c>
      <c r="F777" t="inlineStr">
        <is>
          <t>CLIENTES DIVERSOS</t>
        </is>
      </c>
      <c r="G777" s="2" t="inlineStr">
        <is>
          <t>504</t>
        </is>
      </c>
      <c r="H777">
        <f>IFERROR(VLOOKUP(G777&amp;"",PLANO!A:B,2,FALSE),"CONTA NAO EXISTE NO PLANO")</f>
        <v/>
      </c>
      <c r="I777" t="inlineStr">
        <is>
          <t>504</t>
        </is>
      </c>
      <c r="J777" t="inlineStr">
        <is>
          <t>SEM COSMOS</t>
        </is>
      </c>
      <c r="K777" t="inlineStr"/>
      <c r="L777" t="inlineStr"/>
      <c r="M777" t="inlineStr">
        <is>
          <t>PIX TRANSF 50.585.23/04</t>
        </is>
      </c>
    </row>
    <row r="778">
      <c r="A778" t="n">
        <v>777</v>
      </c>
      <c r="B778" t="inlineStr">
        <is>
          <t>23/04/2026</t>
        </is>
      </c>
      <c r="C778" t="inlineStr">
        <is>
          <t>REF. A PIX TRANSF 52.735.23/04</t>
        </is>
      </c>
      <c r="D778" s="7" t="n">
        <v>119.84</v>
      </c>
      <c r="E778" t="inlineStr">
        <is>
          <t>504</t>
        </is>
      </c>
      <c r="F778" t="inlineStr">
        <is>
          <t>CLIENTES DIVERSOS</t>
        </is>
      </c>
      <c r="G778" s="2" t="inlineStr">
        <is>
          <t>504</t>
        </is>
      </c>
      <c r="H778">
        <f>IFERROR(VLOOKUP(G778&amp;"",PLANO!A:B,2,FALSE),"CONTA NAO EXISTE NO PLANO")</f>
        <v/>
      </c>
      <c r="I778" t="inlineStr">
        <is>
          <t>504</t>
        </is>
      </c>
      <c r="J778" t="inlineStr">
        <is>
          <t>SEM COSMOS</t>
        </is>
      </c>
      <c r="K778" t="inlineStr"/>
      <c r="L778" t="inlineStr"/>
      <c r="M778" t="inlineStr">
        <is>
          <t>PIX TRANSF 52.735.23/04</t>
        </is>
      </c>
    </row>
    <row r="779">
      <c r="A779" s="4" t="n">
        <v>778</v>
      </c>
      <c r="B779" s="4" t="inlineStr">
        <is>
          <t>23/04/2026</t>
        </is>
      </c>
      <c r="C779" s="4" t="inlineStr">
        <is>
          <t>REF. A PIX ENVIADO GULA COSMETI</t>
        </is>
      </c>
      <c r="D779" s="5" t="n">
        <v>-6000</v>
      </c>
      <c r="E779" s="4" t="inlineStr">
        <is>
          <t>506</t>
        </is>
      </c>
      <c r="F779" s="4" t="inlineStr">
        <is>
          <t>FORNECEDORES DIVERSOS</t>
        </is>
      </c>
      <c r="G779" s="6" t="inlineStr">
        <is>
          <t>366</t>
        </is>
      </c>
      <c r="H779" s="4">
        <f>IFERROR(VLOOKUP(G779&amp;"",PLANO!A:B,2,FALSE),"CONTA NAO EXISTE NO PLANO")</f>
        <v/>
      </c>
      <c r="I779" s="4" t="inlineStr">
        <is>
          <t>672</t>
        </is>
      </c>
      <c r="J779" s="4" t="inlineStr">
        <is>
          <t>AJUSTADO</t>
        </is>
      </c>
      <c r="K779" s="4" t="inlineStr">
        <is>
          <t>GULA/FIQUE BEM (mesmo CNPJ, empresa do grupo) - mutuo em EMPRESTIMOS A TERCEIROS (366); nao e fornecedor</t>
        </is>
      </c>
      <c r="L779" s="4" t="inlineStr"/>
      <c r="M779" s="4" t="inlineStr">
        <is>
          <t>PIX ENVIADO GULA COSMETI</t>
        </is>
      </c>
    </row>
    <row r="780">
      <c r="A780" t="n">
        <v>779</v>
      </c>
      <c r="B780" t="inlineStr">
        <is>
          <t>23/04/2026</t>
        </is>
      </c>
      <c r="C780" t="inlineStr">
        <is>
          <t>REF A PIX ENVIADO RNX FUNDO DE</t>
        </is>
      </c>
      <c r="D780" s="7" t="n">
        <v>-240</v>
      </c>
      <c r="E780" t="inlineStr">
        <is>
          <t>5</t>
        </is>
      </c>
      <c r="F780" t="inlineStr">
        <is>
          <t>CAIXA GERAL</t>
        </is>
      </c>
      <c r="G780" s="2" t="inlineStr">
        <is>
          <t>5</t>
        </is>
      </c>
      <c r="H780">
        <f>IFERROR(VLOOKUP(G780&amp;"",PLANO!A:B,2,FALSE),"CONTA NAO EXISTE NO PLANO")</f>
        <v/>
      </c>
      <c r="I780" t="inlineStr">
        <is>
          <t>5</t>
        </is>
      </c>
      <c r="J780" t="inlineStr">
        <is>
          <t>SEM COSMOS</t>
        </is>
      </c>
      <c r="K780" t="inlineStr"/>
      <c r="L780" t="inlineStr"/>
      <c r="M780" t="inlineStr">
        <is>
          <t>PIX ENVIADO RNX FUNDO DE</t>
        </is>
      </c>
    </row>
    <row r="781">
      <c r="A781" t="n">
        <v>780</v>
      </c>
      <c r="B781" t="inlineStr">
        <is>
          <t>23/04/2026</t>
        </is>
      </c>
      <c r="C781" t="inlineStr">
        <is>
          <t>REF. A PIX ENVIADO RODONAVES TR</t>
        </is>
      </c>
      <c r="D781" s="7" t="n">
        <v>-342.81</v>
      </c>
      <c r="E781" t="inlineStr">
        <is>
          <t>312</t>
        </is>
      </c>
      <c r="F781" t="inlineStr">
        <is>
          <t>FRETES E CARRETOS</t>
        </is>
      </c>
      <c r="G781" s="2" t="inlineStr">
        <is>
          <t>312</t>
        </is>
      </c>
      <c r="H781">
        <f>IFERROR(VLOOKUP(G781&amp;"",PLANO!A:B,2,FALSE),"CONTA NAO EXISTE NO PLANO")</f>
        <v/>
      </c>
      <c r="I781" t="inlineStr">
        <is>
          <t>312</t>
        </is>
      </c>
      <c r="J781" t="inlineStr">
        <is>
          <t>SEM COSMOS</t>
        </is>
      </c>
      <c r="K781" t="inlineStr"/>
      <c r="L781" t="inlineStr"/>
      <c r="M781" t="inlineStr">
        <is>
          <t>PIX ENVIADO RODONAVES TR</t>
        </is>
      </c>
    </row>
    <row r="782">
      <c r="A782" t="n">
        <v>781</v>
      </c>
      <c r="B782" t="inlineStr">
        <is>
          <t>23/04/2026</t>
        </is>
      </c>
      <c r="C782" t="inlineStr">
        <is>
          <t>BOLETO PAGO EXPRESSO SAO</t>
        </is>
      </c>
      <c r="D782" s="7" t="n">
        <v>-506.12</v>
      </c>
      <c r="E782" t="inlineStr">
        <is>
          <t>312</t>
        </is>
      </c>
      <c r="F782" t="inlineStr">
        <is>
          <t>FRETES E CARRETOS</t>
        </is>
      </c>
      <c r="G782" s="2" t="inlineStr">
        <is>
          <t>312</t>
        </is>
      </c>
      <c r="H782">
        <f>IFERROR(VLOOKUP(G782&amp;"",PLANO!A:B,2,FALSE),"CONTA NAO EXISTE NO PLANO")</f>
        <v/>
      </c>
      <c r="I782" t="inlineStr">
        <is>
          <t>312</t>
        </is>
      </c>
      <c r="J782" t="inlineStr">
        <is>
          <t>SEM COSMOS</t>
        </is>
      </c>
      <c r="K782" t="inlineStr"/>
      <c r="L782" t="inlineStr"/>
      <c r="M782" t="inlineStr">
        <is>
          <t>BOLETO PAGO EXPRESSO SAO</t>
        </is>
      </c>
    </row>
    <row r="783">
      <c r="A783" t="n">
        <v>782</v>
      </c>
      <c r="B783" t="inlineStr">
        <is>
          <t>23/04/2026</t>
        </is>
      </c>
      <c r="C783" t="inlineStr">
        <is>
          <t>REF. A BOLETO PAGO DECORBEL IND</t>
        </is>
      </c>
      <c r="D783" s="7" t="n">
        <v>-1248.88</v>
      </c>
      <c r="E783" t="inlineStr">
        <is>
          <t>506</t>
        </is>
      </c>
      <c r="F783" t="inlineStr">
        <is>
          <t>FORNECEDORES DIVERSOS</t>
        </is>
      </c>
      <c r="G783" s="2" t="inlineStr">
        <is>
          <t>506</t>
        </is>
      </c>
      <c r="H783">
        <f>IFERROR(VLOOKUP(G783&amp;"",PLANO!A:B,2,FALSE),"CONTA NAO EXISTE NO PLANO")</f>
        <v/>
      </c>
      <c r="I783" t="inlineStr">
        <is>
          <t>506</t>
        </is>
      </c>
      <c r="J783" t="inlineStr">
        <is>
          <t>SEM COSMOS</t>
        </is>
      </c>
      <c r="K783" t="inlineStr"/>
      <c r="L783" t="inlineStr"/>
      <c r="M783" t="inlineStr">
        <is>
          <t>BOLETO PAGO DECORBEL IND</t>
        </is>
      </c>
    </row>
    <row r="784">
      <c r="A784" t="n">
        <v>783</v>
      </c>
      <c r="B784" t="inlineStr">
        <is>
          <t>23/04/2026</t>
        </is>
      </c>
      <c r="C784" t="inlineStr">
        <is>
          <t>REF. A BOLETO PAGO GRAFICA E TR</t>
        </is>
      </c>
      <c r="D784" s="7" t="n">
        <v>-105.5</v>
      </c>
      <c r="E784" t="inlineStr">
        <is>
          <t>506</t>
        </is>
      </c>
      <c r="F784" t="inlineStr">
        <is>
          <t>FORNECEDORES DIVERSOS</t>
        </is>
      </c>
      <c r="G784" s="2" t="inlineStr">
        <is>
          <t>506</t>
        </is>
      </c>
      <c r="H784">
        <f>IFERROR(VLOOKUP(G784&amp;"",PLANO!A:B,2,FALSE),"CONTA NAO EXISTE NO PLANO")</f>
        <v/>
      </c>
      <c r="I784" t="inlineStr">
        <is>
          <t>506</t>
        </is>
      </c>
      <c r="J784" t="inlineStr">
        <is>
          <t>SEM COSMOS</t>
        </is>
      </c>
      <c r="K784" t="inlineStr"/>
      <c r="L784" t="inlineStr"/>
      <c r="M784" t="inlineStr">
        <is>
          <t>BOLETO PAGO GRAFICA E TR</t>
        </is>
      </c>
    </row>
    <row r="785">
      <c r="A785" t="n">
        <v>784</v>
      </c>
      <c r="B785" t="inlineStr">
        <is>
          <t>24/04/2026</t>
        </is>
      </c>
      <c r="C785" t="inlineStr">
        <is>
          <t>REF. A SISPAG M. K. COSMETICOS</t>
        </is>
      </c>
      <c r="D785" s="7" t="n">
        <v>657</v>
      </c>
      <c r="E785" t="inlineStr">
        <is>
          <t>506</t>
        </is>
      </c>
      <c r="F785" t="inlineStr">
        <is>
          <t>FORNECEDORES DIVERSOS</t>
        </is>
      </c>
      <c r="G785" s="2" t="inlineStr">
        <is>
          <t>506</t>
        </is>
      </c>
      <c r="H785">
        <f>IFERROR(VLOOKUP(G785&amp;"",PLANO!A:B,2,FALSE),"CONTA NAO EXISTE NO PLANO")</f>
        <v/>
      </c>
      <c r="I785" t="inlineStr">
        <is>
          <t>506</t>
        </is>
      </c>
      <c r="J785" t="inlineStr">
        <is>
          <t>SEM COSMOS</t>
        </is>
      </c>
      <c r="K785" t="inlineStr"/>
      <c r="L785" t="inlineStr"/>
      <c r="M785" t="inlineStr">
        <is>
          <t>SISPAG M. K. COSMETICOS</t>
        </is>
      </c>
    </row>
    <row r="786">
      <c r="A786" t="n">
        <v>785</v>
      </c>
      <c r="B786" t="inlineStr">
        <is>
          <t>24/04/2026</t>
        </is>
      </c>
      <c r="C786" t="inlineStr">
        <is>
          <t>REF A SISPAG O.S. SECURITIZAD</t>
        </is>
      </c>
      <c r="D786" s="7" t="n">
        <v>8777.84</v>
      </c>
      <c r="E786" t="inlineStr">
        <is>
          <t>504</t>
        </is>
      </c>
      <c r="F786" t="inlineStr">
        <is>
          <t>CLIENTES DIVERSOS</t>
        </is>
      </c>
      <c r="G786" s="2" t="inlineStr">
        <is>
          <t>504</t>
        </is>
      </c>
      <c r="H786">
        <f>IFERROR(VLOOKUP(G786&amp;"",PLANO!A:B,2,FALSE),"CONTA NAO EXISTE NO PLANO")</f>
        <v/>
      </c>
      <c r="I786" t="inlineStr">
        <is>
          <t>504</t>
        </is>
      </c>
      <c r="J786" t="inlineStr">
        <is>
          <t>SEM COSMOS</t>
        </is>
      </c>
      <c r="K786" t="inlineStr"/>
      <c r="L786" t="inlineStr"/>
      <c r="M786" t="inlineStr">
        <is>
          <t>SISPAG O.S. SECURITIZAD</t>
        </is>
      </c>
    </row>
    <row r="787">
      <c r="A787" t="n">
        <v>786</v>
      </c>
      <c r="B787" t="inlineStr">
        <is>
          <t>24/04/2026</t>
        </is>
      </c>
      <c r="C787" t="inlineStr">
        <is>
          <t>REF. A PIX TRANSF BEAUTYB24/04</t>
        </is>
      </c>
      <c r="D787" s="7" t="n">
        <v>398</v>
      </c>
      <c r="E787" t="inlineStr">
        <is>
          <t>504</t>
        </is>
      </c>
      <c r="F787" t="inlineStr">
        <is>
          <t>CLIENTES DIVERSOS</t>
        </is>
      </c>
      <c r="G787" s="2" t="inlineStr">
        <is>
          <t>504</t>
        </is>
      </c>
      <c r="H787">
        <f>IFERROR(VLOOKUP(G787&amp;"",PLANO!A:B,2,FALSE),"CONTA NAO EXISTE NO PLANO")</f>
        <v/>
      </c>
      <c r="I787" t="inlineStr">
        <is>
          <t>504</t>
        </is>
      </c>
      <c r="J787" t="inlineStr">
        <is>
          <t>SEM COSMOS</t>
        </is>
      </c>
      <c r="K787" t="inlineStr"/>
      <c r="L787" t="inlineStr"/>
      <c r="M787" t="inlineStr">
        <is>
          <t>PIX TRANSF BEAUTYB24/04</t>
        </is>
      </c>
    </row>
    <row r="788">
      <c r="A788" t="n">
        <v>787</v>
      </c>
      <c r="B788" t="inlineStr">
        <is>
          <t>24/04/2026</t>
        </is>
      </c>
      <c r="C788" t="inlineStr">
        <is>
          <t>REF. A PIX TRANSF COSMETI24/04</t>
        </is>
      </c>
      <c r="D788" s="7" t="n">
        <v>2607</v>
      </c>
      <c r="E788" t="inlineStr">
        <is>
          <t>504</t>
        </is>
      </c>
      <c r="F788" t="inlineStr">
        <is>
          <t>CLIENTES DIVERSOS</t>
        </is>
      </c>
      <c r="G788" s="2" t="inlineStr">
        <is>
          <t>504</t>
        </is>
      </c>
      <c r="H788">
        <f>IFERROR(VLOOKUP(G788&amp;"",PLANO!A:B,2,FALSE),"CONTA NAO EXISTE NO PLANO")</f>
        <v/>
      </c>
      <c r="I788" t="inlineStr">
        <is>
          <t>504</t>
        </is>
      </c>
      <c r="J788" t="inlineStr">
        <is>
          <t>SEM COSMOS</t>
        </is>
      </c>
      <c r="K788" t="inlineStr"/>
      <c r="L788" t="inlineStr"/>
      <c r="M788" t="inlineStr">
        <is>
          <t>PIX TRANSF COSMETI24/04</t>
        </is>
      </c>
    </row>
    <row r="789">
      <c r="A789" t="n">
        <v>788</v>
      </c>
      <c r="B789" t="inlineStr">
        <is>
          <t>24/04/2026</t>
        </is>
      </c>
      <c r="C789" t="inlineStr">
        <is>
          <t>REF. A PIX TRANSF ELIZIAN24/04</t>
        </is>
      </c>
      <c r="D789" s="7" t="n">
        <v>513.39</v>
      </c>
      <c r="E789" t="inlineStr">
        <is>
          <t>504</t>
        </is>
      </c>
      <c r="F789" t="inlineStr">
        <is>
          <t>CLIENTES DIVERSOS</t>
        </is>
      </c>
      <c r="G789" s="2" t="inlineStr">
        <is>
          <t>504</t>
        </is>
      </c>
      <c r="H789">
        <f>IFERROR(VLOOKUP(G789&amp;"",PLANO!A:B,2,FALSE),"CONTA NAO EXISTE NO PLANO")</f>
        <v/>
      </c>
      <c r="I789" t="inlineStr">
        <is>
          <t>504</t>
        </is>
      </c>
      <c r="J789" t="inlineStr">
        <is>
          <t>SEM COSMOS</t>
        </is>
      </c>
      <c r="K789" t="inlineStr"/>
      <c r="L789" t="inlineStr"/>
      <c r="M789" t="inlineStr">
        <is>
          <t>PIX TRANSF ELIZIAN24/04</t>
        </is>
      </c>
    </row>
    <row r="790">
      <c r="A790" t="n">
        <v>789</v>
      </c>
      <c r="B790" t="inlineStr">
        <is>
          <t>24/04/2026</t>
        </is>
      </c>
      <c r="C790" t="inlineStr">
        <is>
          <t>REF. A PIX TRANSF ZENO FA24/04</t>
        </is>
      </c>
      <c r="D790" s="7" t="n">
        <v>402</v>
      </c>
      <c r="E790" t="inlineStr">
        <is>
          <t>504</t>
        </is>
      </c>
      <c r="F790" t="inlineStr">
        <is>
          <t>CLIENTES DIVERSOS</t>
        </is>
      </c>
      <c r="G790" s="2" t="inlineStr">
        <is>
          <t>504</t>
        </is>
      </c>
      <c r="H790">
        <f>IFERROR(VLOOKUP(G790&amp;"",PLANO!A:B,2,FALSE),"CONTA NAO EXISTE NO PLANO")</f>
        <v/>
      </c>
      <c r="I790" t="inlineStr">
        <is>
          <t>504</t>
        </is>
      </c>
      <c r="J790" t="inlineStr">
        <is>
          <t>SEM COSMOS</t>
        </is>
      </c>
      <c r="K790" t="inlineStr"/>
      <c r="L790" t="inlineStr"/>
      <c r="M790" t="inlineStr">
        <is>
          <t>PIX TRANSF ZENO FA24/04</t>
        </is>
      </c>
    </row>
    <row r="791">
      <c r="A791" s="4" t="n">
        <v>790</v>
      </c>
      <c r="B791" s="4" t="inlineStr">
        <is>
          <t>24/04/2026</t>
        </is>
      </c>
      <c r="C791" s="4" t="inlineStr">
        <is>
          <t>REF. A PIX ENVIADO COSMETICON C</t>
        </is>
      </c>
      <c r="D791" s="5" t="n">
        <v>-6000</v>
      </c>
      <c r="E791" s="4" t="inlineStr">
        <is>
          <t>664</t>
        </is>
      </c>
      <c r="F791" s="4" t="inlineStr">
        <is>
          <t>COSMETICON COMERCIO DE COSMETICOS LTDA</t>
        </is>
      </c>
      <c r="G791" s="6" t="inlineStr">
        <is>
          <t>663</t>
        </is>
      </c>
      <c r="H791" s="4">
        <f>IFERROR(VLOOKUP(G791&amp;"",PLANO!A:B,2,FALSE),"CONTA NAO EXISTE NO PLANO")</f>
        <v/>
      </c>
      <c r="I791" s="4" t="inlineStr">
        <is>
          <t>663</t>
        </is>
      </c>
      <c r="J791" s="4" t="inlineStr">
        <is>
          <t>AJUSTADO</t>
        </is>
      </c>
      <c r="K791" s="4" t="inlineStr">
        <is>
          <t>COSMETICON - conta-corrente unica de mutuo (663)</t>
        </is>
      </c>
      <c r="L791" s="4" t="inlineStr"/>
      <c r="M791" s="4" t="inlineStr">
        <is>
          <t>PIX ENVIADO COSMETICON C</t>
        </is>
      </c>
    </row>
    <row r="792">
      <c r="A792" t="n">
        <v>791</v>
      </c>
      <c r="B792" t="inlineStr">
        <is>
          <t>24/04/2026</t>
        </is>
      </c>
      <c r="C792" t="inlineStr">
        <is>
          <t>REF. A BOLETO PAGO URBANO SA SO - BRASPRESS TRANSPORTES URGENTES LTDA PAG REF A FRETE SOBRE VENDAS SS COMERCIO</t>
        </is>
      </c>
      <c r="D792" s="7" t="n">
        <v>-251.16</v>
      </c>
      <c r="E792" t="inlineStr">
        <is>
          <t>312</t>
        </is>
      </c>
      <c r="F792" t="inlineStr">
        <is>
          <t>FRETES E CARRETOS</t>
        </is>
      </c>
      <c r="G792" s="2" t="inlineStr">
        <is>
          <t>312</t>
        </is>
      </c>
      <c r="H792">
        <f>IFERROR(VLOOKUP(G792&amp;"",PLANO!A:B,2,FALSE),"CONTA NAO EXISTE NO PLANO")</f>
        <v/>
      </c>
      <c r="I792" t="inlineStr">
        <is>
          <t>312</t>
        </is>
      </c>
      <c r="J792" t="inlineStr">
        <is>
          <t>OK</t>
        </is>
      </c>
      <c r="K792" t="inlineStr">
        <is>
          <t>categoria Cosmos 97</t>
        </is>
      </c>
      <c r="L792" t="inlineStr">
        <is>
          <t>BRASPRESS TRANSPORTES URGENTES LTDA | 115/97 | PAG REF A FRETE SOBRE VENDAS SS COMERCIO</t>
        </is>
      </c>
      <c r="M792" t="inlineStr">
        <is>
          <t>BRASPRESS TRANSPORTES URGENTES LTDA - PAG REF A FRETE SOBRE VENDAS SS COMERCIO</t>
        </is>
      </c>
    </row>
    <row r="793">
      <c r="A793" t="n">
        <v>792</v>
      </c>
      <c r="B793" t="inlineStr">
        <is>
          <t>27/04/2026</t>
        </is>
      </c>
      <c r="C793" t="inlineStr">
        <is>
          <t>REF. A SISPAG VENUS COMERCIO V</t>
        </is>
      </c>
      <c r="D793" s="7" t="n">
        <v>900</v>
      </c>
      <c r="E793" t="inlineStr">
        <is>
          <t>504</t>
        </is>
      </c>
      <c r="F793" t="inlineStr">
        <is>
          <t>CLIENTES DIVERSOS</t>
        </is>
      </c>
      <c r="G793" s="2" t="inlineStr">
        <is>
          <t>504</t>
        </is>
      </c>
      <c r="H793">
        <f>IFERROR(VLOOKUP(G793&amp;"",PLANO!A:B,2,FALSE),"CONTA NAO EXISTE NO PLANO")</f>
        <v/>
      </c>
      <c r="I793" t="inlineStr">
        <is>
          <t>504</t>
        </is>
      </c>
      <c r="J793" t="inlineStr">
        <is>
          <t>SEM COSMOS</t>
        </is>
      </c>
      <c r="K793" t="inlineStr"/>
      <c r="L793" t="inlineStr"/>
      <c r="M793" t="inlineStr">
        <is>
          <t>SISPAG VENUS COMERCIO V</t>
        </is>
      </c>
    </row>
    <row r="794">
      <c r="A794" t="n">
        <v>793</v>
      </c>
      <c r="B794" t="inlineStr">
        <is>
          <t>27/04/2026</t>
        </is>
      </c>
      <c r="C794" t="inlineStr">
        <is>
          <t>REF. A MOV TIT COB DISP 27/04S</t>
        </is>
      </c>
      <c r="D794" s="7" t="n">
        <v>5093.84</v>
      </c>
      <c r="E794" t="inlineStr">
        <is>
          <t>504</t>
        </is>
      </c>
      <c r="F794" t="inlineStr">
        <is>
          <t>CLIENTES DIVERSOS</t>
        </is>
      </c>
      <c r="G794" s="2" t="inlineStr">
        <is>
          <t>504</t>
        </is>
      </c>
      <c r="H794">
        <f>IFERROR(VLOOKUP(G794&amp;"",PLANO!A:B,2,FALSE),"CONTA NAO EXISTE NO PLANO")</f>
        <v/>
      </c>
      <c r="I794" t="inlineStr">
        <is>
          <t>504</t>
        </is>
      </c>
      <c r="J794" t="inlineStr">
        <is>
          <t>SEM COSMOS</t>
        </is>
      </c>
      <c r="K794" t="inlineStr"/>
      <c r="L794" t="inlineStr"/>
      <c r="M794" t="inlineStr">
        <is>
          <t>MOV TIT COB DISP 27/04S</t>
        </is>
      </c>
    </row>
    <row r="795">
      <c r="A795" t="n">
        <v>794</v>
      </c>
      <c r="B795" t="inlineStr">
        <is>
          <t>27/04/2026</t>
        </is>
      </c>
      <c r="C795" t="inlineStr">
        <is>
          <t>REF. A PIX TRANSF ELIEZER27/04</t>
        </is>
      </c>
      <c r="D795" s="7" t="n">
        <v>542.4</v>
      </c>
      <c r="E795" t="inlineStr">
        <is>
          <t>504</t>
        </is>
      </c>
      <c r="F795" t="inlineStr">
        <is>
          <t>CLIENTES DIVERSOS</t>
        </is>
      </c>
      <c r="G795" s="2" t="inlineStr">
        <is>
          <t>504</t>
        </is>
      </c>
      <c r="H795">
        <f>IFERROR(VLOOKUP(G795&amp;"",PLANO!A:B,2,FALSE),"CONTA NAO EXISTE NO PLANO")</f>
        <v/>
      </c>
      <c r="I795" t="inlineStr">
        <is>
          <t>504</t>
        </is>
      </c>
      <c r="J795" t="inlineStr">
        <is>
          <t>SEM COSMOS</t>
        </is>
      </c>
      <c r="K795" t="inlineStr"/>
      <c r="L795" t="inlineStr"/>
      <c r="M795" t="inlineStr">
        <is>
          <t>PIX TRANSF ELIEZER27/04</t>
        </is>
      </c>
    </row>
    <row r="796">
      <c r="A796" t="n">
        <v>795</v>
      </c>
      <c r="B796" t="inlineStr">
        <is>
          <t>27/04/2026</t>
        </is>
      </c>
      <c r="C796" t="inlineStr">
        <is>
          <t>REF. A PIX TRANSF HELENA 27/04</t>
        </is>
      </c>
      <c r="D796" s="7" t="n">
        <v>179.1</v>
      </c>
      <c r="E796" t="inlineStr">
        <is>
          <t>504</t>
        </is>
      </c>
      <c r="F796" t="inlineStr">
        <is>
          <t>CLIENTES DIVERSOS</t>
        </is>
      </c>
      <c r="G796" s="2" t="inlineStr">
        <is>
          <t>504</t>
        </is>
      </c>
      <c r="H796">
        <f>IFERROR(VLOOKUP(G796&amp;"",PLANO!A:B,2,FALSE),"CONTA NAO EXISTE NO PLANO")</f>
        <v/>
      </c>
      <c r="I796" t="inlineStr">
        <is>
          <t>504</t>
        </is>
      </c>
      <c r="J796" t="inlineStr">
        <is>
          <t>SEM COSMOS</t>
        </is>
      </c>
      <c r="K796" t="inlineStr"/>
      <c r="L796" t="inlineStr"/>
      <c r="M796" t="inlineStr">
        <is>
          <t>PIX TRANSF HELENA 27/04</t>
        </is>
      </c>
    </row>
    <row r="797">
      <c r="A797" t="n">
        <v>796</v>
      </c>
      <c r="B797" t="inlineStr">
        <is>
          <t>27/04/2026</t>
        </is>
      </c>
      <c r="C797" t="inlineStr">
        <is>
          <t>REF. A PIX ENVIADO NOVA PIRAMID - NOVA PIRAMIDAL THERMOPLASTICS S.A.</t>
        </is>
      </c>
      <c r="D797" s="7" t="n">
        <v>-3797.53</v>
      </c>
      <c r="E797" t="inlineStr">
        <is>
          <t>506</t>
        </is>
      </c>
      <c r="F797" t="inlineStr">
        <is>
          <t>FORNECEDORES DIVERSOS</t>
        </is>
      </c>
      <c r="G797" s="2" t="inlineStr">
        <is>
          <t>506</t>
        </is>
      </c>
      <c r="H797">
        <f>IFERROR(VLOOKUP(G797&amp;"",PLANO!A:B,2,FALSE),"CONTA NAO EXISTE NO PLANO")</f>
        <v/>
      </c>
      <c r="I797" t="inlineStr">
        <is>
          <t>506</t>
        </is>
      </c>
      <c r="J797" t="inlineStr">
        <is>
          <t>OK</t>
        </is>
      </c>
      <c r="K797" t="inlineStr">
        <is>
          <t>fornecedor com NF</t>
        </is>
      </c>
      <c r="L797" t="inlineStr">
        <is>
          <t xml:space="preserve">NOVA PIRAMIDAL THERMOPLASTICS S.A. | 113/78 | </t>
        </is>
      </c>
      <c r="M797" t="inlineStr">
        <is>
          <t>NOVA PIRAMIDAL THERMOPLASTICS S.A.</t>
        </is>
      </c>
    </row>
    <row r="798">
      <c r="A798" s="4" t="n">
        <v>797</v>
      </c>
      <c r="B798" s="4" t="inlineStr">
        <is>
          <t>27/04/2026</t>
        </is>
      </c>
      <c r="C798" s="4" t="inlineStr">
        <is>
          <t>REF. A PIX ENVIADO LUIZ HENRIQU - LUIZ HENRIQUE COSTA PGTO REF.REEMBOLSO ABASTECIMENTO KANGOO</t>
        </is>
      </c>
      <c r="D798" s="5" t="n">
        <v>-308.24</v>
      </c>
      <c r="E798" s="4" t="inlineStr">
        <is>
          <t>362</t>
        </is>
      </c>
      <c r="F798" s="4" t="inlineStr">
        <is>
          <t>SERVIÇOS PRESTADOS POR TERCEIROS</t>
        </is>
      </c>
      <c r="G798" s="6" t="inlineStr">
        <is>
          <t>493</t>
        </is>
      </c>
      <c r="H798" s="4">
        <f>IFERROR(VLOOKUP(G798&amp;"",PLANO!A:B,2,FALSE),"CONTA NAO EXISTE NO PLANO")</f>
        <v/>
      </c>
      <c r="I798" s="4" t="inlineStr">
        <is>
          <t>362</t>
        </is>
      </c>
      <c r="J798" s="4" t="inlineStr">
        <is>
          <t>AJUSTADO</t>
        </is>
      </c>
      <c r="K798" s="4" t="inlineStr">
        <is>
          <t>reembolso de despesas</t>
        </is>
      </c>
      <c r="L798" s="4" t="inlineStr">
        <is>
          <t>LUIZ HENRIQUE COSTA | 115/55 | PGTO REF.REEMBOLSO ABASTECIMENTO KANGOO</t>
        </is>
      </c>
      <c r="M798" s="4" t="inlineStr">
        <is>
          <t>LUIZ HENRIQUE COSTA - PGTO REF.REEMBOLSO ABASTECIMENTO KANGOO</t>
        </is>
      </c>
    </row>
    <row r="799">
      <c r="A799" t="n">
        <v>798</v>
      </c>
      <c r="B799" t="inlineStr">
        <is>
          <t>27/04/2026</t>
        </is>
      </c>
      <c r="C799" t="inlineStr">
        <is>
          <t>PIX ENVIADO ALINE DA SIL - SKIN LAB INDUSTRIA E COMERCIO DE COSMETICOS LTDA PAGAMENTO REFERENTE A COMPRA DE OLEO MINERAL 1TON.(GARANTIA DE PREÇO)</t>
        </is>
      </c>
      <c r="D799" s="7" t="n">
        <v>-3877.56</v>
      </c>
      <c r="E799" t="inlineStr">
        <is>
          <t>506</t>
        </is>
      </c>
      <c r="F799" t="inlineStr">
        <is>
          <t>FORNECEDORES DIVERSOS</t>
        </is>
      </c>
      <c r="G799" s="2" t="inlineStr">
        <is>
          <t>506</t>
        </is>
      </c>
      <c r="H799">
        <f>IFERROR(VLOOKUP(G799&amp;"",PLANO!A:B,2,FALSE),"CONTA NAO EXISTE NO PLANO")</f>
        <v/>
      </c>
      <c r="I799" t="inlineStr">
        <is>
          <t>506</t>
        </is>
      </c>
      <c r="J799" t="inlineStr">
        <is>
          <t>OK</t>
        </is>
      </c>
      <c r="K799" t="inlineStr">
        <is>
          <t>fornecedor com NF</t>
        </is>
      </c>
      <c r="L799" t="inlineStr">
        <is>
          <t>SKIN LAB INDUSTRIA E COMERCIO DE COSMETICOS LTDA | 115/6 | PAGAMENTO REFERENTE A COMPRA DE OLEO MINERAL 1TON. (GARANTIA DE PREÇO)</t>
        </is>
      </c>
      <c r="M799" t="inlineStr">
        <is>
          <t>SKIN LAB INDUSTRIA E COMERCIO DE COSMETICOS LTDA - PAGAMENTO REFERENTE A COMPRA DE OLEO MINERAL 1TON. (GARANTIA DE PREÇO)</t>
        </is>
      </c>
    </row>
    <row r="800">
      <c r="A800" s="11" t="n">
        <v>799</v>
      </c>
      <c r="B800" s="11" t="inlineStr">
        <is>
          <t>27/04/2026</t>
        </is>
      </c>
      <c r="C800" s="11" t="inlineStr">
        <is>
          <t>REF A BOLETO PAGO GS1 BRASIL A - GS1 BRASIL - ASSOCIACAO BRASILEIRA DE AUTOMACAO PGTO REF.LIBERAÇÃO DE CODIGOS DE BARRAS PARA OSPRODUTOS</t>
        </is>
      </c>
      <c r="D800" s="12" t="n">
        <v>-894.24</v>
      </c>
      <c r="E800" s="11" t="inlineStr">
        <is>
          <t>364</t>
        </is>
      </c>
      <c r="F800" s="11" t="inlineStr">
        <is>
          <t>DESPESAS ADMINISTRATIVAS</t>
        </is>
      </c>
      <c r="G800" s="13" t="inlineStr">
        <is>
          <t>364</t>
        </is>
      </c>
      <c r="H800" s="11">
        <f>IFERROR(VLOOKUP(G800&amp;"",PLANO!A:B,2,FALSE),"CONTA NAO EXISTE NO PLANO")</f>
        <v/>
      </c>
      <c r="I800" s="11" t="inlineStr">
        <is>
          <t>364</t>
        </is>
      </c>
      <c r="J800" s="11" t="inlineStr">
        <is>
          <t>MANTIDO</t>
        </is>
      </c>
      <c r="K800" s="11" t="inlineStr">
        <is>
          <t>servicos diversos (lavanderia, dedetizacao, contabilidade, Plus Sante) | mantida a conta atual (sem informacao que justifique troca)</t>
        </is>
      </c>
      <c r="L800" s="11" t="inlineStr">
        <is>
          <t>GS1 BRASIL ASSOCIACAO BRASILEIRA DE AUTOMACAO | 115/45 | PGTO REF.LIBERAÇÃO DE CODIGOS DE BARRAS PARA OS PRODUTOS</t>
        </is>
      </c>
      <c r="M800" s="11" t="inlineStr">
        <is>
          <t>GS1 BRASIL ASSOCIACAO BRASILEIRA DE AUTOMACAO - PGTO REF.LIBERAÇÃO DE CODIGOS DE BARRAS PARA OS PRODUTOS</t>
        </is>
      </c>
    </row>
    <row r="801">
      <c r="A801" s="11" t="n">
        <v>800</v>
      </c>
      <c r="B801" s="11" t="inlineStr">
        <is>
          <t>27/04/2026</t>
        </is>
      </c>
      <c r="C801" s="11" t="inlineStr">
        <is>
          <t>REF. A BOLETO PAGO SAVATEC COME - SAVATEC COMERCIO E SERVICOS LTDA PAGAMEN TO REFERENTE A COMPRA DE CARTUCHOS DETINTA PARA AS DATADORAS</t>
        </is>
      </c>
      <c r="D801" s="12" t="n">
        <v>-638.66</v>
      </c>
      <c r="E801" s="11" t="inlineStr">
        <is>
          <t>359</t>
        </is>
      </c>
      <c r="F801" s="11" t="inlineStr">
        <is>
          <t>MATERIAL DE ESCRITÓRIO</t>
        </is>
      </c>
      <c r="G801" s="13" t="inlineStr">
        <is>
          <t>359</t>
        </is>
      </c>
      <c r="H801" s="11">
        <f>IFERROR(VLOOKUP(G801&amp;"",PLANO!A:B,2,FALSE),"CONTA NAO EXISTE NO PLANO")</f>
        <v/>
      </c>
      <c r="I801" s="11" t="inlineStr">
        <is>
          <t>359</t>
        </is>
      </c>
      <c r="J801" s="11" t="inlineStr">
        <is>
          <t>MANTIDO</t>
        </is>
      </c>
      <c r="K801" s="11" t="inlineStr">
        <is>
          <t>material laboratorio/embalagem consumo | mantida a conta atual (sem informacao que justifique troca)</t>
        </is>
      </c>
      <c r="L801" s="11" t="inlineStr">
        <is>
          <t>SAVATEC COMERCIO E SERVICOS LTDA | 115/8 | PAGAMEN TO REFERENTE A COMPRA DE CARTUCHOS DE TINTA PARA AS DATADORAS</t>
        </is>
      </c>
      <c r="M801" s="11" t="inlineStr">
        <is>
          <t>SAVATEC COMERCIO E SERVICOS LTDA - PAGAMEN TO REFERENTE A COMPRA DE CARTUCHOS DE TINTA PARA AS DATADORAS</t>
        </is>
      </c>
    </row>
    <row r="802">
      <c r="A802" s="11" t="n">
        <v>801</v>
      </c>
      <c r="B802" s="11" t="inlineStr">
        <is>
          <t>27/04/2026</t>
        </is>
      </c>
      <c r="C802" s="11" t="inlineStr">
        <is>
          <t>REF. A BOLETO PAGO PENSU EXACTU - PENSU EXACTU COMERCIO E SERVICOS DE EQUIPAMENTOS METROLOGICOS LTDA PGTO REF.SERVIÇOS PRESTADOS</t>
        </is>
      </c>
      <c r="D802" s="12" t="n">
        <v>-612.25</v>
      </c>
      <c r="E802" s="11" t="inlineStr">
        <is>
          <t>506</t>
        </is>
      </c>
      <c r="F802" s="11" t="inlineStr">
        <is>
          <t>FORNECEDORES DIVERSOS</t>
        </is>
      </c>
      <c r="G802" s="13" t="inlineStr">
        <is>
          <t>506</t>
        </is>
      </c>
      <c r="H802" s="11">
        <f>IFERROR(VLOOKUP(G802&amp;"",PLANO!A:B,2,FALSE),"CONTA NAO EXISTE NO PLANO")</f>
        <v/>
      </c>
      <c r="I802" s="11" t="inlineStr">
        <is>
          <t>362</t>
        </is>
      </c>
      <c r="J802" s="11" t="inlineStr">
        <is>
          <t>MANTIDO</t>
        </is>
      </c>
      <c r="K802" s="11" t="inlineStr">
        <is>
          <t>Cosmos: servicos/comissao lancado em 506 - se houver NFS-e lancada no fiscal, 506 esta certo | mantida a conta atual (sem informacao que justifique troca)</t>
        </is>
      </c>
      <c r="L802" s="11" t="inlineStr">
        <is>
          <t>PENSU EXACTU COMERCIO E SERVICOS DE EQUIPAMENTOS METROLOGICOS LTDA | 115/172 | PGTO REF.SERVIÇOS PRESTADOS</t>
        </is>
      </c>
      <c r="M802" s="11" t="inlineStr">
        <is>
          <t>PENSU EXACTU COMERCIO E SERVICOS DE EQUIPAMENTOS METROLOGICOS LTDA - PGTO REF.SERVIÇOS PRESTADOS</t>
        </is>
      </c>
    </row>
    <row r="803">
      <c r="A803" t="n">
        <v>802</v>
      </c>
      <c r="B803" t="inlineStr">
        <is>
          <t>27/04/2026</t>
        </is>
      </c>
      <c r="C803" t="inlineStr">
        <is>
          <t>ITAU SEG VIDA GLOB - PGTO REF.SEGURO DE VIDA GLOBAL</t>
        </is>
      </c>
      <c r="D803" s="7" t="n">
        <v>-295.51</v>
      </c>
      <c r="E803" t="inlineStr">
        <is>
          <t>642</t>
        </is>
      </c>
      <c r="F803" t="inlineStr">
        <is>
          <t>SEGURO DE VIDA EMPRESARIAL</t>
        </is>
      </c>
      <c r="G803" s="2" t="inlineStr">
        <is>
          <t>642</t>
        </is>
      </c>
      <c r="H803">
        <f>IFERROR(VLOOKUP(G803&amp;"",PLANO!A:B,2,FALSE),"CONTA NAO EXISTE NO PLANO")</f>
        <v/>
      </c>
      <c r="I803" t="inlineStr">
        <is>
          <t>642</t>
        </is>
      </c>
      <c r="J803" t="inlineStr">
        <is>
          <t>OK</t>
        </is>
      </c>
      <c r="K803" t="inlineStr">
        <is>
          <t>categoria Cosmos 86</t>
        </is>
      </c>
      <c r="L803" t="inlineStr">
        <is>
          <t>BANCO ITAU UNIBANCO | 115/86 | PGTO REF.SEGURO DE VIDA GLOBAL</t>
        </is>
      </c>
      <c r="M803" t="inlineStr">
        <is>
          <t>BANCO ITAU UNIBANCO - PGTO REF.SEGURO DE VIDA GLOBAL</t>
        </is>
      </c>
    </row>
    <row r="804">
      <c r="A804" t="n">
        <v>803</v>
      </c>
      <c r="B804" t="inlineStr">
        <is>
          <t>27/04/2026</t>
        </is>
      </c>
      <c r="C804" t="inlineStr">
        <is>
          <t>REF. A JUROS - PGTO REF.JUROS UTILIZAÇÃO DO LIMITE</t>
        </is>
      </c>
      <c r="D804" s="7" t="n">
        <v>-4086.5</v>
      </c>
      <c r="E804" t="inlineStr">
        <is>
          <t>375</t>
        </is>
      </c>
      <c r="F804" t="inlineStr">
        <is>
          <t>JUROS SOBRE EMPRÉSTIMOS E FINANCIAMENTOS</t>
        </is>
      </c>
      <c r="G804" s="2" t="inlineStr">
        <is>
          <t>375</t>
        </is>
      </c>
      <c r="H804">
        <f>IFERROR(VLOOKUP(G804&amp;"",PLANO!A:B,2,FALSE),"CONTA NAO EXISTE NO PLANO")</f>
        <v/>
      </c>
      <c r="I804" t="inlineStr">
        <is>
          <t>375</t>
        </is>
      </c>
      <c r="J804" t="inlineStr">
        <is>
          <t>OK</t>
        </is>
      </c>
      <c r="K804" t="inlineStr">
        <is>
          <t>juros limite (375/625)</t>
        </is>
      </c>
      <c r="L804" t="inlineStr">
        <is>
          <t>BANCO ITAU UNIBANCO | 115/122 | PGTO REF.JUROS UTILIZAÇÃO DO LIMITE</t>
        </is>
      </c>
      <c r="M804" t="inlineStr">
        <is>
          <t>BANCO ITAU UNIBANCO - PGTO REF.JUROS UTILIZAÇÃO DO LIMITE</t>
        </is>
      </c>
    </row>
    <row r="805">
      <c r="A805" t="n">
        <v>804</v>
      </c>
      <c r="B805" t="inlineStr">
        <is>
          <t>28/04/2026</t>
        </is>
      </c>
      <c r="C805" t="inlineStr">
        <is>
          <t>REF A SISPAG O.S. SECURITIZAD</t>
        </is>
      </c>
      <c r="D805" s="7" t="n">
        <v>15730.84</v>
      </c>
      <c r="E805" t="inlineStr">
        <is>
          <t>504</t>
        </is>
      </c>
      <c r="F805" t="inlineStr">
        <is>
          <t>CLIENTES DIVERSOS</t>
        </is>
      </c>
      <c r="G805" s="2" t="inlineStr">
        <is>
          <t>504</t>
        </is>
      </c>
      <c r="H805">
        <f>IFERROR(VLOOKUP(G805&amp;"",PLANO!A:B,2,FALSE),"CONTA NAO EXISTE NO PLANO")</f>
        <v/>
      </c>
      <c r="I805" t="inlineStr">
        <is>
          <t>504</t>
        </is>
      </c>
      <c r="J805" t="inlineStr">
        <is>
          <t>SEM COSMOS</t>
        </is>
      </c>
      <c r="K805" t="inlineStr"/>
      <c r="L805" t="inlineStr"/>
      <c r="M805" t="inlineStr">
        <is>
          <t>SISPAG O.S. SECURITIZAD</t>
        </is>
      </c>
    </row>
    <row r="806">
      <c r="A806" t="n">
        <v>805</v>
      </c>
      <c r="B806" t="inlineStr">
        <is>
          <t>28/04/2026</t>
        </is>
      </c>
      <c r="C806" t="inlineStr">
        <is>
          <t>REF. A PIX ENVIADO RODONAVES TR - RODONAVES TRANSPORTES E ENCOMENDAS LTDA</t>
        </is>
      </c>
      <c r="D806" s="7" t="n">
        <v>-385.07</v>
      </c>
      <c r="E806" t="inlineStr">
        <is>
          <t>312</t>
        </is>
      </c>
      <c r="F806" t="inlineStr">
        <is>
          <t>FRETES E CARRETOS</t>
        </is>
      </c>
      <c r="G806" s="2" t="inlineStr">
        <is>
          <t>312</t>
        </is>
      </c>
      <c r="H806">
        <f>IFERROR(VLOOKUP(G806&amp;"",PLANO!A:B,2,FALSE),"CONTA NAO EXISTE NO PLANO")</f>
        <v/>
      </c>
      <c r="I806" t="inlineStr">
        <is>
          <t>312</t>
        </is>
      </c>
      <c r="J806" t="inlineStr">
        <is>
          <t>OK</t>
        </is>
      </c>
      <c r="K806" t="inlineStr">
        <is>
          <t>categoria Cosmos 97</t>
        </is>
      </c>
      <c r="L806" t="inlineStr">
        <is>
          <t>RODONAVES TRANSPORTES E ENCOMENDAS LTDA | 115/97 | PGTO REF.</t>
        </is>
      </c>
      <c r="M806" t="inlineStr">
        <is>
          <t>RODONAVES TRANSPORTES E ENCOMENDAS LTDA - PGTO REF.</t>
        </is>
      </c>
    </row>
    <row r="807">
      <c r="A807" s="11" t="n">
        <v>806</v>
      </c>
      <c r="B807" s="11" t="inlineStr">
        <is>
          <t>28/04/2026</t>
        </is>
      </c>
      <c r="C807" s="11" t="inlineStr">
        <is>
          <t>REF. A PIX ENVIADO CARLOS ALEXA - FACTORING ALEXANDRE MAZZONI 115 94 1 0,00 1.000,00 -864.650,02PGTO REF.A VALOR INICIAL DE 116.000,00 EM21/07/2015 E CONGELADO NA DATA DE 28/02/2024 ESERÁ PAGO EM 39 PARCELAS DE 15.000,00 POR MÊSACORDADO COM AS PATES CARLOS ALEXNDRE(PF) E MICHELMAZZONI(EMPRESA) E TESTEMUNHAS ALEXANDRE COLIN ECLAUDIA RUBIN.</t>
        </is>
      </c>
      <c r="D807" s="12" t="n">
        <v>-1000</v>
      </c>
      <c r="E807" s="11" t="inlineStr">
        <is>
          <t>362</t>
        </is>
      </c>
      <c r="F807" s="11" t="inlineStr">
        <is>
          <t>SERVIÇOS PRESTADOS POR TERCEIROS</t>
        </is>
      </c>
      <c r="G807" s="13" t="inlineStr">
        <is>
          <t>362</t>
        </is>
      </c>
      <c r="H807" s="11">
        <f>IFERROR(VLOOKUP(G807&amp;"",PLANO!A:B,2,FALSE),"CONTA NAO EXISTE NO PLANO")</f>
        <v/>
      </c>
      <c r="I807" s="11" t="inlineStr">
        <is>
          <t>362</t>
        </is>
      </c>
      <c r="J807" s="11" t="inlineStr">
        <is>
          <t>MANTIDO</t>
        </is>
      </c>
      <c r="K807" s="11" t="inlineStr">
        <is>
          <t>socios Mazzoni (fora do contrato social) - mantido como estava</t>
        </is>
      </c>
      <c r="L807" s="11" t="inlineStr">
        <is>
          <t>FACTORING ALEXANDRE MAZZONI | 115/94 | PGTO REF.A VALOR INICIAL DE 116.000,00 EM 21/07/2015 E CONGELADO NA DATA DE 28/02/2024 E SERÁ PAGO EM 39 PARCELAS DE 15.</t>
        </is>
      </c>
      <c r="M807" s="11" t="inlineStr">
        <is>
          <t>FACTORING ALEXANDRE MAZZONI - PGTO REF.A VALOR INICIAL DE 116.000,00 EM 21/07/2015 E CONGELADO NA DATA DE 28/0</t>
        </is>
      </c>
    </row>
    <row r="808">
      <c r="A808" s="4" t="n">
        <v>807</v>
      </c>
      <c r="B808" s="4" t="inlineStr">
        <is>
          <t>28/04/2026</t>
        </is>
      </c>
      <c r="C808" s="4" t="inlineStr">
        <is>
          <t>REF. A PIX ENVIADO COSMETICON C</t>
        </is>
      </c>
      <c r="D808" s="5" t="n">
        <v>-4000</v>
      </c>
      <c r="E808" s="4" t="inlineStr">
        <is>
          <t>664</t>
        </is>
      </c>
      <c r="F808" s="4" t="inlineStr">
        <is>
          <t>COSMETICON COMERCIO DE COSMETICOS LTDA</t>
        </is>
      </c>
      <c r="G808" s="6" t="inlineStr">
        <is>
          <t>663</t>
        </is>
      </c>
      <c r="H808" s="4">
        <f>IFERROR(VLOOKUP(G808&amp;"",PLANO!A:B,2,FALSE),"CONTA NAO EXISTE NO PLANO")</f>
        <v/>
      </c>
      <c r="I808" s="4" t="inlineStr">
        <is>
          <t>663</t>
        </is>
      </c>
      <c r="J808" s="4" t="inlineStr">
        <is>
          <t>AJUSTADO</t>
        </is>
      </c>
      <c r="K808" s="4" t="inlineStr">
        <is>
          <t>COSMETICON - conta-corrente unica de mutuo (663)</t>
        </is>
      </c>
      <c r="L808" s="4" t="inlineStr"/>
      <c r="M808" s="4" t="inlineStr">
        <is>
          <t>PIX ENVIADO COSMETICON C</t>
        </is>
      </c>
    </row>
    <row r="809">
      <c r="A809" t="n">
        <v>808</v>
      </c>
      <c r="B809" t="inlineStr">
        <is>
          <t>28/04/2026</t>
        </is>
      </c>
      <c r="C809" t="inlineStr">
        <is>
          <t>REF. A PIX ENVIADO RODONAVES TR - RODONAVES TRANSPORTES E ENCOMENDAS LTDA</t>
        </is>
      </c>
      <c r="D809" s="7" t="n">
        <v>-261.28</v>
      </c>
      <c r="E809" t="inlineStr">
        <is>
          <t>312</t>
        </is>
      </c>
      <c r="F809" t="inlineStr">
        <is>
          <t>FRETES E CARRETOS</t>
        </is>
      </c>
      <c r="G809" s="2" t="inlineStr">
        <is>
          <t>312</t>
        </is>
      </c>
      <c r="H809">
        <f>IFERROR(VLOOKUP(G809&amp;"",PLANO!A:B,2,FALSE),"CONTA NAO EXISTE NO PLANO")</f>
        <v/>
      </c>
      <c r="I809" t="inlineStr">
        <is>
          <t>312</t>
        </is>
      </c>
      <c r="J809" t="inlineStr">
        <is>
          <t>OK</t>
        </is>
      </c>
      <c r="K809" t="inlineStr">
        <is>
          <t>categoria Cosmos 97</t>
        </is>
      </c>
      <c r="L809" t="inlineStr">
        <is>
          <t>RODONAVES TRANSPORTES E ENCOMENDAS LTDA | 115/97 | PGTO REF.</t>
        </is>
      </c>
      <c r="M809" t="inlineStr">
        <is>
          <t>RODONAVES TRANSPORTES E ENCOMENDAS LTDA - PGTO REF.</t>
        </is>
      </c>
    </row>
    <row r="810">
      <c r="A810" t="n">
        <v>809</v>
      </c>
      <c r="B810" t="inlineStr">
        <is>
          <t>28/04/2026</t>
        </is>
      </c>
      <c r="C810" t="inlineStr">
        <is>
          <t>REF. A PIX ENVIADO TRANS TOMAZ - TRANS TOMAZ - TRANSPORTES RODOVIARIOS DE CARGAS EIRELI PAGAMENTO REFERENTE A FRETE SOBRE COMPRA</t>
        </is>
      </c>
      <c r="D810" s="7" t="n">
        <v>-113.29</v>
      </c>
      <c r="E810" t="inlineStr">
        <is>
          <t>312</t>
        </is>
      </c>
      <c r="F810" t="inlineStr">
        <is>
          <t>FRETES E CARRETOS</t>
        </is>
      </c>
      <c r="G810" s="2" t="inlineStr">
        <is>
          <t>312</t>
        </is>
      </c>
      <c r="H810">
        <f>IFERROR(VLOOKUP(G810&amp;"",PLANO!A:B,2,FALSE),"CONTA NAO EXISTE NO PLANO")</f>
        <v/>
      </c>
      <c r="I810" t="inlineStr">
        <is>
          <t>312</t>
        </is>
      </c>
      <c r="J810" t="inlineStr">
        <is>
          <t>OK</t>
        </is>
      </c>
      <c r="K810" t="inlineStr">
        <is>
          <t>categoria Cosmos 97</t>
        </is>
      </c>
      <c r="L810" t="inlineStr">
        <is>
          <t>TRANS TOMAZ TRANSPORTES RODOVIARIOS DE CARGAS EIRELI | 115/97 | PGTO REF.</t>
        </is>
      </c>
      <c r="M810" t="inlineStr">
        <is>
          <t>TRANS TOMAZ TRANSPORTES RODOVIARIOS DE CARGAS EIRELI - PGTO REF.</t>
        </is>
      </c>
    </row>
    <row r="811">
      <c r="A811" t="n">
        <v>810</v>
      </c>
      <c r="B811" t="inlineStr">
        <is>
          <t>28/04/2026</t>
        </is>
      </c>
      <c r="C811" t="inlineStr">
        <is>
          <t>REF. A BOLETO PAGO TRANS TOMAZ - TRANS TOMAZ - TRANSPORTES RODOVIARIOS DE CARGAS EIRELI PAGAMENTO REFERENTE A FRETE SOBRE COMPRA</t>
        </is>
      </c>
      <c r="D811" s="7" t="n">
        <v>-808.36</v>
      </c>
      <c r="E811" t="inlineStr">
        <is>
          <t>312</t>
        </is>
      </c>
      <c r="F811" t="inlineStr">
        <is>
          <t>FRETES E CARRETOS</t>
        </is>
      </c>
      <c r="G811" s="2" t="inlineStr">
        <is>
          <t>312</t>
        </is>
      </c>
      <c r="H811">
        <f>IFERROR(VLOOKUP(G811&amp;"",PLANO!A:B,2,FALSE),"CONTA NAO EXISTE NO PLANO")</f>
        <v/>
      </c>
      <c r="I811" t="inlineStr">
        <is>
          <t>312</t>
        </is>
      </c>
      <c r="J811" t="inlineStr">
        <is>
          <t>OK</t>
        </is>
      </c>
      <c r="K811" t="inlineStr">
        <is>
          <t>categoria Cosmos 4</t>
        </is>
      </c>
      <c r="L811" t="inlineStr">
        <is>
          <t>TRANS TOMAZ TRANSPORTES RODOVIARIOS DE CARGAS EIRELI | 115/4 | PGTO REF.</t>
        </is>
      </c>
      <c r="M811" t="inlineStr">
        <is>
          <t>TRANS TOMAZ TRANSPORTES RODOVIARIOS DE CARGAS EIRELI - PGTO REF.</t>
        </is>
      </c>
    </row>
    <row r="812">
      <c r="A812" t="n">
        <v>811</v>
      </c>
      <c r="B812" t="inlineStr">
        <is>
          <t>28/04/2026</t>
        </is>
      </c>
      <c r="C812" t="inlineStr">
        <is>
          <t>REF. A BOLETO PAGO TRANS TOMAZ TRANS TOMAZ - TRANSPORTES RODOVIARIOS DE CARGAS EIRELI PAGAMENTO REFERENTE A FRETE SOBRE COMPRA</t>
        </is>
      </c>
      <c r="D812" s="7" t="n">
        <v>-586.95</v>
      </c>
      <c r="E812" t="inlineStr">
        <is>
          <t>312</t>
        </is>
      </c>
      <c r="F812" t="inlineStr">
        <is>
          <t>FRETES E CARRETOS</t>
        </is>
      </c>
      <c r="G812" s="2" t="inlineStr">
        <is>
          <t>312</t>
        </is>
      </c>
      <c r="H812">
        <f>IFERROR(VLOOKUP(G812&amp;"",PLANO!A:B,2,FALSE),"CONTA NAO EXISTE NO PLANO")</f>
        <v/>
      </c>
      <c r="I812" t="inlineStr">
        <is>
          <t>312</t>
        </is>
      </c>
      <c r="J812" t="inlineStr">
        <is>
          <t>OK</t>
        </is>
      </c>
      <c r="K812" t="inlineStr">
        <is>
          <t>categoria Cosmos 4</t>
        </is>
      </c>
      <c r="L812" t="inlineStr">
        <is>
          <t>TRANS TOMAZ TRANSPORTES RODOVIARIOS DE CARGAS EIRELI | 115/4 | PAGAMENTO REFERENTE A FRETE SOBRE COMPRA</t>
        </is>
      </c>
      <c r="M812" t="inlineStr">
        <is>
          <t>TRANS TOMAZ TRANSPORTES RODOVIARIOS DE CARGAS EIRELI - PAGAMENTO REFERENTE A FRETE SOBRE COMPRA</t>
        </is>
      </c>
    </row>
    <row r="813">
      <c r="A813" t="n">
        <v>812</v>
      </c>
      <c r="B813" t="inlineStr">
        <is>
          <t>29/04/2026</t>
        </is>
      </c>
      <c r="C813" t="inlineStr">
        <is>
          <t>REF. A PIX TRANSF LDX COM29/04</t>
        </is>
      </c>
      <c r="D813" s="7" t="n">
        <v>5000</v>
      </c>
      <c r="E813" t="inlineStr">
        <is>
          <t>504</t>
        </is>
      </c>
      <c r="F813" t="inlineStr">
        <is>
          <t>CLIENTES DIVERSOS</t>
        </is>
      </c>
      <c r="G813" s="2" t="inlineStr">
        <is>
          <t>504</t>
        </is>
      </c>
      <c r="H813">
        <f>IFERROR(VLOOKUP(G813&amp;"",PLANO!A:B,2,FALSE),"CONTA NAO EXISTE NO PLANO")</f>
        <v/>
      </c>
      <c r="I813" t="inlineStr">
        <is>
          <t>504</t>
        </is>
      </c>
      <c r="J813" t="inlineStr">
        <is>
          <t>SEM COSMOS</t>
        </is>
      </c>
      <c r="K813" t="inlineStr"/>
      <c r="L813" t="inlineStr"/>
      <c r="M813" t="inlineStr">
        <is>
          <t>PIX TRANSF LDX COM29/04</t>
        </is>
      </c>
    </row>
    <row r="814">
      <c r="A814" t="n">
        <v>813</v>
      </c>
      <c r="B814" t="inlineStr">
        <is>
          <t>29/04/2026</t>
        </is>
      </c>
      <c r="C814" t="inlineStr">
        <is>
          <t>PIX ENVIADO SUZAN CRISTI</t>
        </is>
      </c>
      <c r="D814" s="7" t="n">
        <v>-2677.56</v>
      </c>
      <c r="E814" t="inlineStr">
        <is>
          <t>362</t>
        </is>
      </c>
      <c r="F814" t="inlineStr">
        <is>
          <t>SERVIÇOS PRESTADOS POR TERCEIROS</t>
        </is>
      </c>
      <c r="G814" s="2" t="inlineStr">
        <is>
          <t>362</t>
        </is>
      </c>
      <c r="H814">
        <f>IFERROR(VLOOKUP(G814&amp;"",PLANO!A:B,2,FALSE),"CONTA NAO EXISTE NO PLANO")</f>
        <v/>
      </c>
      <c r="I814" t="inlineStr">
        <is>
          <t>362</t>
        </is>
      </c>
      <c r="J814" t="inlineStr">
        <is>
          <t>SEM COSMOS</t>
        </is>
      </c>
      <c r="K814" t="inlineStr"/>
      <c r="L814" t="inlineStr"/>
      <c r="M814" t="inlineStr">
        <is>
          <t>PIX ENVIADO SUZAN CRISTI</t>
        </is>
      </c>
    </row>
    <row r="815">
      <c r="A815" s="4" t="n">
        <v>814</v>
      </c>
      <c r="B815" s="4" t="inlineStr">
        <is>
          <t>29/04/2026</t>
        </is>
      </c>
      <c r="C815" s="4" t="inlineStr">
        <is>
          <t>REF. A PIX ENVIADO COSMETICON C</t>
        </is>
      </c>
      <c r="D815" s="5" t="n">
        <v>-3000</v>
      </c>
      <c r="E815" s="4" t="inlineStr">
        <is>
          <t>664</t>
        </is>
      </c>
      <c r="F815" s="4" t="inlineStr">
        <is>
          <t>COSMETICON COMERCIO DE COSMETICOS LTDA</t>
        </is>
      </c>
      <c r="G815" s="6" t="inlineStr">
        <is>
          <t>663</t>
        </is>
      </c>
      <c r="H815" s="4">
        <f>IFERROR(VLOOKUP(G815&amp;"",PLANO!A:B,2,FALSE),"CONTA NAO EXISTE NO PLANO")</f>
        <v/>
      </c>
      <c r="I815" s="4" t="inlineStr">
        <is>
          <t>663</t>
        </is>
      </c>
      <c r="J815" s="4" t="inlineStr">
        <is>
          <t>AJUSTADO</t>
        </is>
      </c>
      <c r="K815" s="4" t="inlineStr">
        <is>
          <t>COSMETICON - conta-corrente unica de mutuo (663)</t>
        </is>
      </c>
      <c r="L815" s="4" t="inlineStr"/>
      <c r="M815" s="4" t="inlineStr">
        <is>
          <t>PIX ENVIADO COSMETICON C</t>
        </is>
      </c>
    </row>
    <row r="816">
      <c r="A816" t="n">
        <v>815</v>
      </c>
      <c r="B816" t="inlineStr">
        <is>
          <t>29/04/2026</t>
        </is>
      </c>
      <c r="C816" t="inlineStr">
        <is>
          <t>REF. A PIX ENVIADO BRENNTAG SPE</t>
        </is>
      </c>
      <c r="D816" s="7" t="n">
        <v>-329.11</v>
      </c>
      <c r="E816" t="inlineStr">
        <is>
          <t>506</t>
        </is>
      </c>
      <c r="F816" t="inlineStr">
        <is>
          <t>FORNECEDORES DIVERSOS</t>
        </is>
      </c>
      <c r="G816" s="2" t="inlineStr">
        <is>
          <t>506</t>
        </is>
      </c>
      <c r="H816">
        <f>IFERROR(VLOOKUP(G816&amp;"",PLANO!A:B,2,FALSE),"CONTA NAO EXISTE NO PLANO")</f>
        <v/>
      </c>
      <c r="I816" t="inlineStr">
        <is>
          <t>506</t>
        </is>
      </c>
      <c r="J816" t="inlineStr">
        <is>
          <t>SEM COSMOS</t>
        </is>
      </c>
      <c r="K816" t="inlineStr"/>
      <c r="L816" t="inlineStr"/>
      <c r="M816" t="inlineStr">
        <is>
          <t>PIX ENVIADO BRENNTAG SPE</t>
        </is>
      </c>
    </row>
    <row r="817">
      <c r="A817" t="n">
        <v>816</v>
      </c>
      <c r="B817" t="inlineStr">
        <is>
          <t>29/04/2026</t>
        </is>
      </c>
      <c r="C817" t="inlineStr">
        <is>
          <t>REF. A BOLETO PAGO TABELIONATO</t>
        </is>
      </c>
      <c r="D817" s="7" t="n">
        <v>-1019.42</v>
      </c>
      <c r="E817" t="inlineStr">
        <is>
          <t>365</t>
        </is>
      </c>
      <c r="F817" t="inlineStr">
        <is>
          <t>DESPESAS LEGAIS E JUDICIAIS</t>
        </is>
      </c>
      <c r="G817" s="2" t="inlineStr">
        <is>
          <t>365</t>
        </is>
      </c>
      <c r="H817">
        <f>IFERROR(VLOOKUP(G817&amp;"",PLANO!A:B,2,FALSE),"CONTA NAO EXISTE NO PLANO")</f>
        <v/>
      </c>
      <c r="I817" t="inlineStr">
        <is>
          <t>365</t>
        </is>
      </c>
      <c r="J817" t="inlineStr">
        <is>
          <t>SEM COSMOS</t>
        </is>
      </c>
      <c r="K817" t="inlineStr"/>
      <c r="L817" t="inlineStr"/>
      <c r="M817" t="inlineStr">
        <is>
          <t>BOLETO PAGO TABELIONATO</t>
        </is>
      </c>
    </row>
    <row r="818">
      <c r="A818" s="4" t="n">
        <v>817</v>
      </c>
      <c r="B818" s="4" t="inlineStr">
        <is>
          <t>30/04/2026</t>
        </is>
      </c>
      <c r="C818" s="4" t="inlineStr">
        <is>
          <t>REF. A SISPAG COSMETICON COMER</t>
        </is>
      </c>
      <c r="D818" s="5" t="n">
        <v>2500</v>
      </c>
      <c r="E818" s="4" t="inlineStr">
        <is>
          <t>663</t>
        </is>
      </c>
      <c r="F818" s="4" t="inlineStr">
        <is>
          <t>EMPRESTIMO COSMETICON COMERCIO (31.494.732/0001-09)</t>
        </is>
      </c>
      <c r="G818" s="6" t="inlineStr">
        <is>
          <t>663</t>
        </is>
      </c>
      <c r="H818" s="4">
        <f>IFERROR(VLOOKUP(G818&amp;"",PLANO!A:B,2,FALSE),"CONTA NAO EXISTE NO PLANO")</f>
        <v/>
      </c>
      <c r="I818" s="4" t="inlineStr">
        <is>
          <t>663</t>
        </is>
      </c>
      <c r="J818" s="4" t="inlineStr">
        <is>
          <t>AJUSTADO</t>
        </is>
      </c>
      <c r="K818" s="4" t="inlineStr">
        <is>
          <t>COSMETICON - conta-corrente unica de mutuo (663)</t>
        </is>
      </c>
      <c r="L818" s="4" t="inlineStr"/>
      <c r="M818" s="4" t="inlineStr">
        <is>
          <t>SISPAG COSMETICON COMER</t>
        </is>
      </c>
    </row>
    <row r="819">
      <c r="A819" t="n">
        <v>818</v>
      </c>
      <c r="B819" t="inlineStr">
        <is>
          <t>30/04/2026</t>
        </is>
      </c>
      <c r="C819" t="inlineStr">
        <is>
          <t>REF A 302OP REC EXT 6506434</t>
        </is>
      </c>
      <c r="D819" s="7" t="n">
        <v>53780.66</v>
      </c>
      <c r="E819" t="inlineStr">
        <is>
          <t>504</t>
        </is>
      </c>
      <c r="F819" t="inlineStr">
        <is>
          <t>CLIENTES DIVERSOS</t>
        </is>
      </c>
      <c r="G819" s="2" t="inlineStr">
        <is>
          <t>504</t>
        </is>
      </c>
      <c r="H819">
        <f>IFERROR(VLOOKUP(G819&amp;"",PLANO!A:B,2,FALSE),"CONTA NAO EXISTE NO PLANO")</f>
        <v/>
      </c>
      <c r="I819" t="inlineStr">
        <is>
          <t>504</t>
        </is>
      </c>
      <c r="J819" t="inlineStr">
        <is>
          <t>SEM COSMOS</t>
        </is>
      </c>
      <c r="K819" t="inlineStr"/>
      <c r="L819" t="inlineStr"/>
      <c r="M819" t="inlineStr">
        <is>
          <t>302OP REC EXT 6506434</t>
        </is>
      </c>
    </row>
    <row r="820">
      <c r="A820" t="n">
        <v>819</v>
      </c>
      <c r="B820" t="inlineStr">
        <is>
          <t>30/04/2026</t>
        </is>
      </c>
      <c r="C820" t="inlineStr">
        <is>
          <t>REF. A MOV TIT COB DISP 30/04S</t>
        </is>
      </c>
      <c r="D820" s="7" t="n">
        <v>2271.1</v>
      </c>
      <c r="E820" t="inlineStr">
        <is>
          <t>504</t>
        </is>
      </c>
      <c r="F820" t="inlineStr">
        <is>
          <t>CLIENTES DIVERSOS</t>
        </is>
      </c>
      <c r="G820" s="2" t="inlineStr">
        <is>
          <t>504</t>
        </is>
      </c>
      <c r="H820">
        <f>IFERROR(VLOOKUP(G820&amp;"",PLANO!A:B,2,FALSE),"CONTA NAO EXISTE NO PLANO")</f>
        <v/>
      </c>
      <c r="I820" t="inlineStr">
        <is>
          <t>504</t>
        </is>
      </c>
      <c r="J820" t="inlineStr">
        <is>
          <t>SEM COSMOS</t>
        </is>
      </c>
      <c r="K820" t="inlineStr"/>
      <c r="L820" t="inlineStr"/>
      <c r="M820" t="inlineStr">
        <is>
          <t>MOV TIT COB DISP 30/04S</t>
        </is>
      </c>
    </row>
    <row r="821">
      <c r="A821" t="n">
        <v>820</v>
      </c>
      <c r="B821" t="inlineStr">
        <is>
          <t>30/04/2026</t>
        </is>
      </c>
      <c r="C821" t="inlineStr">
        <is>
          <t>REF. A REDE ELO AT0081996543</t>
        </is>
      </c>
      <c r="D821" s="7" t="n">
        <v>12610.85</v>
      </c>
      <c r="E821" t="inlineStr">
        <is>
          <t>504</t>
        </is>
      </c>
      <c r="F821" t="inlineStr">
        <is>
          <t>CLIENTES DIVERSOS</t>
        </is>
      </c>
      <c r="G821" s="2" t="inlineStr">
        <is>
          <t>504</t>
        </is>
      </c>
      <c r="H821">
        <f>IFERROR(VLOOKUP(G821&amp;"",PLANO!A:B,2,FALSE),"CONTA NAO EXISTE NO PLANO")</f>
        <v/>
      </c>
      <c r="I821" t="inlineStr">
        <is>
          <t>504</t>
        </is>
      </c>
      <c r="J821" t="inlineStr">
        <is>
          <t>SEM COSMOS</t>
        </is>
      </c>
      <c r="K821" t="inlineStr"/>
      <c r="L821" t="inlineStr"/>
      <c r="M821" t="inlineStr">
        <is>
          <t>REDE ELO AT0081996543</t>
        </is>
      </c>
    </row>
    <row r="822">
      <c r="A822" t="n">
        <v>821</v>
      </c>
      <c r="B822" t="inlineStr">
        <is>
          <t>30/04/2026</t>
        </is>
      </c>
      <c r="C822" t="inlineStr">
        <is>
          <t>REF. A REDE MAST AT0081996543</t>
        </is>
      </c>
      <c r="D822" s="7" t="n">
        <v>5886.33</v>
      </c>
      <c r="E822" t="inlineStr">
        <is>
          <t>504</t>
        </is>
      </c>
      <c r="F822" t="inlineStr">
        <is>
          <t>CLIENTES DIVERSOS</t>
        </is>
      </c>
      <c r="G822" s="2" t="inlineStr">
        <is>
          <t>504</t>
        </is>
      </c>
      <c r="H822">
        <f>IFERROR(VLOOKUP(G822&amp;"",PLANO!A:B,2,FALSE),"CONTA NAO EXISTE NO PLANO")</f>
        <v/>
      </c>
      <c r="I822" t="inlineStr">
        <is>
          <t>504</t>
        </is>
      </c>
      <c r="J822" t="inlineStr">
        <is>
          <t>SEM COSMOS</t>
        </is>
      </c>
      <c r="K822" t="inlineStr"/>
      <c r="L822" t="inlineStr"/>
      <c r="M822" t="inlineStr">
        <is>
          <t>REDE MAST AT0081996543</t>
        </is>
      </c>
    </row>
    <row r="823">
      <c r="A823" t="n">
        <v>822</v>
      </c>
      <c r="B823" t="inlineStr">
        <is>
          <t>30/04/2026</t>
        </is>
      </c>
      <c r="C823" t="inlineStr">
        <is>
          <t>REF. A REDE VISA AT0081996543</t>
        </is>
      </c>
      <c r="D823" s="7" t="n">
        <v>1295.52</v>
      </c>
      <c r="E823" t="inlineStr">
        <is>
          <t>504</t>
        </is>
      </c>
      <c r="F823" t="inlineStr">
        <is>
          <t>CLIENTES DIVERSOS</t>
        </is>
      </c>
      <c r="G823" s="2" t="inlineStr">
        <is>
          <t>504</t>
        </is>
      </c>
      <c r="H823">
        <f>IFERROR(VLOOKUP(G823&amp;"",PLANO!A:B,2,FALSE),"CONTA NAO EXISTE NO PLANO")</f>
        <v/>
      </c>
      <c r="I823" t="inlineStr">
        <is>
          <t>504</t>
        </is>
      </c>
      <c r="J823" t="inlineStr">
        <is>
          <t>SEM COSMOS</t>
        </is>
      </c>
      <c r="K823" t="inlineStr"/>
      <c r="L823" t="inlineStr"/>
      <c r="M823" t="inlineStr">
        <is>
          <t>REDE VISA AT0081996543</t>
        </is>
      </c>
    </row>
    <row r="824">
      <c r="A824" t="n">
        <v>823</v>
      </c>
      <c r="B824" t="inlineStr">
        <is>
          <t>30/04/2026</t>
        </is>
      </c>
      <c r="C824" t="inlineStr">
        <is>
          <t>REF. A PIX TRANSF VIZBELL30/04</t>
        </is>
      </c>
      <c r="D824" s="7" t="n">
        <v>720.5700000000001</v>
      </c>
      <c r="E824" t="inlineStr">
        <is>
          <t>504</t>
        </is>
      </c>
      <c r="F824" t="inlineStr">
        <is>
          <t>CLIENTES DIVERSOS</t>
        </is>
      </c>
      <c r="G824" s="2" t="inlineStr">
        <is>
          <t>504</t>
        </is>
      </c>
      <c r="H824">
        <f>IFERROR(VLOOKUP(G824&amp;"",PLANO!A:B,2,FALSE),"CONTA NAO EXISTE NO PLANO")</f>
        <v/>
      </c>
      <c r="I824" t="inlineStr">
        <is>
          <t>504</t>
        </is>
      </c>
      <c r="J824" t="inlineStr">
        <is>
          <t>SEM COSMOS</t>
        </is>
      </c>
      <c r="K824" t="inlineStr"/>
      <c r="L824" t="inlineStr"/>
      <c r="M824" t="inlineStr">
        <is>
          <t>PIX TRANSF VIZBELL30/04</t>
        </is>
      </c>
    </row>
    <row r="825">
      <c r="A825" t="n">
        <v>824</v>
      </c>
      <c r="B825" t="inlineStr">
        <is>
          <t>30/04/2026</t>
        </is>
      </c>
      <c r="C825" t="inlineStr">
        <is>
          <t>SISPAG TRIB COD BARRAS</t>
        </is>
      </c>
      <c r="D825" s="7" t="n">
        <v>-559.01</v>
      </c>
      <c r="E825" t="inlineStr">
        <is>
          <t>481</t>
        </is>
      </c>
      <c r="F825" t="inlineStr">
        <is>
          <t>SUBSTITUIÇÃO TRIBUTÁRIA A RECOLHER</t>
        </is>
      </c>
      <c r="G825" s="2" t="inlineStr">
        <is>
          <t>481</t>
        </is>
      </c>
      <c r="H825">
        <f>IFERROR(VLOOKUP(G825&amp;"",PLANO!A:B,2,FALSE),"CONTA NAO EXISTE NO PLANO")</f>
        <v/>
      </c>
      <c r="I825" t="inlineStr">
        <is>
          <t>481</t>
        </is>
      </c>
      <c r="J825" t="inlineStr">
        <is>
          <t>SEM COSMOS</t>
        </is>
      </c>
      <c r="K825" t="inlineStr"/>
      <c r="L825" t="inlineStr"/>
      <c r="M825" t="inlineStr">
        <is>
          <t>SISPAG TRIB COD BARRAS</t>
        </is>
      </c>
    </row>
    <row r="826">
      <c r="A826" t="n">
        <v>825</v>
      </c>
      <c r="B826" t="inlineStr">
        <is>
          <t>30/04/2026</t>
        </is>
      </c>
      <c r="C826" t="inlineStr">
        <is>
          <t>SISPAG TRIB COD BARRAS</t>
        </is>
      </c>
      <c r="D826" s="7" t="n">
        <v>-559.95</v>
      </c>
      <c r="E826" t="inlineStr">
        <is>
          <t>481</t>
        </is>
      </c>
      <c r="F826" t="inlineStr">
        <is>
          <t>SUBSTITUIÇÃO TRIBUTÁRIA A RECOLHER</t>
        </is>
      </c>
      <c r="G826" s="2" t="inlineStr">
        <is>
          <t>481</t>
        </is>
      </c>
      <c r="H826">
        <f>IFERROR(VLOOKUP(G826&amp;"",PLANO!A:B,2,FALSE),"CONTA NAO EXISTE NO PLANO")</f>
        <v/>
      </c>
      <c r="I826" t="inlineStr">
        <is>
          <t>481</t>
        </is>
      </c>
      <c r="J826" t="inlineStr">
        <is>
          <t>SEM COSMOS</t>
        </is>
      </c>
      <c r="K826" t="inlineStr"/>
      <c r="L826" t="inlineStr"/>
      <c r="M826" t="inlineStr">
        <is>
          <t>SISPAG TRIB COD BARRAS</t>
        </is>
      </c>
    </row>
    <row r="827">
      <c r="A827" t="n">
        <v>826</v>
      </c>
      <c r="B827" t="inlineStr">
        <is>
          <t>30/04/2026</t>
        </is>
      </c>
      <c r="C827" t="inlineStr">
        <is>
          <t>SISPAG TRIB COD BARRAS</t>
        </is>
      </c>
      <c r="D827" s="7" t="n">
        <v>-604.4</v>
      </c>
      <c r="E827" t="inlineStr">
        <is>
          <t>481</t>
        </is>
      </c>
      <c r="F827" t="inlineStr">
        <is>
          <t>SUBSTITUIÇÃO TRIBUTÁRIA A RECOLHER</t>
        </is>
      </c>
      <c r="G827" s="2" t="inlineStr">
        <is>
          <t>481</t>
        </is>
      </c>
      <c r="H827">
        <f>IFERROR(VLOOKUP(G827&amp;"",PLANO!A:B,2,FALSE),"CONTA NAO EXISTE NO PLANO")</f>
        <v/>
      </c>
      <c r="I827" t="inlineStr">
        <is>
          <t>481</t>
        </is>
      </c>
      <c r="J827" t="inlineStr">
        <is>
          <t>SEM COSMOS</t>
        </is>
      </c>
      <c r="K827" t="inlineStr"/>
      <c r="L827" t="inlineStr"/>
      <c r="M827" t="inlineStr">
        <is>
          <t>SISPAG TRIB COD BARRAS</t>
        </is>
      </c>
    </row>
    <row r="828">
      <c r="A828" t="n">
        <v>827</v>
      </c>
      <c r="B828" t="inlineStr">
        <is>
          <t>30/04/2026</t>
        </is>
      </c>
      <c r="C828" t="inlineStr">
        <is>
          <t>REF A TAR CAMB REC RECURS</t>
        </is>
      </c>
      <c r="D828" s="7" t="n">
        <v>-135</v>
      </c>
      <c r="E828" t="inlineStr">
        <is>
          <t>626</t>
        </is>
      </c>
      <c r="F828" t="inlineStr">
        <is>
          <t>TARIFAS BANCARIAS</t>
        </is>
      </c>
      <c r="G828" s="2" t="inlineStr">
        <is>
          <t>626</t>
        </is>
      </c>
      <c r="H828">
        <f>IFERROR(VLOOKUP(G828&amp;"",PLANO!A:B,2,FALSE),"CONTA NAO EXISTE NO PLANO")</f>
        <v/>
      </c>
      <c r="I828" t="inlineStr">
        <is>
          <t>626</t>
        </is>
      </c>
      <c r="J828" t="inlineStr">
        <is>
          <t>SEM COSMOS</t>
        </is>
      </c>
      <c r="K828" t="inlineStr"/>
      <c r="L828" t="inlineStr"/>
      <c r="M828" t="inlineStr">
        <is>
          <t>TAR CAMB REC RECURS</t>
        </is>
      </c>
    </row>
    <row r="829">
      <c r="A829" t="n">
        <v>828</v>
      </c>
      <c r="B829" t="inlineStr">
        <is>
          <t>30/04/2026</t>
        </is>
      </c>
      <c r="C829" t="inlineStr">
        <is>
          <t>REF. A PGTO MIN-ITAUCARD-1147</t>
        </is>
      </c>
      <c r="D829" s="7" t="n">
        <v>-1858.93</v>
      </c>
      <c r="E829" t="inlineStr">
        <is>
          <t>493</t>
        </is>
      </c>
      <c r="F829" t="inlineStr">
        <is>
          <t>DESPESAS DIVERSAS</t>
        </is>
      </c>
      <c r="G829" s="2" t="inlineStr">
        <is>
          <t>493</t>
        </is>
      </c>
      <c r="H829">
        <f>IFERROR(VLOOKUP(G829&amp;"",PLANO!A:B,2,FALSE),"CONTA NAO EXISTE NO PLANO")</f>
        <v/>
      </c>
      <c r="I829" t="inlineStr">
        <is>
          <t>493</t>
        </is>
      </c>
      <c r="J829" t="inlineStr">
        <is>
          <t>SEM COSMOS</t>
        </is>
      </c>
      <c r="K829" t="inlineStr"/>
      <c r="L829" t="inlineStr"/>
      <c r="M829" t="inlineStr">
        <is>
          <t>PGTO MIN-ITAUCARD-1147</t>
        </is>
      </c>
    </row>
    <row r="830">
      <c r="A830" s="4" t="n">
        <v>829</v>
      </c>
      <c r="B830" s="4" t="inlineStr">
        <is>
          <t>30/04/2026</t>
        </is>
      </c>
      <c r="C830" s="4" t="inlineStr">
        <is>
          <t>REF. A PIX ENVIADO COSMETICON C</t>
        </is>
      </c>
      <c r="D830" s="5" t="n">
        <v>-28000</v>
      </c>
      <c r="E830" s="4" t="inlineStr">
        <is>
          <t>664</t>
        </is>
      </c>
      <c r="F830" s="4" t="inlineStr">
        <is>
          <t>COSMETICON COMERCIO DE COSMETICOS LTDA</t>
        </is>
      </c>
      <c r="G830" s="6" t="inlineStr">
        <is>
          <t>663</t>
        </is>
      </c>
      <c r="H830" s="4">
        <f>IFERROR(VLOOKUP(G830&amp;"",PLANO!A:B,2,FALSE),"CONTA NAO EXISTE NO PLANO")</f>
        <v/>
      </c>
      <c r="I830" s="4" t="inlineStr">
        <is>
          <t>663</t>
        </is>
      </c>
      <c r="J830" s="4" t="inlineStr">
        <is>
          <t>AJUSTADO</t>
        </is>
      </c>
      <c r="K830" s="4" t="inlineStr">
        <is>
          <t>COSMETICON - conta-corrente unica de mutuo (663)</t>
        </is>
      </c>
      <c r="L830" s="4" t="inlineStr"/>
      <c r="M830" s="4" t="inlineStr">
        <is>
          <t>PIX ENVIADO COSMETICON C</t>
        </is>
      </c>
    </row>
    <row r="831">
      <c r="A831" t="n">
        <v>830</v>
      </c>
      <c r="B831" t="inlineStr">
        <is>
          <t>30/04/2026</t>
        </is>
      </c>
      <c r="C831" t="inlineStr">
        <is>
          <t>REF. A PIX ENVIADO ELIANE VAZ P</t>
        </is>
      </c>
      <c r="D831" s="7" t="n">
        <v>-3561.23</v>
      </c>
      <c r="E831" t="inlineStr">
        <is>
          <t>25</t>
        </is>
      </c>
      <c r="F831" t="inlineStr">
        <is>
          <t>ADIANTAMENTO DE SALÁRIO</t>
        </is>
      </c>
      <c r="G831" s="2" t="inlineStr">
        <is>
          <t>25</t>
        </is>
      </c>
      <c r="H831">
        <f>IFERROR(VLOOKUP(G831&amp;"",PLANO!A:B,2,FALSE),"CONTA NAO EXISTE NO PLANO")</f>
        <v/>
      </c>
      <c r="I831" t="inlineStr">
        <is>
          <t>25</t>
        </is>
      </c>
      <c r="J831" t="inlineStr">
        <is>
          <t>SEM COSMOS</t>
        </is>
      </c>
      <c r="K831" t="inlineStr"/>
      <c r="L831" t="inlineStr"/>
      <c r="M831" t="inlineStr">
        <is>
          <t>PIX ENVIADO ELIANE VAZ P</t>
        </is>
      </c>
    </row>
    <row r="832">
      <c r="A832" t="n">
        <v>831</v>
      </c>
      <c r="B832" t="inlineStr">
        <is>
          <t>04/05/2026</t>
        </is>
      </c>
      <c r="C832" t="inlineStr">
        <is>
          <t>REF. A MOV TIT COB DISP 04/05S</t>
        </is>
      </c>
      <c r="D832" s="7" t="n">
        <v>3895.62</v>
      </c>
      <c r="E832" t="inlineStr">
        <is>
          <t>504</t>
        </is>
      </c>
      <c r="F832" t="inlineStr">
        <is>
          <t>CLIENTES DIVERSOS</t>
        </is>
      </c>
      <c r="G832" s="2" t="inlineStr">
        <is>
          <t>504</t>
        </is>
      </c>
      <c r="H832">
        <f>IFERROR(VLOOKUP(G832&amp;"",PLANO!A:B,2,FALSE),"CONTA NAO EXISTE NO PLANO")</f>
        <v/>
      </c>
      <c r="I832" t="inlineStr">
        <is>
          <t>504</t>
        </is>
      </c>
      <c r="J832" t="inlineStr">
        <is>
          <t>SEM COSMOS</t>
        </is>
      </c>
      <c r="K832" t="inlineStr"/>
      <c r="L832" t="inlineStr"/>
      <c r="M832" t="inlineStr">
        <is>
          <t>MOV TIT COB DISP 04/05S</t>
        </is>
      </c>
    </row>
    <row r="833">
      <c r="A833" t="n">
        <v>832</v>
      </c>
      <c r="B833" t="inlineStr">
        <is>
          <t>04/05/2026</t>
        </is>
      </c>
      <c r="C833" t="inlineStr">
        <is>
          <t>REF. A PIX TRANSF ELISANG02/05</t>
        </is>
      </c>
      <c r="D833" s="7" t="n">
        <v>1098</v>
      </c>
      <c r="E833" t="inlineStr">
        <is>
          <t>504</t>
        </is>
      </c>
      <c r="F833" t="inlineStr">
        <is>
          <t>CLIENTES DIVERSOS</t>
        </is>
      </c>
      <c r="G833" s="2" t="inlineStr">
        <is>
          <t>504</t>
        </is>
      </c>
      <c r="H833">
        <f>IFERROR(VLOOKUP(G833&amp;"",PLANO!A:B,2,FALSE),"CONTA NAO EXISTE NO PLANO")</f>
        <v/>
      </c>
      <c r="I833" t="inlineStr">
        <is>
          <t>504</t>
        </is>
      </c>
      <c r="J833" t="inlineStr">
        <is>
          <t>SEM COSMOS</t>
        </is>
      </c>
      <c r="K833" t="inlineStr"/>
      <c r="L833" t="inlineStr"/>
      <c r="M833" t="inlineStr">
        <is>
          <t>PIX TRANSF ELISANG02/05</t>
        </is>
      </c>
    </row>
    <row r="834">
      <c r="A834" t="n">
        <v>833</v>
      </c>
      <c r="B834" t="inlineStr">
        <is>
          <t>04/05/2026</t>
        </is>
      </c>
      <c r="C834" t="inlineStr">
        <is>
          <t>REF. A PIX TRANSF RUBENS 02/05</t>
        </is>
      </c>
      <c r="D834" s="7" t="n">
        <v>853.12</v>
      </c>
      <c r="E834" t="inlineStr">
        <is>
          <t>504</t>
        </is>
      </c>
      <c r="F834" t="inlineStr">
        <is>
          <t>CLIENTES DIVERSOS</t>
        </is>
      </c>
      <c r="G834" s="2" t="inlineStr">
        <is>
          <t>504</t>
        </is>
      </c>
      <c r="H834">
        <f>IFERROR(VLOOKUP(G834&amp;"",PLANO!A:B,2,FALSE),"CONTA NAO EXISTE NO PLANO")</f>
        <v/>
      </c>
      <c r="I834" t="inlineStr">
        <is>
          <t>504</t>
        </is>
      </c>
      <c r="J834" t="inlineStr">
        <is>
          <t>SEM COSMOS</t>
        </is>
      </c>
      <c r="K834" t="inlineStr"/>
      <c r="L834" t="inlineStr"/>
      <c r="M834" t="inlineStr">
        <is>
          <t>PIX TRANSF RUBENS 02/05</t>
        </is>
      </c>
    </row>
    <row r="835">
      <c r="A835" t="n">
        <v>834</v>
      </c>
      <c r="B835" t="inlineStr">
        <is>
          <t>04/05/2026</t>
        </is>
      </c>
      <c r="C835" t="inlineStr">
        <is>
          <t>REF. A PIX TRANSF VITTA H04/05</t>
        </is>
      </c>
      <c r="D835" s="7" t="n">
        <v>1357</v>
      </c>
      <c r="E835" t="inlineStr">
        <is>
          <t>504</t>
        </is>
      </c>
      <c r="F835" t="inlineStr">
        <is>
          <t>CLIENTES DIVERSOS</t>
        </is>
      </c>
      <c r="G835" s="2" t="inlineStr">
        <is>
          <t>504</t>
        </is>
      </c>
      <c r="H835">
        <f>IFERROR(VLOOKUP(G835&amp;"",PLANO!A:B,2,FALSE),"CONTA NAO EXISTE NO PLANO")</f>
        <v/>
      </c>
      <c r="I835" t="inlineStr">
        <is>
          <t>504</t>
        </is>
      </c>
      <c r="J835" t="inlineStr">
        <is>
          <t>SEM COSMOS</t>
        </is>
      </c>
      <c r="K835" t="inlineStr"/>
      <c r="L835" t="inlineStr"/>
      <c r="M835" t="inlineStr">
        <is>
          <t>PIX TRANSF VITTA H04/05</t>
        </is>
      </c>
    </row>
    <row r="836">
      <c r="A836" t="n">
        <v>835</v>
      </c>
      <c r="B836" t="inlineStr">
        <is>
          <t>04/05/2026</t>
        </is>
      </c>
      <c r="C836" t="inlineStr">
        <is>
          <t>REF. A PIX TRANSF WALDIR 04/05</t>
        </is>
      </c>
      <c r="D836" s="7" t="n">
        <v>400</v>
      </c>
      <c r="E836" t="inlineStr">
        <is>
          <t>504</t>
        </is>
      </c>
      <c r="F836" t="inlineStr">
        <is>
          <t>CLIENTES DIVERSOS</t>
        </is>
      </c>
      <c r="G836" s="2" t="inlineStr">
        <is>
          <t>504</t>
        </is>
      </c>
      <c r="H836">
        <f>IFERROR(VLOOKUP(G836&amp;"",PLANO!A:B,2,FALSE),"CONTA NAO EXISTE NO PLANO")</f>
        <v/>
      </c>
      <c r="I836" t="inlineStr">
        <is>
          <t>504</t>
        </is>
      </c>
      <c r="J836" t="inlineStr">
        <is>
          <t>SEM COSMOS</t>
        </is>
      </c>
      <c r="K836" t="inlineStr"/>
      <c r="L836" t="inlineStr"/>
      <c r="M836" t="inlineStr">
        <is>
          <t>PIX TRANSF WALDIR 04/05</t>
        </is>
      </c>
    </row>
    <row r="837">
      <c r="A837" t="n">
        <v>836</v>
      </c>
      <c r="B837" t="inlineStr">
        <is>
          <t>04/05/2026</t>
        </is>
      </c>
      <c r="C837" t="inlineStr">
        <is>
          <t>REF. A REND PAGO APLIC AUT MAIS</t>
        </is>
      </c>
      <c r="D837" s="7" t="n">
        <v>0.01</v>
      </c>
      <c r="E837" t="inlineStr">
        <is>
          <t>432</t>
        </is>
      </c>
      <c r="F837" t="inlineStr">
        <is>
          <t>RENDIMENTOS DE APLICAÇÕES</t>
        </is>
      </c>
      <c r="G837" s="2" t="inlineStr">
        <is>
          <t>432</t>
        </is>
      </c>
      <c r="H837">
        <f>IFERROR(VLOOKUP(G837&amp;"",PLANO!A:B,2,FALSE),"CONTA NAO EXISTE NO PLANO")</f>
        <v/>
      </c>
      <c r="I837" t="inlineStr">
        <is>
          <t>432</t>
        </is>
      </c>
      <c r="J837" t="inlineStr">
        <is>
          <t>SEM COSMOS</t>
        </is>
      </c>
      <c r="K837" t="inlineStr"/>
      <c r="L837" t="inlineStr"/>
      <c r="M837" t="inlineStr">
        <is>
          <t>REND PAGO APLIC AUT MAIS</t>
        </is>
      </c>
    </row>
    <row r="838">
      <c r="A838" t="n">
        <v>837</v>
      </c>
      <c r="B838" t="inlineStr">
        <is>
          <t>04/05/2026</t>
        </is>
      </c>
      <c r="C838" t="inlineStr">
        <is>
          <t>REF A SISPAG PIX QR-CODE</t>
        </is>
      </c>
      <c r="D838" s="7" t="n">
        <v>-964.37</v>
      </c>
      <c r="E838" t="inlineStr">
        <is>
          <t>493</t>
        </is>
      </c>
      <c r="F838" t="inlineStr">
        <is>
          <t>DESPESAS DIVERSAS</t>
        </is>
      </c>
      <c r="G838" s="2" t="inlineStr">
        <is>
          <t>493</t>
        </is>
      </c>
      <c r="H838">
        <f>IFERROR(VLOOKUP(G838&amp;"",PLANO!A:B,2,FALSE),"CONTA NAO EXISTE NO PLANO")</f>
        <v/>
      </c>
      <c r="I838" t="inlineStr">
        <is>
          <t>493</t>
        </is>
      </c>
      <c r="J838" t="inlineStr">
        <is>
          <t>SEM COSMOS</t>
        </is>
      </c>
      <c r="K838" t="inlineStr"/>
      <c r="L838" t="inlineStr"/>
      <c r="M838" t="inlineStr">
        <is>
          <t>SISPAG PIX QR-CODE</t>
        </is>
      </c>
    </row>
    <row r="839">
      <c r="A839" t="n">
        <v>838</v>
      </c>
      <c r="B839" t="inlineStr">
        <is>
          <t>04/05/2026</t>
        </is>
      </c>
      <c r="C839" t="inlineStr">
        <is>
          <t>RODONAVES TRANSPORTES E ENCOMENDAS LTDA PGTO REF.FRETE S/NFE</t>
        </is>
      </c>
      <c r="D839" s="7" t="n">
        <v>-231.38</v>
      </c>
      <c r="E839" t="inlineStr">
        <is>
          <t>312</t>
        </is>
      </c>
      <c r="F839" t="inlineStr">
        <is>
          <t>FRETES E CARRETOS</t>
        </is>
      </c>
      <c r="G839" s="2" t="inlineStr">
        <is>
          <t>312</t>
        </is>
      </c>
      <c r="H839">
        <f>IFERROR(VLOOKUP(G839&amp;"",PLANO!A:B,2,FALSE),"CONTA NAO EXISTE NO PLANO")</f>
        <v/>
      </c>
      <c r="I839" t="inlineStr">
        <is>
          <t>312</t>
        </is>
      </c>
      <c r="J839" t="inlineStr">
        <is>
          <t>OK</t>
        </is>
      </c>
      <c r="K839" t="inlineStr">
        <is>
          <t>categoria Cosmos 97</t>
        </is>
      </c>
      <c r="L839" t="inlineStr">
        <is>
          <t>RODONAVES TRANSPORTES E ENCOMENDAS LTDA | 115/97 | PGTO REF.FRETE S/NFE</t>
        </is>
      </c>
      <c r="M839" t="inlineStr">
        <is>
          <t>RODONAVES TRANSPORTES E ENCOMENDAS LTDA - PGTO REF.FRETE S/NFE</t>
        </is>
      </c>
    </row>
    <row r="840">
      <c r="A840" s="4" t="n">
        <v>839</v>
      </c>
      <c r="B840" s="4" t="inlineStr">
        <is>
          <t>04/05/2026</t>
        </is>
      </c>
      <c r="C840" s="4" t="inlineStr">
        <is>
          <t>REF. A PIX ENVIADO GULA COSMETI</t>
        </is>
      </c>
      <c r="D840" s="5" t="n">
        <v>-10000</v>
      </c>
      <c r="E840" s="4" t="inlineStr">
        <is>
          <t>506</t>
        </is>
      </c>
      <c r="F840" s="4" t="inlineStr">
        <is>
          <t>FORNECEDORES DIVERSOS</t>
        </is>
      </c>
      <c r="G840" s="6" t="inlineStr">
        <is>
          <t>366</t>
        </is>
      </c>
      <c r="H840" s="4">
        <f>IFERROR(VLOOKUP(G840&amp;"",PLANO!A:B,2,FALSE),"CONTA NAO EXISTE NO PLANO")</f>
        <v/>
      </c>
      <c r="I840" s="4" t="inlineStr">
        <is>
          <t>672</t>
        </is>
      </c>
      <c r="J840" s="4" t="inlineStr">
        <is>
          <t>AJUSTADO</t>
        </is>
      </c>
      <c r="K840" s="4" t="inlineStr">
        <is>
          <t>GULA/FIQUE BEM (mesmo CNPJ, empresa do grupo) - mutuo em EMPRESTIMOS A TERCEIROS (366); nao e fornecedor</t>
        </is>
      </c>
      <c r="L840" s="4" t="inlineStr">
        <is>
          <t xml:space="preserve">OUTRAS SAIDAS | 123/71 | </t>
        </is>
      </c>
      <c r="M840" s="4" t="inlineStr">
        <is>
          <t>PIX ENVIADO GULA COSMETI</t>
        </is>
      </c>
    </row>
    <row r="841">
      <c r="A841" t="n">
        <v>840</v>
      </c>
      <c r="B841" t="inlineStr">
        <is>
          <t>04/05/2026</t>
        </is>
      </c>
      <c r="C841" t="inlineStr">
        <is>
          <t>TEX COURIER S.A PAG REF A FRETE SOBRE VENDAS</t>
        </is>
      </c>
      <c r="D841" s="7" t="n">
        <v>-767.48</v>
      </c>
      <c r="E841" t="inlineStr">
        <is>
          <t>312</t>
        </is>
      </c>
      <c r="F841" t="inlineStr">
        <is>
          <t>FRETES E CARRETOS</t>
        </is>
      </c>
      <c r="G841" s="2" t="inlineStr">
        <is>
          <t>312</t>
        </is>
      </c>
      <c r="H841">
        <f>IFERROR(VLOOKUP(G841&amp;"",PLANO!A:B,2,FALSE),"CONTA NAO EXISTE NO PLANO")</f>
        <v/>
      </c>
      <c r="I841" t="inlineStr">
        <is>
          <t>312</t>
        </is>
      </c>
      <c r="J841" t="inlineStr">
        <is>
          <t>OK</t>
        </is>
      </c>
      <c r="K841" t="inlineStr">
        <is>
          <t>categoria Cosmos 97</t>
        </is>
      </c>
      <c r="L841" t="inlineStr">
        <is>
          <t>TEX COURIER S.A | 115/97 | PAG REF A FRETE SOBRE VENDAS</t>
        </is>
      </c>
      <c r="M841" t="inlineStr">
        <is>
          <t>TEX COURIER S.A - PAG REF A FRETE SOBRE VENDAS</t>
        </is>
      </c>
    </row>
    <row r="842">
      <c r="A842" t="n">
        <v>841</v>
      </c>
      <c r="B842" t="inlineStr">
        <is>
          <t>04/05/2026</t>
        </is>
      </c>
      <c r="C842" t="inlineStr">
        <is>
          <t>TEX COURIER S.A PAG REF A FRETE SOBRE VENDAS</t>
        </is>
      </c>
      <c r="D842" s="7" t="n">
        <v>-659.77</v>
      </c>
      <c r="E842" t="inlineStr">
        <is>
          <t>312</t>
        </is>
      </c>
      <c r="F842" t="inlineStr">
        <is>
          <t>FRETES E CARRETOS</t>
        </is>
      </c>
      <c r="G842" s="2" t="inlineStr">
        <is>
          <t>312</t>
        </is>
      </c>
      <c r="H842">
        <f>IFERROR(VLOOKUP(G842&amp;"",PLANO!A:B,2,FALSE),"CONTA NAO EXISTE NO PLANO")</f>
        <v/>
      </c>
      <c r="I842" t="inlineStr">
        <is>
          <t>312</t>
        </is>
      </c>
      <c r="J842" t="inlineStr">
        <is>
          <t>OK</t>
        </is>
      </c>
      <c r="K842" t="inlineStr">
        <is>
          <t>categoria Cosmos 97</t>
        </is>
      </c>
      <c r="L842" t="inlineStr">
        <is>
          <t>TEX COURIER S.A | 115/97 | PAG REF A FRETE SOBRE VENDAS</t>
        </is>
      </c>
      <c r="M842" t="inlineStr">
        <is>
          <t>TEX COURIER S.A - PAG REF A FRETE SOBRE VENDAS</t>
        </is>
      </c>
    </row>
    <row r="843">
      <c r="A843" s="8" t="n">
        <v>842</v>
      </c>
      <c r="B843" s="8" t="inlineStr">
        <is>
          <t>04/05/2026</t>
        </is>
      </c>
      <c r="C843" s="8" t="inlineStr">
        <is>
          <t>BRASPRESS TRANSPORTES URGENTES LTDA PAG REF A FRETE SOBRE VENDAS - NELIO JORGE</t>
        </is>
      </c>
      <c r="D843" s="9" t="n">
        <v>-188.38</v>
      </c>
      <c r="E843" s="8" t="inlineStr">
        <is>
          <t>350</t>
        </is>
      </c>
      <c r="F843" s="8" t="inlineStr">
        <is>
          <t>TAXAS DIVERSAS</t>
        </is>
      </c>
      <c r="G843" s="10" t="inlineStr">
        <is>
          <t>312</t>
        </is>
      </c>
      <c r="H843" s="8">
        <f>IFERROR(VLOOKUP(G843&amp;"",PLANO!A:B,2,FALSE),"CONTA NAO EXISTE NO PLANO")</f>
        <v/>
      </c>
      <c r="I843" s="8" t="inlineStr">
        <is>
          <t>312</t>
        </is>
      </c>
      <c r="J843" s="8" t="inlineStr">
        <is>
          <t>CORRIGIR</t>
        </is>
      </c>
      <c r="K843" s="8" t="inlineStr">
        <is>
          <t>categoria Cosmos 97</t>
        </is>
      </c>
      <c r="L843" s="8" t="inlineStr">
        <is>
          <t>BRASPRESS TRANSPORTES URGENTES LTDA | 115/97 | PAG REF A FRETE SOBRE VENDAS - NELIO JORGE</t>
        </is>
      </c>
      <c r="M843" s="8" t="inlineStr">
        <is>
          <t>BRASPRESS TRANSPORTES URGENTES LTDA - PAG REF A FRETE SOBRE VENDAS - NELIO JORGE</t>
        </is>
      </c>
    </row>
    <row r="844">
      <c r="A844" t="n">
        <v>843</v>
      </c>
      <c r="B844" t="inlineStr">
        <is>
          <t>04/05/2026</t>
        </is>
      </c>
      <c r="C844" t="inlineStr">
        <is>
          <t>EXPRESSO SAO MIGUEL LTDA PAG REF A FRETE SOB VENDAS</t>
        </is>
      </c>
      <c r="D844" s="7" t="n">
        <v>-3645.63</v>
      </c>
      <c r="E844" t="inlineStr">
        <is>
          <t>312</t>
        </is>
      </c>
      <c r="F844" t="inlineStr">
        <is>
          <t>FRETES E CARRETOS</t>
        </is>
      </c>
      <c r="G844" s="2" t="inlineStr">
        <is>
          <t>312</t>
        </is>
      </c>
      <c r="H844">
        <f>IFERROR(VLOOKUP(G844&amp;"",PLANO!A:B,2,FALSE),"CONTA NAO EXISTE NO PLANO")</f>
        <v/>
      </c>
      <c r="I844" t="inlineStr">
        <is>
          <t>312</t>
        </is>
      </c>
      <c r="J844" t="inlineStr">
        <is>
          <t>OK</t>
        </is>
      </c>
      <c r="K844" t="inlineStr">
        <is>
          <t>categoria Cosmos 97</t>
        </is>
      </c>
      <c r="L844" t="inlineStr">
        <is>
          <t>EXPRESSO SAO MIGUEL LTDA | 115/97 | PAG REF A FRETE SOB VENDAS</t>
        </is>
      </c>
      <c r="M844" t="inlineStr">
        <is>
          <t>EXPRESSO SAO MIGUEL LTDA - PAG REF A FRETE SOB VENDAS</t>
        </is>
      </c>
    </row>
    <row r="845">
      <c r="A845" t="n">
        <v>844</v>
      </c>
      <c r="B845" t="inlineStr">
        <is>
          <t>05/05/2026</t>
        </is>
      </c>
      <c r="C845" t="inlineStr">
        <is>
          <t>REF A SISPAG O.S. SECURITIZAD</t>
        </is>
      </c>
      <c r="D845" s="7" t="n">
        <v>10445.38</v>
      </c>
      <c r="E845" t="inlineStr">
        <is>
          <t>504</t>
        </is>
      </c>
      <c r="F845" t="inlineStr">
        <is>
          <t>CLIENTES DIVERSOS</t>
        </is>
      </c>
      <c r="G845" s="2" t="inlineStr">
        <is>
          <t>504</t>
        </is>
      </c>
      <c r="H845">
        <f>IFERROR(VLOOKUP(G845&amp;"",PLANO!A:B,2,FALSE),"CONTA NAO EXISTE NO PLANO")</f>
        <v/>
      </c>
      <c r="I845" t="inlineStr">
        <is>
          <t>504</t>
        </is>
      </c>
      <c r="J845" t="inlineStr">
        <is>
          <t>SEM COSMOS</t>
        </is>
      </c>
      <c r="K845" t="inlineStr"/>
      <c r="L845" t="inlineStr"/>
      <c r="M845" t="inlineStr">
        <is>
          <t>SISPAG O.S. SECURITIZAD</t>
        </is>
      </c>
    </row>
    <row r="846">
      <c r="A846" t="n">
        <v>845</v>
      </c>
      <c r="B846" t="inlineStr">
        <is>
          <t>05/05/2026</t>
        </is>
      </c>
      <c r="C846" t="inlineStr">
        <is>
          <t>REF A SISPAG O.S. SECURITIZAD</t>
        </is>
      </c>
      <c r="D846" s="7" t="n">
        <v>26075.35</v>
      </c>
      <c r="E846" t="inlineStr">
        <is>
          <t>504</t>
        </is>
      </c>
      <c r="F846" t="inlineStr">
        <is>
          <t>CLIENTES DIVERSOS</t>
        </is>
      </c>
      <c r="G846" s="2" t="inlineStr">
        <is>
          <t>504</t>
        </is>
      </c>
      <c r="H846">
        <f>IFERROR(VLOOKUP(G846&amp;"",PLANO!A:B,2,FALSE),"CONTA NAO EXISTE NO PLANO")</f>
        <v/>
      </c>
      <c r="I846" t="inlineStr">
        <is>
          <t>504</t>
        </is>
      </c>
      <c r="J846" t="inlineStr">
        <is>
          <t>SEM COSMOS</t>
        </is>
      </c>
      <c r="K846" t="inlineStr"/>
      <c r="L846" t="inlineStr"/>
      <c r="M846" t="inlineStr">
        <is>
          <t>SISPAG O.S. SECURITIZAD</t>
        </is>
      </c>
    </row>
    <row r="847">
      <c r="A847" t="n">
        <v>846</v>
      </c>
      <c r="B847" t="inlineStr">
        <is>
          <t>05/05/2026</t>
        </is>
      </c>
      <c r="C847" t="inlineStr">
        <is>
          <t>REF. A MOV TIT COB DISP 05/05S</t>
        </is>
      </c>
      <c r="D847" s="7" t="n">
        <v>4504.84</v>
      </c>
      <c r="E847" t="inlineStr">
        <is>
          <t>504</t>
        </is>
      </c>
      <c r="F847" t="inlineStr">
        <is>
          <t>CLIENTES DIVERSOS</t>
        </is>
      </c>
      <c r="G847" s="2" t="inlineStr">
        <is>
          <t>504</t>
        </is>
      </c>
      <c r="H847">
        <f>IFERROR(VLOOKUP(G847&amp;"",PLANO!A:B,2,FALSE),"CONTA NAO EXISTE NO PLANO")</f>
        <v/>
      </c>
      <c r="I847" t="inlineStr">
        <is>
          <t>504</t>
        </is>
      </c>
      <c r="J847" t="inlineStr">
        <is>
          <t>SEM COSMOS</t>
        </is>
      </c>
      <c r="K847" t="inlineStr"/>
      <c r="L847" t="inlineStr"/>
      <c r="M847" t="inlineStr">
        <is>
          <t>MOV TIT COB DISP 05/05S</t>
        </is>
      </c>
    </row>
    <row r="848">
      <c r="A848" t="n">
        <v>847</v>
      </c>
      <c r="B848" t="inlineStr">
        <is>
          <t>05/05/2026</t>
        </is>
      </c>
      <c r="C848" t="inlineStr">
        <is>
          <t>REF. A PIX TRANSF ELIANE 05/05</t>
        </is>
      </c>
      <c r="D848" s="7" t="n">
        <v>18.24</v>
      </c>
      <c r="E848" t="inlineStr">
        <is>
          <t>504</t>
        </is>
      </c>
      <c r="F848" t="inlineStr">
        <is>
          <t>CLIENTES DIVERSOS</t>
        </is>
      </c>
      <c r="G848" s="2" t="inlineStr">
        <is>
          <t>504</t>
        </is>
      </c>
      <c r="H848">
        <f>IFERROR(VLOOKUP(G848&amp;"",PLANO!A:B,2,FALSE),"CONTA NAO EXISTE NO PLANO")</f>
        <v/>
      </c>
      <c r="I848" t="inlineStr">
        <is>
          <t>504</t>
        </is>
      </c>
      <c r="J848" t="inlineStr">
        <is>
          <t>SEM COSMOS</t>
        </is>
      </c>
      <c r="K848" t="inlineStr"/>
      <c r="L848" t="inlineStr"/>
      <c r="M848" t="inlineStr">
        <is>
          <t>PIX TRANSF ELIANE 05/05</t>
        </is>
      </c>
    </row>
    <row r="849">
      <c r="A849" t="n">
        <v>848</v>
      </c>
      <c r="B849" t="inlineStr">
        <is>
          <t>05/05/2026</t>
        </is>
      </c>
      <c r="C849" t="inlineStr">
        <is>
          <t>REF. A PIX TRANSF MARCIA 05/05</t>
        </is>
      </c>
      <c r="D849" s="7" t="n">
        <v>604.84</v>
      </c>
      <c r="E849" t="inlineStr">
        <is>
          <t>504</t>
        </is>
      </c>
      <c r="F849" t="inlineStr">
        <is>
          <t>CLIENTES DIVERSOS</t>
        </is>
      </c>
      <c r="G849" s="2" t="inlineStr">
        <is>
          <t>504</t>
        </is>
      </c>
      <c r="H849">
        <f>IFERROR(VLOOKUP(G849&amp;"",PLANO!A:B,2,FALSE),"CONTA NAO EXISTE NO PLANO")</f>
        <v/>
      </c>
      <c r="I849" t="inlineStr">
        <is>
          <t>504</t>
        </is>
      </c>
      <c r="J849" t="inlineStr">
        <is>
          <t>SEM COSMOS</t>
        </is>
      </c>
      <c r="K849" t="inlineStr"/>
      <c r="L849" t="inlineStr"/>
      <c r="M849" t="inlineStr">
        <is>
          <t>PIX TRANSF MARCIA 05/05</t>
        </is>
      </c>
    </row>
    <row r="850">
      <c r="A850" t="n">
        <v>849</v>
      </c>
      <c r="B850" t="inlineStr">
        <is>
          <t>05/05/2026</t>
        </is>
      </c>
      <c r="C850" t="inlineStr">
        <is>
          <t>REF. A PIX TRANSF R E S C05/05</t>
        </is>
      </c>
      <c r="D850" s="7" t="n">
        <v>10000</v>
      </c>
      <c r="E850" t="inlineStr">
        <is>
          <t>504</t>
        </is>
      </c>
      <c r="F850" t="inlineStr">
        <is>
          <t>CLIENTES DIVERSOS</t>
        </is>
      </c>
      <c r="G850" s="2" t="inlineStr">
        <is>
          <t>504</t>
        </is>
      </c>
      <c r="H850">
        <f>IFERROR(VLOOKUP(G850&amp;"",PLANO!A:B,2,FALSE),"CONTA NAO EXISTE NO PLANO")</f>
        <v/>
      </c>
      <c r="I850" t="inlineStr">
        <is>
          <t>504</t>
        </is>
      </c>
      <c r="J850" t="inlineStr">
        <is>
          <t>SEM COSMOS</t>
        </is>
      </c>
      <c r="K850" t="inlineStr"/>
      <c r="L850" t="inlineStr"/>
      <c r="M850" t="inlineStr">
        <is>
          <t>PIX TRANSF R E S C05/05</t>
        </is>
      </c>
    </row>
    <row r="851">
      <c r="A851" t="n">
        <v>850</v>
      </c>
      <c r="B851" t="inlineStr">
        <is>
          <t>05/05/2026</t>
        </is>
      </c>
      <c r="C851" t="inlineStr">
        <is>
          <t>IOF 8613.52508-1/ C/C</t>
        </is>
      </c>
      <c r="D851" s="7" t="n">
        <v>-135.3</v>
      </c>
      <c r="E851" t="inlineStr">
        <is>
          <t>625</t>
        </is>
      </c>
      <c r="F851" t="inlineStr">
        <is>
          <t>IOF</t>
        </is>
      </c>
      <c r="G851" s="2" t="inlineStr">
        <is>
          <t>625</t>
        </is>
      </c>
      <c r="H851">
        <f>IFERROR(VLOOKUP(G851&amp;"",PLANO!A:B,2,FALSE),"CONTA NAO EXISTE NO PLANO")</f>
        <v/>
      </c>
      <c r="I851" t="inlineStr">
        <is>
          <t>625</t>
        </is>
      </c>
      <c r="J851" t="inlineStr">
        <is>
          <t>SEM COSMOS</t>
        </is>
      </c>
      <c r="K851" t="inlineStr"/>
      <c r="L851" t="inlineStr"/>
      <c r="M851" t="inlineStr">
        <is>
          <t>IOF 8613.52508-1/ C/C</t>
        </is>
      </c>
    </row>
    <row r="852">
      <c r="A852" s="11" t="n">
        <v>851</v>
      </c>
      <c r="B852" s="11" t="inlineStr">
        <is>
          <t>05/05/2026</t>
        </is>
      </c>
      <c r="C852" s="11" t="inlineStr">
        <is>
          <t>REF A SISPAG PIX QR-CODE - MICHEL SCANDER MAZZONI PGTO REF.PRO-LABORE -</t>
        </is>
      </c>
      <c r="D852" s="12" t="n">
        <v>-2764.22</v>
      </c>
      <c r="E852" s="11" t="inlineStr">
        <is>
          <t>362</t>
        </is>
      </c>
      <c r="F852" s="11" t="inlineStr">
        <is>
          <t>SERVIÇOS PRESTADOS POR TERCEIROS</t>
        </is>
      </c>
      <c r="G852" s="13" t="inlineStr">
        <is>
          <t>362</t>
        </is>
      </c>
      <c r="H852" s="11">
        <f>IFERROR(VLOOKUP(G852&amp;"",PLANO!A:B,2,FALSE),"CONTA NAO EXISTE NO PLANO")</f>
        <v/>
      </c>
      <c r="I852" s="11" t="inlineStr">
        <is>
          <t>362</t>
        </is>
      </c>
      <c r="J852" s="11" t="inlineStr">
        <is>
          <t>MANTIDO</t>
        </is>
      </c>
      <c r="K852" s="11" t="inlineStr">
        <is>
          <t>socios Mazzoni (fora do contrato social) - mantido como estava</t>
        </is>
      </c>
      <c r="L852" s="11" t="inlineStr">
        <is>
          <t>MICHEL SCANDER MAZZONI | 115/33 | PGTO REF.PRO-LABORE</t>
        </is>
      </c>
      <c r="M852" s="11" t="inlineStr">
        <is>
          <t>MICHEL SCANDER MAZZONI - PGTO REF.PRO-LABORE</t>
        </is>
      </c>
    </row>
    <row r="853">
      <c r="A853" t="n">
        <v>852</v>
      </c>
      <c r="B853" t="inlineStr">
        <is>
          <t>05/05/2026</t>
        </is>
      </c>
      <c r="C853" t="inlineStr">
        <is>
          <t>IOF</t>
        </is>
      </c>
      <c r="D853" s="7" t="n">
        <v>-450.64</v>
      </c>
      <c r="E853" t="inlineStr">
        <is>
          <t>625</t>
        </is>
      </c>
      <c r="F853" t="inlineStr">
        <is>
          <t>IOF</t>
        </is>
      </c>
      <c r="G853" s="2" t="inlineStr">
        <is>
          <t>625</t>
        </is>
      </c>
      <c r="H853">
        <f>IFERROR(VLOOKUP(G853&amp;"",PLANO!A:B,2,FALSE),"CONTA NAO EXISTE NO PLANO")</f>
        <v/>
      </c>
      <c r="I853" t="inlineStr">
        <is>
          <t>625</t>
        </is>
      </c>
      <c r="J853" t="inlineStr">
        <is>
          <t>SEM COSMOS</t>
        </is>
      </c>
      <c r="K853" t="inlineStr"/>
      <c r="L853" t="inlineStr"/>
      <c r="M853" t="inlineStr">
        <is>
          <t>IOF</t>
        </is>
      </c>
    </row>
    <row r="854">
      <c r="A854" s="4" t="n">
        <v>853</v>
      </c>
      <c r="B854" s="4" t="inlineStr">
        <is>
          <t>05/05/2026</t>
        </is>
      </c>
      <c r="C854" s="4" t="inlineStr">
        <is>
          <t>REF. A PIX ENVIADO GULA COSMETI</t>
        </is>
      </c>
      <c r="D854" s="5" t="n">
        <v>-12000</v>
      </c>
      <c r="E854" s="4" t="inlineStr">
        <is>
          <t>506</t>
        </is>
      </c>
      <c r="F854" s="4" t="inlineStr">
        <is>
          <t>FORNECEDORES DIVERSOS</t>
        </is>
      </c>
      <c r="G854" s="6" t="inlineStr">
        <is>
          <t>366</t>
        </is>
      </c>
      <c r="H854" s="4">
        <f>IFERROR(VLOOKUP(G854&amp;"",PLANO!A:B,2,FALSE),"CONTA NAO EXISTE NO PLANO")</f>
        <v/>
      </c>
      <c r="I854" s="4" t="inlineStr">
        <is>
          <t>672</t>
        </is>
      </c>
      <c r="J854" s="4" t="inlineStr">
        <is>
          <t>AJUSTADO</t>
        </is>
      </c>
      <c r="K854" s="4" t="inlineStr">
        <is>
          <t>GULA/FIQUE BEM (mesmo CNPJ, empresa do grupo) - mutuo em EMPRESTIMOS A TERCEIROS (366); nao e fornecedor</t>
        </is>
      </c>
      <c r="L854" s="4" t="inlineStr"/>
      <c r="M854" s="4" t="inlineStr">
        <is>
          <t>PIX ENVIADO GULA COSMETI</t>
        </is>
      </c>
    </row>
    <row r="855">
      <c r="A855" s="4" t="n">
        <v>854</v>
      </c>
      <c r="B855" s="4" t="inlineStr">
        <is>
          <t>05/05/2026</t>
        </is>
      </c>
      <c r="C855" s="4" t="inlineStr">
        <is>
          <t>REF. A PIX ENVIADO COSMETICON C</t>
        </is>
      </c>
      <c r="D855" s="5" t="n">
        <v>-5000</v>
      </c>
      <c r="E855" s="4" t="inlineStr">
        <is>
          <t>664</t>
        </is>
      </c>
      <c r="F855" s="4" t="inlineStr">
        <is>
          <t>COSMETICON COMERCIO DE COSMETICOS LTDA</t>
        </is>
      </c>
      <c r="G855" s="6" t="inlineStr">
        <is>
          <t>663</t>
        </is>
      </c>
      <c r="H855" s="4">
        <f>IFERROR(VLOOKUP(G855&amp;"",PLANO!A:B,2,FALSE),"CONTA NAO EXISTE NO PLANO")</f>
        <v/>
      </c>
      <c r="I855" s="4" t="inlineStr">
        <is>
          <t>663</t>
        </is>
      </c>
      <c r="J855" s="4" t="inlineStr">
        <is>
          <t>AJUSTADO</t>
        </is>
      </c>
      <c r="K855" s="4" t="inlineStr">
        <is>
          <t>COSMETICON - conta-corrente unica de mutuo (663)</t>
        </is>
      </c>
      <c r="L855" s="4" t="inlineStr"/>
      <c r="M855" s="4" t="inlineStr">
        <is>
          <t>PIX ENVIADO COSMETICON C</t>
        </is>
      </c>
    </row>
    <row r="856">
      <c r="A856" s="4" t="n">
        <v>855</v>
      </c>
      <c r="B856" s="4" t="inlineStr">
        <is>
          <t>05/05/2026</t>
        </is>
      </c>
      <c r="C856" s="4" t="inlineStr">
        <is>
          <t>REF. A PIX ENVIADO COSMETICON C</t>
        </is>
      </c>
      <c r="D856" s="5" t="n">
        <v>-8000</v>
      </c>
      <c r="E856" s="4" t="inlineStr">
        <is>
          <t>664</t>
        </is>
      </c>
      <c r="F856" s="4" t="inlineStr">
        <is>
          <t>COSMETICON COMERCIO DE COSMETICOS LTDA</t>
        </is>
      </c>
      <c r="G856" s="6" t="inlineStr">
        <is>
          <t>663</t>
        </is>
      </c>
      <c r="H856" s="4">
        <f>IFERROR(VLOOKUP(G856&amp;"",PLANO!A:B,2,FALSE),"CONTA NAO EXISTE NO PLANO")</f>
        <v/>
      </c>
      <c r="I856" s="4" t="inlineStr">
        <is>
          <t>663</t>
        </is>
      </c>
      <c r="J856" s="4" t="inlineStr">
        <is>
          <t>AJUSTADO</t>
        </is>
      </c>
      <c r="K856" s="4" t="inlineStr">
        <is>
          <t>COSMETICON - conta-corrente unica de mutuo (663)</t>
        </is>
      </c>
      <c r="L856" s="4" t="inlineStr"/>
      <c r="M856" s="4" t="inlineStr">
        <is>
          <t>PIX ENVIADO COSMETICON C</t>
        </is>
      </c>
    </row>
    <row r="857">
      <c r="A857" t="n">
        <v>856</v>
      </c>
      <c r="B857" t="inlineStr">
        <is>
          <t>05/05/2026</t>
        </is>
      </c>
      <c r="C857" t="inlineStr">
        <is>
          <t>RODONAVES TRANSPORTES E ENCOMENDAS LTDA PGTO REF.FRETE C/NFE</t>
        </is>
      </c>
      <c r="D857" s="7" t="n">
        <v>-96.81</v>
      </c>
      <c r="E857" t="inlineStr">
        <is>
          <t>312</t>
        </is>
      </c>
      <c r="F857" t="inlineStr">
        <is>
          <t>FRETES E CARRETOS</t>
        </is>
      </c>
      <c r="G857" s="2" t="inlineStr">
        <is>
          <t>312</t>
        </is>
      </c>
      <c r="H857">
        <f>IFERROR(VLOOKUP(G857&amp;"",PLANO!A:B,2,FALSE),"CONTA NAO EXISTE NO PLANO")</f>
        <v/>
      </c>
      <c r="I857" t="inlineStr">
        <is>
          <t>312</t>
        </is>
      </c>
      <c r="J857" t="inlineStr">
        <is>
          <t>OK</t>
        </is>
      </c>
      <c r="K857" t="inlineStr">
        <is>
          <t>categoria Cosmos 97</t>
        </is>
      </c>
      <c r="L857" t="inlineStr">
        <is>
          <t>RODONAVES TRANSPORTES E ENCOMENDAS LTDA | 115/97 | PGTO REF.FRETE C/NFE</t>
        </is>
      </c>
      <c r="M857" t="inlineStr">
        <is>
          <t>RODONAVES TRANSPORTES E ENCOMENDAS LTDA - PGTO REF.FRETE C/NFE</t>
        </is>
      </c>
    </row>
    <row r="858">
      <c r="A858" s="11" t="n">
        <v>857</v>
      </c>
      <c r="B858" s="11" t="inlineStr">
        <is>
          <t>05/05/2026</t>
        </is>
      </c>
      <c r="C858" s="11" t="inlineStr">
        <is>
          <t>REF A PIX ENVIADO MARTINA THOM - (CARLOS ALEXANDRE MAZZONI PGTO REF.PRO-LABORE)</t>
        </is>
      </c>
      <c r="D858" s="12" t="n">
        <v>-2000</v>
      </c>
      <c r="E858" s="11" t="inlineStr">
        <is>
          <t>362</t>
        </is>
      </c>
      <c r="F858" s="11" t="inlineStr">
        <is>
          <t>SERVIÇOS PRESTADOS POR TERCEIROS</t>
        </is>
      </c>
      <c r="G858" s="13" t="inlineStr">
        <is>
          <t>362</t>
        </is>
      </c>
      <c r="H858" s="11">
        <f>IFERROR(VLOOKUP(G858&amp;"",PLANO!A:B,2,FALSE),"CONTA NAO EXISTE NO PLANO")</f>
        <v/>
      </c>
      <c r="I858" s="11" t="inlineStr">
        <is>
          <t>362</t>
        </is>
      </c>
      <c r="J858" s="11" t="inlineStr">
        <is>
          <t>MANTIDO</t>
        </is>
      </c>
      <c r="K858" s="11" t="inlineStr">
        <is>
          <t>socios Mazzoni (fora do contrato social) - mantido como estava</t>
        </is>
      </c>
      <c r="L858" s="11" t="inlineStr">
        <is>
          <t>CARLOS ALEXANDRE MAZZONI | 115/33 | PGTO REF.PRO-LABORE</t>
        </is>
      </c>
      <c r="M858" s="11" t="inlineStr">
        <is>
          <t>CARLOS ALEXANDRE MAZZONI - PGTO REF.PRO-LABORE</t>
        </is>
      </c>
    </row>
    <row r="859">
      <c r="A859" t="n">
        <v>858</v>
      </c>
      <c r="B859" t="inlineStr">
        <is>
          <t>05/05/2026</t>
        </is>
      </c>
      <c r="C859" t="inlineStr">
        <is>
          <t>SKIN LAB INDUSTRIA E COMERCIO DE COSMETICOS LTDA PAGAMENTO REFERENTE A COMPRA DE MATERIA PRIMA.POLIQUATERNIUN 47, 10KG. PPD 25KG, RESRCINOL 25KG</t>
        </is>
      </c>
      <c r="D859" s="7" t="n">
        <v>-4563.5</v>
      </c>
      <c r="E859" t="inlineStr">
        <is>
          <t>506</t>
        </is>
      </c>
      <c r="F859" t="inlineStr">
        <is>
          <t>FORNECEDORES DIVERSOS</t>
        </is>
      </c>
      <c r="G859" s="2" t="inlineStr">
        <is>
          <t>506</t>
        </is>
      </c>
      <c r="H859">
        <f>IFERROR(VLOOKUP(G859&amp;"",PLANO!A:B,2,FALSE),"CONTA NAO EXISTE NO PLANO")</f>
        <v/>
      </c>
      <c r="I859" t="inlineStr">
        <is>
          <t>506</t>
        </is>
      </c>
      <c r="J859" t="inlineStr">
        <is>
          <t>OK</t>
        </is>
      </c>
      <c r="K859" t="inlineStr">
        <is>
          <t>fornecedor com NF</t>
        </is>
      </c>
      <c r="L859" t="inlineStr">
        <is>
          <t>SKIN LAB INDUSTRIA E COMERCIO DE COSMETICOS LTDA | 115/6 | PAGAMENTO REFERENTE A COMPRA DE MATERIA PRIMA. POLIQUATERNIUN 47, 10KG. PPD 25KG, RESRCINOL 25KG</t>
        </is>
      </c>
      <c r="M859" t="inlineStr">
        <is>
          <t>SKIN LAB INDUSTRIA E COMERCIO DE COSMETICOS LTDA - PAGAMENTO REFERENTE A COMPRA DE MATERIA PRIMA. POLIQUATERNIUN 47, 10KG. PPD 25KG</t>
        </is>
      </c>
    </row>
    <row r="860">
      <c r="A860" t="n">
        <v>859</v>
      </c>
      <c r="B860" t="inlineStr">
        <is>
          <t>05/05/2026</t>
        </is>
      </c>
      <c r="C860" t="inlineStr">
        <is>
          <t>REF. A BOLETO PAGO EFITRANS TRA - EFITRANS TRANSPORTES LTDA PAGAMENTO REFERENTE A FRETE SOBRE COMPRA</t>
        </is>
      </c>
      <c r="D860" s="7" t="n">
        <v>-669.5</v>
      </c>
      <c r="E860" t="inlineStr">
        <is>
          <t>312</t>
        </is>
      </c>
      <c r="F860" t="inlineStr">
        <is>
          <t>FRETES E CARRETOS</t>
        </is>
      </c>
      <c r="G860" s="2" t="inlineStr">
        <is>
          <t>312</t>
        </is>
      </c>
      <c r="H860">
        <f>IFERROR(VLOOKUP(G860&amp;"",PLANO!A:B,2,FALSE),"CONTA NAO EXISTE NO PLANO")</f>
        <v/>
      </c>
      <c r="I860" t="inlineStr">
        <is>
          <t>312</t>
        </is>
      </c>
      <c r="J860" t="inlineStr">
        <is>
          <t>OK</t>
        </is>
      </c>
      <c r="K860" t="inlineStr">
        <is>
          <t>categoria Cosmos 4</t>
        </is>
      </c>
      <c r="L860" t="inlineStr">
        <is>
          <t>EFITRANS TRANSPORTES LTDA | 115/4 | PAGAMENTO REFERENTE A FRETE SOBRE COMPRA</t>
        </is>
      </c>
      <c r="M860" t="inlineStr">
        <is>
          <t>EFITRANS TRANSPORTES LTDA - PAGAMENTO REFERENTE A FRETE SOBRE COMPRA</t>
        </is>
      </c>
    </row>
    <row r="861">
      <c r="A861" s="8" t="n">
        <v>860</v>
      </c>
      <c r="B861" s="8" t="inlineStr">
        <is>
          <t>05/05/2026</t>
        </is>
      </c>
      <c r="C861" s="8" t="inlineStr">
        <is>
          <t>ANDRADE ENGENHARIA LTDA. PGTO REF.PRESTAÇÃO DE SERVIÇOS DE LICENÇASAMBIENTAIS CONF.CONTRATO</t>
        </is>
      </c>
      <c r="D861" s="9" t="n">
        <v>-1124.56</v>
      </c>
      <c r="E861" s="8" t="inlineStr">
        <is>
          <t>364</t>
        </is>
      </c>
      <c r="F861" s="8" t="inlineStr">
        <is>
          <t>DESPESAS ADMINISTRATIVAS</t>
        </is>
      </c>
      <c r="G861" s="10" t="inlineStr">
        <is>
          <t>362</t>
        </is>
      </c>
      <c r="H861" s="8">
        <f>IFERROR(VLOOKUP(G861&amp;"",PLANO!A:B,2,FALSE),"CONTA NAO EXISTE NO PLANO")</f>
        <v/>
      </c>
      <c r="I861" s="8" t="inlineStr">
        <is>
          <t>362</t>
        </is>
      </c>
      <c r="J861" s="8" t="inlineStr">
        <is>
          <t>CORRIGIR</t>
        </is>
      </c>
      <c r="K861" s="8" t="inlineStr">
        <is>
          <t>Cosmos: servicos prestados/comissao (nao e folha/adiantamento)</t>
        </is>
      </c>
      <c r="L861" s="8" t="inlineStr">
        <is>
          <t>ANDRADE ENGENHARIA LTDA. | 115/172 | PGTO REF.PRESTAÇÃO DE SERVIÇOS DE LICENÇAS AMBIENTAIS CONF.CONTRATO.</t>
        </is>
      </c>
      <c r="M861" s="8" t="inlineStr">
        <is>
          <t>ANDRADE ENGENHARIA LTDA. - PGTO REF.PRESTAÇÃO DE SERVIÇOS DE LICENÇAS AMBIENTAIS CONF.CONTRATO.</t>
        </is>
      </c>
    </row>
    <row r="862">
      <c r="A862" t="n">
        <v>861</v>
      </c>
      <c r="B862" t="inlineStr">
        <is>
          <t>05/05/2026</t>
        </is>
      </c>
      <c r="C862" t="inlineStr">
        <is>
          <t>REF. A BOLETO PAGO DECORBEL INDUSTRIA E COMERCIO DE EMBALAGENS EIRELIPAGAMENTO REFERENTE A COMPRA DE EMBALAGEM, POTEBRANCO 250G</t>
        </is>
      </c>
      <c r="D862" s="7" t="n">
        <v>-2153.02</v>
      </c>
      <c r="E862" t="inlineStr">
        <is>
          <t>506</t>
        </is>
      </c>
      <c r="F862" t="inlineStr">
        <is>
          <t>FORNECEDORES DIVERSOS</t>
        </is>
      </c>
      <c r="G862" s="2" t="inlineStr">
        <is>
          <t>506</t>
        </is>
      </c>
      <c r="H862">
        <f>IFERROR(VLOOKUP(G862&amp;"",PLANO!A:B,2,FALSE),"CONTA NAO EXISTE NO PLANO")</f>
        <v/>
      </c>
      <c r="I862" t="inlineStr">
        <is>
          <t>506</t>
        </is>
      </c>
      <c r="J862" t="inlineStr">
        <is>
          <t>OK</t>
        </is>
      </c>
      <c r="K862" t="inlineStr">
        <is>
          <t>fornecedor com NF</t>
        </is>
      </c>
      <c r="L862" t="inlineStr">
        <is>
          <t>DECORBEL INDUSTRIA E COMERCIO DE EMBALAGENS EIRELI | 115/9 | PAGAMENTO REFERENTE A COMPRA DE EMBALAGEM, POTE BRANCO 250G</t>
        </is>
      </c>
      <c r="M862" t="inlineStr">
        <is>
          <t>DECORBEL INDUSTRIA E COMERCIO DE EMBALAGENS EIRELI - PAGAMENTO REFERENTE A COMPRA DE EMBALAGEM, POTE BRANCO 250G</t>
        </is>
      </c>
    </row>
    <row r="863">
      <c r="A863" t="n">
        <v>862</v>
      </c>
      <c r="B863" t="inlineStr">
        <is>
          <t>05/05/2026</t>
        </is>
      </c>
      <c r="C863" t="inlineStr">
        <is>
          <t>REF. A JUROS LIMITE DA CONTA</t>
        </is>
      </c>
      <c r="D863" s="7" t="n">
        <v>-6075.4</v>
      </c>
      <c r="E863" t="inlineStr">
        <is>
          <t>372</t>
        </is>
      </c>
      <c r="F863" t="inlineStr">
        <is>
          <t>JUROS DE MORA</t>
        </is>
      </c>
      <c r="G863" s="2" t="inlineStr">
        <is>
          <t>372</t>
        </is>
      </c>
      <c r="H863">
        <f>IFERROR(VLOOKUP(G863&amp;"",PLANO!A:B,2,FALSE),"CONTA NAO EXISTE NO PLANO")</f>
        <v/>
      </c>
      <c r="I863" t="inlineStr">
        <is>
          <t>372</t>
        </is>
      </c>
      <c r="J863" t="inlineStr">
        <is>
          <t>SEM COSMOS</t>
        </is>
      </c>
      <c r="K863" t="inlineStr"/>
      <c r="L863" t="inlineStr"/>
      <c r="M863" t="inlineStr">
        <is>
          <t>JUROS LIMITE DA CONTA</t>
        </is>
      </c>
    </row>
    <row r="864">
      <c r="A864" t="n">
        <v>863</v>
      </c>
      <c r="B864" t="inlineStr">
        <is>
          <t>05/05/2026</t>
        </is>
      </c>
      <c r="C864" t="inlineStr">
        <is>
          <t>REF. A TAR COBRANCA EXP</t>
        </is>
      </c>
      <c r="D864" s="7" t="n">
        <v>-88.8</v>
      </c>
      <c r="E864" t="inlineStr">
        <is>
          <t>626</t>
        </is>
      </c>
      <c r="F864" t="inlineStr">
        <is>
          <t>TARIFAS BANCARIAS</t>
        </is>
      </c>
      <c r="G864" s="2" t="inlineStr">
        <is>
          <t>626</t>
        </is>
      </c>
      <c r="H864">
        <f>IFERROR(VLOOKUP(G864&amp;"",PLANO!A:B,2,FALSE),"CONTA NAO EXISTE NO PLANO")</f>
        <v/>
      </c>
      <c r="I864" t="inlineStr">
        <is>
          <t>626</t>
        </is>
      </c>
      <c r="J864" t="inlineStr">
        <is>
          <t>SEM COSMOS</t>
        </is>
      </c>
      <c r="K864" t="inlineStr"/>
      <c r="L864" t="inlineStr"/>
      <c r="M864" t="inlineStr">
        <is>
          <t>TAR COBRANCA EXP</t>
        </is>
      </c>
    </row>
    <row r="865">
      <c r="A865" t="n">
        <v>864</v>
      </c>
      <c r="B865" t="inlineStr">
        <is>
          <t>05/05/2026</t>
        </is>
      </c>
      <c r="C865" t="inlineStr">
        <is>
          <t>REF. A TAR COBRANCA EXP</t>
        </is>
      </c>
      <c r="D865" s="7" t="n">
        <v>-33.3</v>
      </c>
      <c r="E865" t="inlineStr">
        <is>
          <t>626</t>
        </is>
      </c>
      <c r="F865" t="inlineStr">
        <is>
          <t>TARIFAS BANCARIAS</t>
        </is>
      </c>
      <c r="G865" s="2" t="inlineStr">
        <is>
          <t>626</t>
        </is>
      </c>
      <c r="H865">
        <f>IFERROR(VLOOKUP(G865&amp;"",PLANO!A:B,2,FALSE),"CONTA NAO EXISTE NO PLANO")</f>
        <v/>
      </c>
      <c r="I865" t="inlineStr">
        <is>
          <t>626</t>
        </is>
      </c>
      <c r="J865" t="inlineStr">
        <is>
          <t>SEM COSMOS</t>
        </is>
      </c>
      <c r="K865" t="inlineStr"/>
      <c r="L865" t="inlineStr"/>
      <c r="M865" t="inlineStr">
        <is>
          <t>TAR COBRANCA EXP</t>
        </is>
      </c>
    </row>
    <row r="866">
      <c r="A866" t="n">
        <v>865</v>
      </c>
      <c r="B866" t="inlineStr">
        <is>
          <t>05/05/2026</t>
        </is>
      </c>
      <c r="C866" t="inlineStr">
        <is>
          <t>REF. A TAR PIX PGTO TRANSF</t>
        </is>
      </c>
      <c r="D866" s="7" t="n">
        <v>-117.62</v>
      </c>
      <c r="E866" t="inlineStr">
        <is>
          <t>626</t>
        </is>
      </c>
      <c r="F866" t="inlineStr">
        <is>
          <t>TARIFAS BANCARIAS</t>
        </is>
      </c>
      <c r="G866" s="2" t="inlineStr">
        <is>
          <t>626</t>
        </is>
      </c>
      <c r="H866">
        <f>IFERROR(VLOOKUP(G866&amp;"",PLANO!A:B,2,FALSE),"CONTA NAO EXISTE NO PLANO")</f>
        <v/>
      </c>
      <c r="I866" t="inlineStr">
        <is>
          <t>626</t>
        </is>
      </c>
      <c r="J866" t="inlineStr">
        <is>
          <t>SEM COSMOS</t>
        </is>
      </c>
      <c r="K866" t="inlineStr"/>
      <c r="L866" t="inlineStr"/>
      <c r="M866" t="inlineStr">
        <is>
          <t>TAR PIX PGTO TRANSF</t>
        </is>
      </c>
    </row>
    <row r="867">
      <c r="A867" t="n">
        <v>866</v>
      </c>
      <c r="B867" t="inlineStr">
        <is>
          <t>06/05/2026</t>
        </is>
      </c>
      <c r="C867" t="inlineStr">
        <is>
          <t>REF. A REDE MAST AT0081996543</t>
        </is>
      </c>
      <c r="D867" s="7" t="n">
        <v>6104.23</v>
      </c>
      <c r="E867" t="inlineStr">
        <is>
          <t>504</t>
        </is>
      </c>
      <c r="F867" t="inlineStr">
        <is>
          <t>CLIENTES DIVERSOS</t>
        </is>
      </c>
      <c r="G867" s="2" t="inlineStr">
        <is>
          <t>504</t>
        </is>
      </c>
      <c r="H867">
        <f>IFERROR(VLOOKUP(G867&amp;"",PLANO!A:B,2,FALSE),"CONTA NAO EXISTE NO PLANO")</f>
        <v/>
      </c>
      <c r="I867" t="inlineStr">
        <is>
          <t>504</t>
        </is>
      </c>
      <c r="J867" t="inlineStr">
        <is>
          <t>SEM COSMOS</t>
        </is>
      </c>
      <c r="K867" t="inlineStr"/>
      <c r="L867" t="inlineStr"/>
      <c r="M867" t="inlineStr">
        <is>
          <t>REDE MAST AT0081996543</t>
        </is>
      </c>
    </row>
    <row r="868">
      <c r="A868" t="n">
        <v>867</v>
      </c>
      <c r="B868" t="inlineStr">
        <is>
          <t>06/05/2026</t>
        </is>
      </c>
      <c r="C868" t="inlineStr">
        <is>
          <t>REF. A REDE VISA AT0081996543</t>
        </is>
      </c>
      <c r="D868" s="7" t="n">
        <v>4885.67</v>
      </c>
      <c r="E868" t="inlineStr">
        <is>
          <t>504</t>
        </is>
      </c>
      <c r="F868" t="inlineStr">
        <is>
          <t>CLIENTES DIVERSOS</t>
        </is>
      </c>
      <c r="G868" s="2" t="inlineStr">
        <is>
          <t>504</t>
        </is>
      </c>
      <c r="H868">
        <f>IFERROR(VLOOKUP(G868&amp;"",PLANO!A:B,2,FALSE),"CONTA NAO EXISTE NO PLANO")</f>
        <v/>
      </c>
      <c r="I868" t="inlineStr">
        <is>
          <t>504</t>
        </is>
      </c>
      <c r="J868" t="inlineStr">
        <is>
          <t>SEM COSMOS</t>
        </is>
      </c>
      <c r="K868" t="inlineStr"/>
      <c r="L868" t="inlineStr"/>
      <c r="M868" t="inlineStr">
        <is>
          <t>REDE VISA AT0081996543</t>
        </is>
      </c>
    </row>
    <row r="869">
      <c r="A869" t="n">
        <v>868</v>
      </c>
      <c r="B869" t="inlineStr">
        <is>
          <t>06/05/2026</t>
        </is>
      </c>
      <c r="C869" t="inlineStr">
        <is>
          <t>REF. A PIX TRANSF SB BEAU06/05</t>
        </is>
      </c>
      <c r="D869" s="7" t="n">
        <v>12036.85</v>
      </c>
      <c r="E869" t="inlineStr">
        <is>
          <t>504</t>
        </is>
      </c>
      <c r="F869" t="inlineStr">
        <is>
          <t>CLIENTES DIVERSOS</t>
        </is>
      </c>
      <c r="G869" s="2" t="inlineStr">
        <is>
          <t>504</t>
        </is>
      </c>
      <c r="H869">
        <f>IFERROR(VLOOKUP(G869&amp;"",PLANO!A:B,2,FALSE),"CONTA NAO EXISTE NO PLANO")</f>
        <v/>
      </c>
      <c r="I869" t="inlineStr">
        <is>
          <t>504</t>
        </is>
      </c>
      <c r="J869" t="inlineStr">
        <is>
          <t>SEM COSMOS</t>
        </is>
      </c>
      <c r="K869" t="inlineStr"/>
      <c r="L869" t="inlineStr"/>
      <c r="M869" t="inlineStr">
        <is>
          <t>PIX TRANSF SB BEAU06/05</t>
        </is>
      </c>
    </row>
    <row r="870">
      <c r="A870" t="n">
        <v>869</v>
      </c>
      <c r="B870" t="inlineStr">
        <is>
          <t>06/05/2026</t>
        </is>
      </c>
      <c r="C870" t="inlineStr">
        <is>
          <t>REF A SISPAG PIX QR-CODE - COMPANHIA DE SANEAMENTO DO PARANA SANEPAR PGTO REF.CONSUMO DE AGUA E ESGOTO</t>
        </is>
      </c>
      <c r="D870" s="7" t="n">
        <v>-1488.55</v>
      </c>
      <c r="E870" t="inlineStr">
        <is>
          <t>355</t>
        </is>
      </c>
      <c r="F870" t="inlineStr">
        <is>
          <t>ÁGUA E ESGOTO</t>
        </is>
      </c>
      <c r="G870" s="2" t="inlineStr">
        <is>
          <t>355</t>
        </is>
      </c>
      <c r="H870">
        <f>IFERROR(VLOOKUP(G870&amp;"",PLANO!A:B,2,FALSE),"CONTA NAO EXISTE NO PLANO")</f>
        <v/>
      </c>
      <c r="I870" t="inlineStr">
        <is>
          <t>355</t>
        </is>
      </c>
      <c r="J870" t="inlineStr">
        <is>
          <t>OK</t>
        </is>
      </c>
      <c r="K870" t="inlineStr">
        <is>
          <t>categoria Cosmos 12</t>
        </is>
      </c>
      <c r="L870" t="inlineStr">
        <is>
          <t>COMPANHIA DE SANEAMENTO DO PARANA SANEPAR | 115/12 | PGTO REF.CONSUMO DE AGUA E ESGOTO</t>
        </is>
      </c>
      <c r="M870" t="inlineStr">
        <is>
          <t>COMPANHIA DE SANEAMENTO DO PARANA SANEPAR - PGTO REF.CONSUMO DE AGUA E ESGOTO</t>
        </is>
      </c>
    </row>
    <row r="871">
      <c r="A871" t="n">
        <v>870</v>
      </c>
      <c r="B871" t="inlineStr">
        <is>
          <t>06/05/2026</t>
        </is>
      </c>
      <c r="C871" t="inlineStr">
        <is>
          <t>COMPANHIA DE SANEAMENTO DO PARANA SANEPAR PGTO REF.CONSUMO DE AGUA E ESGOTO</t>
        </is>
      </c>
      <c r="D871" s="7" t="n">
        <v>-1369.59</v>
      </c>
      <c r="E871" t="inlineStr">
        <is>
          <t>355</t>
        </is>
      </c>
      <c r="F871" t="inlineStr">
        <is>
          <t>ÁGUA E ESGOTO</t>
        </is>
      </c>
      <c r="G871" s="2" t="inlineStr">
        <is>
          <t>355</t>
        </is>
      </c>
      <c r="H871">
        <f>IFERROR(VLOOKUP(G871&amp;"",PLANO!A:B,2,FALSE),"CONTA NAO EXISTE NO PLANO")</f>
        <v/>
      </c>
      <c r="I871" t="inlineStr">
        <is>
          <t>355</t>
        </is>
      </c>
      <c r="J871" t="inlineStr">
        <is>
          <t>OK</t>
        </is>
      </c>
      <c r="K871" t="inlineStr">
        <is>
          <t>categoria Cosmos 12</t>
        </is>
      </c>
      <c r="L871" t="inlineStr">
        <is>
          <t>COMPANHIA DE SANEAMENTO DO PARANA SANEPAR | 115/12 | PGTO REF.CONSUMO DE AGUA E ESGOTO</t>
        </is>
      </c>
      <c r="M871" t="inlineStr">
        <is>
          <t>COMPANHIA DE SANEAMENTO DO PARANA SANEPAR - PGTO REF.CONSUMO DE AGUA E ESGOTO</t>
        </is>
      </c>
    </row>
    <row r="872">
      <c r="A872" t="n">
        <v>871</v>
      </c>
      <c r="B872" t="inlineStr">
        <is>
          <t>06/05/2026</t>
        </is>
      </c>
      <c r="C872" t="inlineStr">
        <is>
          <t>FRANCIS KODAMA PGTO REF.SERVIÇOS PRESTADOS</t>
        </is>
      </c>
      <c r="D872" s="7" t="n">
        <v>-625</v>
      </c>
      <c r="E872" t="inlineStr">
        <is>
          <t>362</t>
        </is>
      </c>
      <c r="F872" t="inlineStr">
        <is>
          <t>SERVIÇOS PRESTADOS POR TERCEIROS</t>
        </is>
      </c>
      <c r="G872" s="2" t="inlineStr">
        <is>
          <t>362</t>
        </is>
      </c>
      <c r="H872">
        <f>IFERROR(VLOOKUP(G872&amp;"",PLANO!A:B,2,FALSE),"CONTA NAO EXISTE NO PLANO")</f>
        <v/>
      </c>
      <c r="I872" t="inlineStr">
        <is>
          <t>362</t>
        </is>
      </c>
      <c r="J872" t="inlineStr">
        <is>
          <t>OK</t>
        </is>
      </c>
      <c r="K872" t="inlineStr">
        <is>
          <t>servico prestado</t>
        </is>
      </c>
      <c r="L872" t="inlineStr">
        <is>
          <t>FRANCIS KODAMA | 115/170 | PGTO REF.SERVIÇOS PRESTADOS</t>
        </is>
      </c>
      <c r="M872" t="inlineStr">
        <is>
          <t>FRANCIS KODAMA - PGTO REF.SERVIÇOS PRESTADOS</t>
        </is>
      </c>
    </row>
    <row r="873">
      <c r="A873" s="4" t="n">
        <v>872</v>
      </c>
      <c r="B873" s="4" t="inlineStr">
        <is>
          <t>06/05/2026</t>
        </is>
      </c>
      <c r="C873" s="4" t="inlineStr">
        <is>
          <t>REF. A PIX ENVIADO CLAUDIA APARECIDA RUBIN PGTO REF.DEVOLUÇÃO DE 53.200,00 - PAGAMENTO DACOMPRA DE 30% DO STANDY, FEITA PELO CHINESES REALIZADO NA DATA DE 30/04, PARA PAGAMENTO DE 03 PARCELAS EM ATRASO DA BEAUTY FAIR</t>
        </is>
      </c>
      <c r="D873" s="5" t="n">
        <v>-20000</v>
      </c>
      <c r="E873" s="4" t="inlineStr">
        <is>
          <t>362</t>
        </is>
      </c>
      <c r="F873" s="4" t="inlineStr">
        <is>
          <t>SERVIÇOS PRESTADOS POR TERCEIROS</t>
        </is>
      </c>
      <c r="G873" s="6" t="inlineStr">
        <is>
          <t>688</t>
        </is>
      </c>
      <c r="H873" s="4">
        <f>IFERROR(VLOOKUP(G873&amp;"",PLANO!A:B,2,FALSE),"CONTA NAO EXISTE NO PLANO")</f>
        <v/>
      </c>
      <c r="I873" s="4" t="inlineStr">
        <is>
          <t>362</t>
        </is>
      </c>
      <c r="J873" s="4" t="inlineStr">
        <is>
          <t>AJUSTADO</t>
        </is>
      </c>
      <c r="K873" s="4" t="inlineStr">
        <is>
          <t>Beauty Fair -&gt; 688 FEIRAS E EVENTOS</t>
        </is>
      </c>
      <c r="L873" s="4" t="inlineStr">
        <is>
          <t>CLAUDIA APARECIDA RUBIN | 115/184 | PGTO REF.DEVOLUÇÃO DE 53.200,00 - PAGAMENTO DA COMPRA DE 30% DO STANDY, FEITA PELO CHINESES - REALIZADO NA DATA DE 30/04</t>
        </is>
      </c>
      <c r="M873" s="4" t="inlineStr">
        <is>
          <t>CLAUDIA APARECIDA RUBIN - PGTO REF.DEVOLUÇÃO DE 53.200,00 - PAGAMENTO DA COMPRA DE 30% DO STANDY, FEITA PE</t>
        </is>
      </c>
    </row>
    <row r="874">
      <c r="A874" t="n">
        <v>873</v>
      </c>
      <c r="B874" t="inlineStr">
        <is>
          <t>06/05/2026</t>
        </is>
      </c>
      <c r="C874" t="inlineStr">
        <is>
          <t>REF. A BOLETO PAGO LIGGA TELECO - COPEL TELECOMUNICACOES S.A.PGTO REF.UTILIZAÇÃO IP FIXO</t>
        </is>
      </c>
      <c r="D874" s="7" t="n">
        <v>-559.92</v>
      </c>
      <c r="E874" t="inlineStr">
        <is>
          <t>555</t>
        </is>
      </c>
      <c r="F874" t="inlineStr">
        <is>
          <t>INTERNET</t>
        </is>
      </c>
      <c r="G874" s="2" t="inlineStr">
        <is>
          <t>555</t>
        </is>
      </c>
      <c r="H874">
        <f>IFERROR(VLOOKUP(G874&amp;"",PLANO!A:B,2,FALSE),"CONTA NAO EXISTE NO PLANO")</f>
        <v/>
      </c>
      <c r="I874" t="inlineStr">
        <is>
          <t>555</t>
        </is>
      </c>
      <c r="J874" t="inlineStr">
        <is>
          <t>OK</t>
        </is>
      </c>
      <c r="K874" t="inlineStr">
        <is>
          <t>categoria Cosmos 14</t>
        </is>
      </c>
      <c r="L874" t="inlineStr">
        <is>
          <t>COPEL TELECOMUNICACOES S.A. | 115/14 | PGTO REF.UTILIZAÇÃO IP FIXO</t>
        </is>
      </c>
      <c r="M874" t="inlineStr">
        <is>
          <t>COPEL TELECOMUNICACOES S.A. - PGTO REF.UTILIZAÇÃO IP FIXO</t>
        </is>
      </c>
    </row>
    <row r="875">
      <c r="A875" t="n">
        <v>874</v>
      </c>
      <c r="B875" t="inlineStr">
        <is>
          <t>07/05/2026</t>
        </is>
      </c>
      <c r="C875" t="inlineStr">
        <is>
          <t>REF. A MOV TIT COB DISP 07/05S</t>
        </is>
      </c>
      <c r="D875" s="7" t="n">
        <v>12245.86</v>
      </c>
      <c r="E875" t="inlineStr">
        <is>
          <t>504</t>
        </is>
      </c>
      <c r="F875" t="inlineStr">
        <is>
          <t>CLIENTES DIVERSOS</t>
        </is>
      </c>
      <c r="G875" s="2" t="inlineStr">
        <is>
          <t>504</t>
        </is>
      </c>
      <c r="H875">
        <f>IFERROR(VLOOKUP(G875&amp;"",PLANO!A:B,2,FALSE),"CONTA NAO EXISTE NO PLANO")</f>
        <v/>
      </c>
      <c r="I875" t="inlineStr">
        <is>
          <t>504</t>
        </is>
      </c>
      <c r="J875" t="inlineStr">
        <is>
          <t>SEM COSMOS</t>
        </is>
      </c>
      <c r="K875" t="inlineStr"/>
      <c r="L875" t="inlineStr"/>
      <c r="M875" t="inlineStr">
        <is>
          <t>MOV TIT COB DISP 07/05S</t>
        </is>
      </c>
    </row>
    <row r="876">
      <c r="A876" t="n">
        <v>875</v>
      </c>
      <c r="B876" t="inlineStr">
        <is>
          <t>07/05/2026</t>
        </is>
      </c>
      <c r="C876" t="inlineStr">
        <is>
          <t>REF. A PIX TRANSF JENNIFE07/05</t>
        </is>
      </c>
      <c r="D876" s="7" t="n">
        <v>205.92</v>
      </c>
      <c r="E876" t="inlineStr">
        <is>
          <t>504</t>
        </is>
      </c>
      <c r="F876" t="inlineStr">
        <is>
          <t>CLIENTES DIVERSOS</t>
        </is>
      </c>
      <c r="G876" s="2" t="inlineStr">
        <is>
          <t>504</t>
        </is>
      </c>
      <c r="H876">
        <f>IFERROR(VLOOKUP(G876&amp;"",PLANO!A:B,2,FALSE),"CONTA NAO EXISTE NO PLANO")</f>
        <v/>
      </c>
      <c r="I876" t="inlineStr">
        <is>
          <t>504</t>
        </is>
      </c>
      <c r="J876" t="inlineStr">
        <is>
          <t>SEM COSMOS</t>
        </is>
      </c>
      <c r="K876" t="inlineStr"/>
      <c r="L876" t="inlineStr"/>
      <c r="M876" t="inlineStr">
        <is>
          <t>PIX TRANSF JENNIFE07/05</t>
        </is>
      </c>
    </row>
    <row r="877">
      <c r="A877" t="n">
        <v>876</v>
      </c>
      <c r="B877" t="inlineStr">
        <is>
          <t>07/05/2026</t>
        </is>
      </c>
      <c r="C877" t="inlineStr">
        <is>
          <t>REF. A PIX TRANSF R E S C07/05</t>
        </is>
      </c>
      <c r="D877" s="7" t="n">
        <v>4878</v>
      </c>
      <c r="E877" t="inlineStr">
        <is>
          <t>504</t>
        </is>
      </c>
      <c r="F877" t="inlineStr">
        <is>
          <t>CLIENTES DIVERSOS</t>
        </is>
      </c>
      <c r="G877" s="2" t="inlineStr">
        <is>
          <t>504</t>
        </is>
      </c>
      <c r="H877">
        <f>IFERROR(VLOOKUP(G877&amp;"",PLANO!A:B,2,FALSE),"CONTA NAO EXISTE NO PLANO")</f>
        <v/>
      </c>
      <c r="I877" t="inlineStr">
        <is>
          <t>504</t>
        </is>
      </c>
      <c r="J877" t="inlineStr">
        <is>
          <t>SEM COSMOS</t>
        </is>
      </c>
      <c r="K877" t="inlineStr"/>
      <c r="L877" t="inlineStr"/>
      <c r="M877" t="inlineStr">
        <is>
          <t>PIX TRANSF R E S C07/05</t>
        </is>
      </c>
    </row>
    <row r="878">
      <c r="A878" t="n">
        <v>877</v>
      </c>
      <c r="B878" t="inlineStr">
        <is>
          <t>07/05/2026</t>
        </is>
      </c>
      <c r="C878" t="inlineStr">
        <is>
          <t>REF A PGTO BANCO ITAU UNIBANCO PGTO REF.MÍNIMO CARTÃO EMPRESARIAL</t>
        </is>
      </c>
      <c r="D878" s="7" t="n">
        <v>-1942.97</v>
      </c>
      <c r="E878" t="inlineStr">
        <is>
          <t>357</t>
        </is>
      </c>
      <c r="F878" t="inlineStr">
        <is>
          <t>DESPESAS COM CARTÃO DE CREDITO</t>
        </is>
      </c>
      <c r="G878" s="2" t="inlineStr">
        <is>
          <t>357</t>
        </is>
      </c>
      <c r="H878">
        <f>IFERROR(VLOOKUP(G878&amp;"",PLANO!A:B,2,FALSE),"CONTA NAO EXISTE NO PLANO")</f>
        <v/>
      </c>
      <c r="I878" t="inlineStr">
        <is>
          <t>357</t>
        </is>
      </c>
      <c r="J878" t="inlineStr">
        <is>
          <t>OK</t>
        </is>
      </c>
      <c r="K878" t="inlineStr">
        <is>
          <t>categoria Cosmos 87</t>
        </is>
      </c>
      <c r="L878" t="inlineStr">
        <is>
          <t>BANCO ITAU UNIBANCO | 115/87 | PGTO REF.MÍNIMO CARTÃO EMPRESARIAL</t>
        </is>
      </c>
      <c r="M878" t="inlineStr">
        <is>
          <t>BANCO ITAU UNIBANCO - PGTO REF.MÍNIMO CARTÃO EMPRESARIAL</t>
        </is>
      </c>
    </row>
    <row r="879">
      <c r="A879" s="11" t="n">
        <v>878</v>
      </c>
      <c r="B879" s="11" t="inlineStr">
        <is>
          <t>07/05/2026</t>
        </is>
      </c>
      <c r="C879" s="11" t="inlineStr">
        <is>
          <t>REF. A PIX ENVIADO CARLOS ALEXA - FACTORING ALEXANDRE MAZZONI PGTO REF.A VALOR INICIAL DE 116.000,00 EM21/07/2015 E CONGELADO NA DATA DE 28/02/2024 ESERÁ PAGO EM 39 PARCELAS DE 15.000,00 POR MÊSACORDADO COM AS PATES CARLOS ALEXNDRE(PF) E MICHELMAZZONI(EMPRESA) E TESTEMUNHAS ALEXANDRE COLIN ECLAUDIA RUBIN.</t>
        </is>
      </c>
      <c r="D879" s="12" t="n">
        <v>-500</v>
      </c>
      <c r="E879" s="11" t="inlineStr">
        <is>
          <t>362</t>
        </is>
      </c>
      <c r="F879" s="11" t="inlineStr">
        <is>
          <t>SERVIÇOS PRESTADOS POR TERCEIROS</t>
        </is>
      </c>
      <c r="G879" s="13" t="inlineStr">
        <is>
          <t>362</t>
        </is>
      </c>
      <c r="H879" s="11">
        <f>IFERROR(VLOOKUP(G879&amp;"",PLANO!A:B,2,FALSE),"CONTA NAO EXISTE NO PLANO")</f>
        <v/>
      </c>
      <c r="I879" s="11" t="inlineStr">
        <is>
          <t>362</t>
        </is>
      </c>
      <c r="J879" s="11" t="inlineStr">
        <is>
          <t>MANTIDO</t>
        </is>
      </c>
      <c r="K879" s="11" t="inlineStr">
        <is>
          <t>socios Mazzoni (fora do contrato social) - mantido como estava</t>
        </is>
      </c>
      <c r="L879" s="11" t="inlineStr">
        <is>
          <t>FACTORING ALEXANDRE MAZZONI | 115/94 | PGTO REF.A VALOR INICIAL DE 116.000,00 EM 21/07/2015 E CONGELADO NA DATA DE 28/02/2024 E SERÁ PAGO EM 39 PARCELAS DE 15.</t>
        </is>
      </c>
      <c r="M879" s="11" t="inlineStr">
        <is>
          <t>FACTORING ALEXANDRE MAZZONI - PGTO REF.A VALOR INICIAL DE 116.000,00 EM 21/07/2015 E CONGELADO NA DATA DE 28/0</t>
        </is>
      </c>
    </row>
    <row r="880">
      <c r="A880" s="4" t="n">
        <v>879</v>
      </c>
      <c r="B880" s="4" t="inlineStr">
        <is>
          <t>07/05/2026</t>
        </is>
      </c>
      <c r="C880" s="4" t="inlineStr">
        <is>
          <t>REF. A PIX ENVIADO GULA COSMETI</t>
        </is>
      </c>
      <c r="D880" s="5" t="n">
        <v>-9500</v>
      </c>
      <c r="E880" s="4" t="inlineStr">
        <is>
          <t>506</t>
        </is>
      </c>
      <c r="F880" s="4" t="inlineStr">
        <is>
          <t>FORNECEDORES DIVERSOS</t>
        </is>
      </c>
      <c r="G880" s="6" t="inlineStr">
        <is>
          <t>366</t>
        </is>
      </c>
      <c r="H880" s="4">
        <f>IFERROR(VLOOKUP(G880&amp;"",PLANO!A:B,2,FALSE),"CONTA NAO EXISTE NO PLANO")</f>
        <v/>
      </c>
      <c r="I880" s="4" t="inlineStr">
        <is>
          <t>672</t>
        </is>
      </c>
      <c r="J880" s="4" t="inlineStr">
        <is>
          <t>AJUSTADO</t>
        </is>
      </c>
      <c r="K880" s="4" t="inlineStr">
        <is>
          <t>GULA/FIQUE BEM (mesmo CNPJ, empresa do grupo) - mutuo em EMPRESTIMOS A TERCEIROS (366); nao e fornecedor</t>
        </is>
      </c>
      <c r="L880" s="4" t="inlineStr">
        <is>
          <t xml:space="preserve">OUTRAS SAIDAS | 123/71 | </t>
        </is>
      </c>
      <c r="M880" s="4" t="inlineStr">
        <is>
          <t>PIX ENVIADO GULA COSMETI</t>
        </is>
      </c>
    </row>
    <row r="881">
      <c r="A881" s="11" t="n">
        <v>880</v>
      </c>
      <c r="B881" s="11" t="inlineStr">
        <is>
          <t>07/05/2026</t>
        </is>
      </c>
      <c r="C881" s="11" t="inlineStr">
        <is>
          <t>REF A BOLETO PAGO PRUDENTIAL FACTORING ALEXANDRE MAZZONI PGTO REF.A VALOR INICIAL DE 116.000,00 EM21/07/2015 E CONGELADO NA DATA DE 28/02/2024 ESERÁ PAGO EM 39 PARCELAS DE 15.000,00 POR MÊSACORDADO COM AS PATES CARLOS ALEXNDRE(PF) E MICHELMAZZONI(EMPRESA) E TESTEMUNHAS ALEXANDRE COLIN ECLAUDIA RUBIN.</t>
        </is>
      </c>
      <c r="D881" s="12" t="n">
        <v>-623.26</v>
      </c>
      <c r="E881" s="11" t="inlineStr">
        <is>
          <t>493</t>
        </is>
      </c>
      <c r="F881" s="11" t="inlineStr">
        <is>
          <t>DESPESAS DIVERSAS</t>
        </is>
      </c>
      <c r="G881" s="13" t="inlineStr">
        <is>
          <t>493</t>
        </is>
      </c>
      <c r="H881" s="11">
        <f>IFERROR(VLOOKUP(G881&amp;"",PLANO!A:B,2,FALSE),"CONTA NAO EXISTE NO PLANO")</f>
        <v/>
      </c>
      <c r="I881" s="11" t="inlineStr">
        <is>
          <t>493</t>
        </is>
      </c>
      <c r="J881" s="11" t="inlineStr">
        <is>
          <t>MANTIDO</t>
        </is>
      </c>
      <c r="K881" s="11" t="inlineStr">
        <is>
          <t>socios Mazzoni (fora do contrato social) - mantido como estava</t>
        </is>
      </c>
      <c r="L881" s="11" t="inlineStr">
        <is>
          <t>FACTORING ALEXANDRE MAZZONI | 115/94 | PGTO REF.A VALOR INICIAL DE 116.000,00 EM 21/07/2015 E CONGELADO NA DATA DE 28/02/2024 E SERÁ PAGO EM 39 PARCELAS DE 15.</t>
        </is>
      </c>
      <c r="M881" s="11" t="inlineStr">
        <is>
          <t>FACTORING ALEXANDRE MAZZONI - PGTO REF.A VALOR INICIAL DE 116.000,00 EM 21/07/2015 E CONGELADO NA DATA DE 28/0</t>
        </is>
      </c>
    </row>
    <row r="882">
      <c r="A882" t="n">
        <v>881</v>
      </c>
      <c r="B882" t="inlineStr">
        <is>
          <t>08/05/2026</t>
        </is>
      </c>
      <c r="C882" t="inlineStr">
        <is>
          <t>REF. A MOV TIT COB DISP 08/05S</t>
        </is>
      </c>
      <c r="D882" s="7" t="n">
        <v>396.71</v>
      </c>
      <c r="E882" t="inlineStr">
        <is>
          <t>504</t>
        </is>
      </c>
      <c r="F882" t="inlineStr">
        <is>
          <t>CLIENTES DIVERSOS</t>
        </is>
      </c>
      <c r="G882" s="2" t="inlineStr">
        <is>
          <t>504</t>
        </is>
      </c>
      <c r="H882">
        <f>IFERROR(VLOOKUP(G882&amp;"",PLANO!A:B,2,FALSE),"CONTA NAO EXISTE NO PLANO")</f>
        <v/>
      </c>
      <c r="I882" t="inlineStr">
        <is>
          <t>504</t>
        </is>
      </c>
      <c r="J882" t="inlineStr">
        <is>
          <t>SEM COSMOS</t>
        </is>
      </c>
      <c r="K882" t="inlineStr"/>
      <c r="L882" t="inlineStr"/>
      <c r="M882" t="inlineStr">
        <is>
          <t>MOV TIT COB DISP 08/05S</t>
        </is>
      </c>
    </row>
    <row r="883">
      <c r="A883" t="n">
        <v>882</v>
      </c>
      <c r="B883" t="inlineStr">
        <is>
          <t>08/05/2026</t>
        </is>
      </c>
      <c r="C883" t="inlineStr">
        <is>
          <t>REF. A PIX TRANSF MARIA L08/05</t>
        </is>
      </c>
      <c r="D883" s="7" t="n">
        <v>93.53</v>
      </c>
      <c r="E883" t="inlineStr">
        <is>
          <t>504</t>
        </is>
      </c>
      <c r="F883" t="inlineStr">
        <is>
          <t>CLIENTES DIVERSOS</t>
        </is>
      </c>
      <c r="G883" s="2" t="inlineStr">
        <is>
          <t>504</t>
        </is>
      </c>
      <c r="H883">
        <f>IFERROR(VLOOKUP(G883&amp;"",PLANO!A:B,2,FALSE),"CONTA NAO EXISTE NO PLANO")</f>
        <v/>
      </c>
      <c r="I883" t="inlineStr">
        <is>
          <t>504</t>
        </is>
      </c>
      <c r="J883" t="inlineStr">
        <is>
          <t>SEM COSMOS</t>
        </is>
      </c>
      <c r="K883" t="inlineStr"/>
      <c r="L883" t="inlineStr"/>
      <c r="M883" t="inlineStr">
        <is>
          <t>PIX TRANSF MARIA L08/05</t>
        </is>
      </c>
    </row>
    <row r="884">
      <c r="A884" t="n">
        <v>883</v>
      </c>
      <c r="B884" t="inlineStr">
        <is>
          <t>08/05/2026</t>
        </is>
      </c>
      <c r="C884" t="inlineStr">
        <is>
          <t>REF. A PIX TRANSF VITTA H08/05</t>
        </is>
      </c>
      <c r="D884" s="7" t="n">
        <v>1000</v>
      </c>
      <c r="E884" t="inlineStr">
        <is>
          <t>504</t>
        </is>
      </c>
      <c r="F884" t="inlineStr">
        <is>
          <t>CLIENTES DIVERSOS</t>
        </is>
      </c>
      <c r="G884" s="2" t="inlineStr">
        <is>
          <t>504</t>
        </is>
      </c>
      <c r="H884">
        <f>IFERROR(VLOOKUP(G884&amp;"",PLANO!A:B,2,FALSE),"CONTA NAO EXISTE NO PLANO")</f>
        <v/>
      </c>
      <c r="I884" t="inlineStr">
        <is>
          <t>504</t>
        </is>
      </c>
      <c r="J884" t="inlineStr">
        <is>
          <t>SEM COSMOS</t>
        </is>
      </c>
      <c r="K884" t="inlineStr"/>
      <c r="L884" t="inlineStr"/>
      <c r="M884" t="inlineStr">
        <is>
          <t>PIX TRANSF VITTA H08/05</t>
        </is>
      </c>
    </row>
    <row r="885">
      <c r="A885" t="n">
        <v>884</v>
      </c>
      <c r="B885" t="inlineStr">
        <is>
          <t>08/05/2026</t>
        </is>
      </c>
      <c r="C885" t="inlineStr">
        <is>
          <t>REF. A REND PAGO APLIC AUT MAIS</t>
        </is>
      </c>
      <c r="D885" s="7" t="n">
        <v>0.01</v>
      </c>
      <c r="E885" t="inlineStr">
        <is>
          <t>432</t>
        </is>
      </c>
      <c r="F885" t="inlineStr">
        <is>
          <t>RENDIMENTOS DE APLICAÇÕES</t>
        </is>
      </c>
      <c r="G885" s="2" t="inlineStr">
        <is>
          <t>432</t>
        </is>
      </c>
      <c r="H885">
        <f>IFERROR(VLOOKUP(G885&amp;"",PLANO!A:B,2,FALSE),"CONTA NAO EXISTE NO PLANO")</f>
        <v/>
      </c>
      <c r="I885" t="inlineStr">
        <is>
          <t>432</t>
        </is>
      </c>
      <c r="J885" t="inlineStr">
        <is>
          <t>SEM COSMOS</t>
        </is>
      </c>
      <c r="K885" t="inlineStr"/>
      <c r="L885" t="inlineStr"/>
      <c r="M885" t="inlineStr">
        <is>
          <t>REND PAGO APLIC AUT MAIS</t>
        </is>
      </c>
    </row>
    <row r="886">
      <c r="A886" s="4" t="n">
        <v>885</v>
      </c>
      <c r="B886" s="4" t="inlineStr">
        <is>
          <t>08/05/2026</t>
        </is>
      </c>
      <c r="C886" s="4" t="inlineStr">
        <is>
          <t>REF. A PIX ENVIADO COSMETICON C PGTO REF.ENTRE CONTAS</t>
        </is>
      </c>
      <c r="D886" s="5" t="n">
        <v>-12000</v>
      </c>
      <c r="E886" s="4" t="inlineStr">
        <is>
          <t>664</t>
        </is>
      </c>
      <c r="F886" s="4" t="inlineStr">
        <is>
          <t>COSMETICON COMERCIO DE COSMETICOS LTDA</t>
        </is>
      </c>
      <c r="G886" s="6" t="inlineStr">
        <is>
          <t>663</t>
        </is>
      </c>
      <c r="H886" s="4">
        <f>IFERROR(VLOOKUP(G886&amp;"",PLANO!A:B,2,FALSE),"CONTA NAO EXISTE NO PLANO")</f>
        <v/>
      </c>
      <c r="I886" s="4" t="inlineStr">
        <is>
          <t>663</t>
        </is>
      </c>
      <c r="J886" s="4" t="inlineStr">
        <is>
          <t>AJUSTADO</t>
        </is>
      </c>
      <c r="K886" s="4" t="inlineStr">
        <is>
          <t>COSMETICON - conta-corrente unica de mutuo (663)</t>
        </is>
      </c>
      <c r="L886" s="4" t="inlineStr">
        <is>
          <t xml:space="preserve">PGTO REF.ENTRE CONTAS | 123/71 | </t>
        </is>
      </c>
      <c r="M886" s="4" t="inlineStr">
        <is>
          <t>PGTO REF.ENTRE CONTAS</t>
        </is>
      </c>
    </row>
    <row r="887">
      <c r="A887" s="4" t="n">
        <v>886</v>
      </c>
      <c r="B887" s="4" t="inlineStr">
        <is>
          <t>08/05/2026</t>
        </is>
      </c>
      <c r="C887" s="4" t="inlineStr">
        <is>
          <t>REF. A PIX ENVIADO GULA COSMETI</t>
        </is>
      </c>
      <c r="D887" s="5" t="n">
        <v>-3000</v>
      </c>
      <c r="E887" s="4" t="inlineStr">
        <is>
          <t>506</t>
        </is>
      </c>
      <c r="F887" s="4" t="inlineStr">
        <is>
          <t>FORNECEDORES DIVERSOS</t>
        </is>
      </c>
      <c r="G887" s="6" t="inlineStr">
        <is>
          <t>366</t>
        </is>
      </c>
      <c r="H887" s="4">
        <f>IFERROR(VLOOKUP(G887&amp;"",PLANO!A:B,2,FALSE),"CONTA NAO EXISTE NO PLANO")</f>
        <v/>
      </c>
      <c r="I887" s="4" t="inlineStr">
        <is>
          <t>672</t>
        </is>
      </c>
      <c r="J887" s="4" t="inlineStr">
        <is>
          <t>AJUSTADO</t>
        </is>
      </c>
      <c r="K887" s="4" t="inlineStr">
        <is>
          <t>GULA/FIQUE BEM (mesmo CNPJ, empresa do grupo) - mutuo em EMPRESTIMOS A TERCEIROS (366); nao e fornecedor</t>
        </is>
      </c>
      <c r="L887" s="4" t="inlineStr">
        <is>
          <t xml:space="preserve">OUTRAS SAIDAS | 123/71 | </t>
        </is>
      </c>
      <c r="M887" s="4" t="inlineStr">
        <is>
          <t>PIX ENVIADO GULA COSMETI</t>
        </is>
      </c>
    </row>
    <row r="888">
      <c r="A888" t="n">
        <v>887</v>
      </c>
      <c r="B888" t="inlineStr">
        <is>
          <t>11/05/2026</t>
        </is>
      </c>
      <c r="C888" t="inlineStr">
        <is>
          <t>REF A SISPAG O.S. SECURITIZAD</t>
        </is>
      </c>
      <c r="D888" s="7" t="n">
        <v>11411.9</v>
      </c>
      <c r="E888" t="inlineStr">
        <is>
          <t>504</t>
        </is>
      </c>
      <c r="F888" t="inlineStr">
        <is>
          <t>CLIENTES DIVERSOS</t>
        </is>
      </c>
      <c r="G888" s="2" t="inlineStr">
        <is>
          <t>504</t>
        </is>
      </c>
      <c r="H888">
        <f>IFERROR(VLOOKUP(G888&amp;"",PLANO!A:B,2,FALSE),"CONTA NAO EXISTE NO PLANO")</f>
        <v/>
      </c>
      <c r="I888" t="inlineStr">
        <is>
          <t>504</t>
        </is>
      </c>
      <c r="J888" t="inlineStr">
        <is>
          <t>SEM COSMOS</t>
        </is>
      </c>
      <c r="K888" t="inlineStr"/>
      <c r="L888" t="inlineStr"/>
      <c r="M888" t="inlineStr">
        <is>
          <t>SISPAG O.S. SECURITIZAD</t>
        </is>
      </c>
    </row>
    <row r="889">
      <c r="A889" t="n">
        <v>888</v>
      </c>
      <c r="B889" t="inlineStr">
        <is>
          <t>11/05/2026</t>
        </is>
      </c>
      <c r="C889" t="inlineStr">
        <is>
          <t>REF. A MOV TIT COB DISP 11/05S</t>
        </is>
      </c>
      <c r="D889" s="7" t="n">
        <v>11571.6</v>
      </c>
      <c r="E889" t="inlineStr">
        <is>
          <t>504</t>
        </is>
      </c>
      <c r="F889" t="inlineStr">
        <is>
          <t>CLIENTES DIVERSOS</t>
        </is>
      </c>
      <c r="G889" s="2" t="inlineStr">
        <is>
          <t>504</t>
        </is>
      </c>
      <c r="H889">
        <f>IFERROR(VLOOKUP(G889&amp;"",PLANO!A:B,2,FALSE),"CONTA NAO EXISTE NO PLANO")</f>
        <v/>
      </c>
      <c r="I889" t="inlineStr">
        <is>
          <t>504</t>
        </is>
      </c>
      <c r="J889" t="inlineStr">
        <is>
          <t>SEM COSMOS</t>
        </is>
      </c>
      <c r="K889" t="inlineStr"/>
      <c r="L889" t="inlineStr"/>
      <c r="M889" t="inlineStr">
        <is>
          <t>MOV TIT COB DISP 11/05S</t>
        </is>
      </c>
    </row>
    <row r="890">
      <c r="A890" t="n">
        <v>889</v>
      </c>
      <c r="B890" t="inlineStr">
        <is>
          <t>11/05/2026</t>
        </is>
      </c>
      <c r="C890" t="inlineStr">
        <is>
          <t>REF. A PIX TRANSF B CHIC 11/05</t>
        </is>
      </c>
      <c r="D890" s="7" t="n">
        <v>2500</v>
      </c>
      <c r="E890" t="inlineStr">
        <is>
          <t>504</t>
        </is>
      </c>
      <c r="F890" t="inlineStr">
        <is>
          <t>CLIENTES DIVERSOS</t>
        </is>
      </c>
      <c r="G890" s="2" t="inlineStr">
        <is>
          <t>504</t>
        </is>
      </c>
      <c r="H890">
        <f>IFERROR(VLOOKUP(G890&amp;"",PLANO!A:B,2,FALSE),"CONTA NAO EXISTE NO PLANO")</f>
        <v/>
      </c>
      <c r="I890" t="inlineStr">
        <is>
          <t>504</t>
        </is>
      </c>
      <c r="J890" t="inlineStr">
        <is>
          <t>SEM COSMOS</t>
        </is>
      </c>
      <c r="K890" t="inlineStr"/>
      <c r="L890" t="inlineStr"/>
      <c r="M890" t="inlineStr">
        <is>
          <t>PIX TRANSF B CHIC 11/05</t>
        </is>
      </c>
    </row>
    <row r="891">
      <c r="A891" t="n">
        <v>890</v>
      </c>
      <c r="B891" t="inlineStr">
        <is>
          <t>11/05/2026</t>
        </is>
      </c>
      <c r="C891" t="inlineStr">
        <is>
          <t>REF. A PIX TRANSF 50.585.11/05</t>
        </is>
      </c>
      <c r="D891" s="7" t="n">
        <v>85</v>
      </c>
      <c r="E891" t="inlineStr">
        <is>
          <t>504</t>
        </is>
      </c>
      <c r="F891" t="inlineStr">
        <is>
          <t>CLIENTES DIVERSOS</t>
        </is>
      </c>
      <c r="G891" s="2" t="inlineStr">
        <is>
          <t>504</t>
        </is>
      </c>
      <c r="H891">
        <f>IFERROR(VLOOKUP(G891&amp;"",PLANO!A:B,2,FALSE),"CONTA NAO EXISTE NO PLANO")</f>
        <v/>
      </c>
      <c r="I891" t="inlineStr">
        <is>
          <t>504</t>
        </is>
      </c>
      <c r="J891" t="inlineStr">
        <is>
          <t>SEM COSMOS</t>
        </is>
      </c>
      <c r="K891" t="inlineStr"/>
      <c r="L891" t="inlineStr"/>
      <c r="M891" t="inlineStr">
        <is>
          <t>PIX TRANSF 50.585.11/05</t>
        </is>
      </c>
    </row>
    <row r="892">
      <c r="A892" t="n">
        <v>891</v>
      </c>
      <c r="B892" t="inlineStr">
        <is>
          <t>11/05/2026</t>
        </is>
      </c>
      <c r="C892" t="inlineStr">
        <is>
          <t>REF A SISPAG PIX QR-CODE - FLASH TECNOLOGIA E INSTITUICAO DE PAGAMENTO LTDA PGTO REF.CREDITO VALE ALIMENTAÇÃO CONF.CCT2025-2026</t>
        </is>
      </c>
      <c r="D892" s="7" t="n">
        <v>-7215</v>
      </c>
      <c r="E892" t="inlineStr">
        <is>
          <t>659</t>
        </is>
      </c>
      <c r="F892" t="inlineStr">
        <is>
          <t>VA / VR</t>
        </is>
      </c>
      <c r="G892" s="2" t="inlineStr">
        <is>
          <t>659</t>
        </is>
      </c>
      <c r="H892">
        <f>IFERROR(VLOOKUP(G892&amp;"",PLANO!A:B,2,FALSE),"CONTA NAO EXISTE NO PLANO")</f>
        <v/>
      </c>
      <c r="I892" t="inlineStr">
        <is>
          <t>659</t>
        </is>
      </c>
      <c r="J892" t="inlineStr">
        <is>
          <t>OK</t>
        </is>
      </c>
      <c r="K892" t="inlineStr">
        <is>
          <t>categoria Cosmos 93</t>
        </is>
      </c>
      <c r="L892" t="inlineStr">
        <is>
          <t>FLASH TECNOLOGIA E INSTITUICAO DE PAGAMENTO LTDA | 115/93 | PGTO REF.CREDITO VALE ALIMENTAÇÃO CONF.CCT 2025-2026</t>
        </is>
      </c>
      <c r="M892" t="inlineStr">
        <is>
          <t>FLASH TECNOLOGIA E INSTITUICAO DE PAGAMENTO LTDA - PGTO REF.CREDITO VALE ALIMENTAÇÃO CONF.CCT 2025-2026</t>
        </is>
      </c>
    </row>
    <row r="893">
      <c r="A893" s="11" t="n">
        <v>892</v>
      </c>
      <c r="B893" s="11" t="inlineStr">
        <is>
          <t>11/05/2026</t>
        </is>
      </c>
      <c r="C893" s="11" t="inlineStr">
        <is>
          <t>REF. A PIX ENVIADO CLAUDIA APAR</t>
        </is>
      </c>
      <c r="D893" s="12" t="n">
        <v>-1177.4</v>
      </c>
      <c r="E893" s="11" t="inlineStr">
        <is>
          <t>362</t>
        </is>
      </c>
      <c r="F893" s="11" t="inlineStr">
        <is>
          <t>SERVIÇOS PRESTADOS POR TERCEIROS</t>
        </is>
      </c>
      <c r="G893" s="13" t="inlineStr">
        <is>
          <t>362</t>
        </is>
      </c>
      <c r="H893" s="11">
        <f>IFERROR(VLOOKUP(G893&amp;"",PLANO!A:B,2,FALSE),"CONTA NAO EXISTE NO PLANO")</f>
        <v/>
      </c>
      <c r="I893" s="11" t="inlineStr">
        <is>
          <t>362</t>
        </is>
      </c>
      <c r="J893" s="11" t="inlineStr">
        <is>
          <t>MANTIDO</t>
        </is>
      </c>
      <c r="K893" s="11" t="inlineStr">
        <is>
          <t>ST s/ NFe | mantida a conta atual (sem informacao que justifique troca)</t>
        </is>
      </c>
      <c r="L893" s="11" t="inlineStr">
        <is>
          <t>CLAUDIA APARECIDA RUBIN | 115/62 | PGTO REF.ST S/NFE</t>
        </is>
      </c>
      <c r="M893" s="11" t="inlineStr">
        <is>
          <t>CLAUDIA APARECIDA RUBIN - PGTO REF.ST S/NFE</t>
        </is>
      </c>
    </row>
    <row r="894">
      <c r="A894" s="4" t="n">
        <v>893</v>
      </c>
      <c r="B894" s="4" t="inlineStr">
        <is>
          <t>11/05/2026</t>
        </is>
      </c>
      <c r="C894" s="4" t="inlineStr">
        <is>
          <t>REF. A PIX ENVIADO PROTECTION ASSESSORIA EMPRESARIAL LTDA PGTO REF.SERVIÇOS PRESTADOS DE CONTABILIDADE DASEMPRESAS: COSMETICI, COSMETICON, FVS E GULA</t>
        </is>
      </c>
      <c r="D894" s="5" t="n">
        <v>-1000</v>
      </c>
      <c r="E894" s="4" t="inlineStr">
        <is>
          <t>361</t>
        </is>
      </c>
      <c r="F894" s="4" t="inlineStr">
        <is>
          <t>ASSISTÊNCIA CONTÁBIL</t>
        </is>
      </c>
      <c r="G894" s="6" t="inlineStr">
        <is>
          <t>361</t>
        </is>
      </c>
      <c r="H894" s="4">
        <f>IFERROR(VLOOKUP(G894&amp;"",PLANO!A:B,2,FALSE),"CONTA NAO EXISTE NO PLANO")</f>
        <v/>
      </c>
      <c r="I894" s="4" t="inlineStr">
        <is>
          <t>663</t>
        </is>
      </c>
      <c r="J894" s="4" t="inlineStr">
        <is>
          <t>AJUSTADO</t>
        </is>
      </c>
      <c r="K894" s="4" t="inlineStr">
        <is>
          <t>honorarios contabeis (Protection)</t>
        </is>
      </c>
      <c r="L894" s="4" t="inlineStr">
        <is>
          <t>PROTECTION ASSESSORIA EMPRESARIAL LTDA | 115/45 | PGTO REF.SERVIÇOS PRESTADOS DE CONTABILIDADE DAS EMPRESAS: COSMETICI, COSMETICON, FVS E GULA</t>
        </is>
      </c>
      <c r="M894" s="4" t="inlineStr">
        <is>
          <t>PROTECTION ASSESSORIA EMPRESARIAL LTDA - PGTO REF.SERVIÇOS PRESTADOS DE CONTABILIDADE DAS EMPRESAS: COSMETICI, COSMETICON</t>
        </is>
      </c>
    </row>
    <row r="895">
      <c r="A895" t="n">
        <v>894</v>
      </c>
      <c r="B895" t="inlineStr">
        <is>
          <t>11/05/2026</t>
        </is>
      </c>
      <c r="C895" t="inlineStr">
        <is>
          <t>REF A PIX ENVIADO JOELMA APARECIDA NASCIMENTO LUDOVIC PGTO REF.SERVIÇOS PRESTADO CONF.CONTRATO 02-2026</t>
        </is>
      </c>
      <c r="D895" s="7" t="n">
        <v>-1000</v>
      </c>
      <c r="E895" t="inlineStr">
        <is>
          <t>362</t>
        </is>
      </c>
      <c r="F895" t="inlineStr">
        <is>
          <t>SERVIÇOS PRESTADOS POR TERCEIROS</t>
        </is>
      </c>
      <c r="G895" s="2" t="inlineStr">
        <is>
          <t>362</t>
        </is>
      </c>
      <c r="H895">
        <f>IFERROR(VLOOKUP(G895&amp;"",PLANO!A:B,2,FALSE),"CONTA NAO EXISTE NO PLANO")</f>
        <v/>
      </c>
      <c r="I895" t="inlineStr">
        <is>
          <t>362</t>
        </is>
      </c>
      <c r="J895" t="inlineStr">
        <is>
          <t>OK</t>
        </is>
      </c>
      <c r="K895" t="inlineStr">
        <is>
          <t>servico prestado</t>
        </is>
      </c>
      <c r="L895" t="inlineStr">
        <is>
          <t>JOELMA APARECIDA NASCIMENTO LUDOVIC | 115/171 | PGTO REF.SERVIÇOS PRESTADO CONF.CONTRATO 02-2026</t>
        </is>
      </c>
      <c r="M895" t="inlineStr">
        <is>
          <t>JOELMA APARECIDA NASCIMENTO LUDOVIC - PGTO REF.SERVIÇOS PRESTADO CONF.CONTRATO 02-2026</t>
        </is>
      </c>
    </row>
    <row r="896">
      <c r="A896" s="11" t="n">
        <v>895</v>
      </c>
      <c r="B896" s="11" t="inlineStr">
        <is>
          <t>11/05/2026</t>
        </is>
      </c>
      <c r="C896" s="11" t="inlineStr">
        <is>
          <t>REF. A PIX ENVIADO CARLOS ALEXANDRE MAZZONI PGTO REF.PRO-LABORE</t>
        </is>
      </c>
      <c r="D896" s="12" t="n">
        <v>-600</v>
      </c>
      <c r="E896" s="11" t="inlineStr">
        <is>
          <t>362</t>
        </is>
      </c>
      <c r="F896" s="11" t="inlineStr">
        <is>
          <t>SERVIÇOS PRESTADOS POR TERCEIROS</t>
        </is>
      </c>
      <c r="G896" s="13" t="inlineStr">
        <is>
          <t>362</t>
        </is>
      </c>
      <c r="H896" s="11">
        <f>IFERROR(VLOOKUP(G896&amp;"",PLANO!A:B,2,FALSE),"CONTA NAO EXISTE NO PLANO")</f>
        <v/>
      </c>
      <c r="I896" s="11" t="inlineStr">
        <is>
          <t>362</t>
        </is>
      </c>
      <c r="J896" s="11" t="inlineStr">
        <is>
          <t>MANTIDO</t>
        </is>
      </c>
      <c r="K896" s="11" t="inlineStr">
        <is>
          <t>socios Mazzoni (fora do contrato social) - mantido como estava</t>
        </is>
      </c>
      <c r="L896" s="11" t="inlineStr">
        <is>
          <t>CARLOS ALEXANDRE MAZZONI | 115/33 | PGTO REF.PRO-LABORE</t>
        </is>
      </c>
      <c r="M896" s="11" t="inlineStr">
        <is>
          <t>CARLOS ALEXANDRE MAZZONI - PGTO REF.PRO-LABORE</t>
        </is>
      </c>
    </row>
    <row r="897">
      <c r="A897" s="4" t="n">
        <v>896</v>
      </c>
      <c r="B897" s="4" t="inlineStr">
        <is>
          <t>11/05/2026</t>
        </is>
      </c>
      <c r="C897" s="4" t="inlineStr">
        <is>
          <t>REF A PIX ENVIADO JANAINA PERE - JANAINA PEREIRA ELIAS PGTO REF.COMISSÕES S/VENDAS</t>
        </is>
      </c>
      <c r="D897" s="5" t="n">
        <v>-1000</v>
      </c>
      <c r="E897" s="4" t="inlineStr">
        <is>
          <t>362</t>
        </is>
      </c>
      <c r="F897" s="4" t="inlineStr">
        <is>
          <t>SERVIÇOS PRESTADOS POR TERCEIROS</t>
        </is>
      </c>
      <c r="G897" s="6" t="inlineStr">
        <is>
          <t>308</t>
        </is>
      </c>
      <c r="H897" s="4">
        <f>IFERROR(VLOOKUP(G897&amp;"",PLANO!A:B,2,FALSE),"CONTA NAO EXISTE NO PLANO")</f>
        <v/>
      </c>
      <c r="I897" s="4" t="inlineStr">
        <is>
          <t>362</t>
        </is>
      </c>
      <c r="J897" s="4" t="inlineStr">
        <is>
          <t>AJUSTADO</t>
        </is>
      </c>
      <c r="K897" s="4" t="inlineStr">
        <is>
          <t>comissao sobre vendas -&gt; 308 COMISSOES (conta existente no plano)</t>
        </is>
      </c>
      <c r="L897" s="4" t="inlineStr">
        <is>
          <t>JANAINA PEREIRA ELIAS 08802647992 | 115/53 | PGTO REF.COMISSÕES S/VENDAS</t>
        </is>
      </c>
      <c r="M897" s="4" t="inlineStr">
        <is>
          <t>JANAINA PEREIRA ELIAS 08802647992 - PGTO REF.COMISSÕES S/VENDAS</t>
        </is>
      </c>
    </row>
    <row r="898">
      <c r="A898" s="8" t="n">
        <v>897</v>
      </c>
      <c r="B898" s="8" t="inlineStr">
        <is>
          <t>11/05/2026</t>
        </is>
      </c>
      <c r="C898" s="8" t="inlineStr">
        <is>
          <t>REF. A PIX ENVIADO MARCIO ANTONIO RUSSO PGTO REF.SERVIÇOS PRESTADOS CONF.CONTRATO</t>
        </is>
      </c>
      <c r="D898" s="9" t="n">
        <v>-1000</v>
      </c>
      <c r="E898" s="8" t="inlineStr">
        <is>
          <t>493</t>
        </is>
      </c>
      <c r="F898" s="8" t="inlineStr">
        <is>
          <t>DESPESAS DIVERSAS</t>
        </is>
      </c>
      <c r="G898" s="10" t="inlineStr">
        <is>
          <t>362</t>
        </is>
      </c>
      <c r="H898" s="8">
        <f>IFERROR(VLOOKUP(G898&amp;"",PLANO!A:B,2,FALSE),"CONTA NAO EXISTE NO PLANO")</f>
        <v/>
      </c>
      <c r="I898" s="8" t="inlineStr">
        <is>
          <t>362</t>
        </is>
      </c>
      <c r="J898" s="8" t="inlineStr">
        <is>
          <t>CORRIGIR</t>
        </is>
      </c>
      <c r="K898" s="8" t="inlineStr">
        <is>
          <t>Cosmos: servicos prestados/comissao (nao e folha/adiantamento)</t>
        </is>
      </c>
      <c r="L898" s="8" t="inlineStr">
        <is>
          <t>MARCIO ANTONIO RUSSO 64538427934 | 115/81 | PGTO REF.SERVIÇOS PRESTADOS CONF.CONTRATO</t>
        </is>
      </c>
      <c r="M898" s="8" t="inlineStr">
        <is>
          <t>MARCIO ANTONIO RUSSO 64538427934 - PGTO REF.SERVIÇOS PRESTADOS CONF.CONTRATO</t>
        </is>
      </c>
    </row>
    <row r="899">
      <c r="A899" t="n">
        <v>898</v>
      </c>
      <c r="B899" t="inlineStr">
        <is>
          <t>11/05/2026</t>
        </is>
      </c>
      <c r="C899" t="inlineStr">
        <is>
          <t>REF. A BOLETO PAGO MHLOG LOGIST - MHLOG LOGISTICA E TRANSPORTE LTDA PAG REF A FRETE SOBRE VENDAS NF 8024</t>
        </is>
      </c>
      <c r="D899" s="7" t="n">
        <v>-295.22</v>
      </c>
      <c r="E899" t="inlineStr">
        <is>
          <t>312</t>
        </is>
      </c>
      <c r="F899" t="inlineStr">
        <is>
          <t>FRETES E CARRETOS</t>
        </is>
      </c>
      <c r="G899" s="2" t="inlineStr">
        <is>
          <t>312</t>
        </is>
      </c>
      <c r="H899">
        <f>IFERROR(VLOOKUP(G899&amp;"",PLANO!A:B,2,FALSE),"CONTA NAO EXISTE NO PLANO")</f>
        <v/>
      </c>
      <c r="I899" t="inlineStr">
        <is>
          <t>312</t>
        </is>
      </c>
      <c r="J899" t="inlineStr">
        <is>
          <t>OK</t>
        </is>
      </c>
      <c r="K899" t="inlineStr">
        <is>
          <t>categoria Cosmos 97</t>
        </is>
      </c>
      <c r="L899" t="inlineStr">
        <is>
          <t>MHLOG LOGISTICA E TRANSPORTE LTDA | 115/97 | PAG REF A FRETE SOBRE VENDAS NF 8024</t>
        </is>
      </c>
      <c r="M899" t="inlineStr">
        <is>
          <t>MHLOG LOGISTICA E TRANSPORTE LTDA - PAG REF A FRETE SOBRE VENDAS NF 8024</t>
        </is>
      </c>
    </row>
    <row r="900">
      <c r="A900" t="n">
        <v>899</v>
      </c>
      <c r="B900" t="inlineStr">
        <is>
          <t>11/05/2026</t>
        </is>
      </c>
      <c r="C900" t="inlineStr">
        <is>
          <t>REF. A BOLETO PAGO LOVIZ ENTRET - LOVIZ ENTRETENIMENTO E TELECOMUNICACOES LTDA PGTO REF.INTERNET 10 GIGA</t>
        </is>
      </c>
      <c r="D900" s="7" t="n">
        <v>-199.99</v>
      </c>
      <c r="E900" t="inlineStr">
        <is>
          <t>555</t>
        </is>
      </c>
      <c r="F900" t="inlineStr">
        <is>
          <t>INTERNET</t>
        </is>
      </c>
      <c r="G900" s="2" t="inlineStr">
        <is>
          <t>555</t>
        </is>
      </c>
      <c r="H900">
        <f>IFERROR(VLOOKUP(G900&amp;"",PLANO!A:B,2,FALSE),"CONTA NAO EXISTE NO PLANO")</f>
        <v/>
      </c>
      <c r="I900" t="inlineStr">
        <is>
          <t>555</t>
        </is>
      </c>
      <c r="J900" t="inlineStr">
        <is>
          <t>OK</t>
        </is>
      </c>
      <c r="K900" t="inlineStr">
        <is>
          <t>categoria Cosmos 14</t>
        </is>
      </c>
      <c r="L900" t="inlineStr">
        <is>
          <t>LOVIZ ENTRETENIMENTO E TELECOMUNICACOES LTDA | 115/14 | PGTO REF.INTERNET 10 GIGA</t>
        </is>
      </c>
      <c r="M900" t="inlineStr">
        <is>
          <t>LOVIZ ENTRETENIMENTO E TELECOMUNICACOES LTDA - PGTO REF.INTERNET 10 GIGA</t>
        </is>
      </c>
    </row>
    <row r="901">
      <c r="A901" t="n">
        <v>900</v>
      </c>
      <c r="B901" t="inlineStr">
        <is>
          <t>12/05/2026</t>
        </is>
      </c>
      <c r="C901" t="inlineStr">
        <is>
          <t>REF A SISPAG FRANCISCO ROSARI</t>
        </is>
      </c>
      <c r="D901" s="7" t="n">
        <v>3892.5</v>
      </c>
      <c r="E901" t="inlineStr">
        <is>
          <t>504</t>
        </is>
      </c>
      <c r="F901" t="inlineStr">
        <is>
          <t>CLIENTES DIVERSOS</t>
        </is>
      </c>
      <c r="G901" s="2" t="inlineStr">
        <is>
          <t>504</t>
        </is>
      </c>
      <c r="H901">
        <f>IFERROR(VLOOKUP(G901&amp;"",PLANO!A:B,2,FALSE),"CONTA NAO EXISTE NO PLANO")</f>
        <v/>
      </c>
      <c r="I901" t="inlineStr">
        <is>
          <t>504</t>
        </is>
      </c>
      <c r="J901" t="inlineStr">
        <is>
          <t>SEM COSMOS</t>
        </is>
      </c>
      <c r="K901" t="inlineStr"/>
      <c r="L901" t="inlineStr"/>
      <c r="M901" t="inlineStr">
        <is>
          <t>SISPAG FRANCISCO ROSARI</t>
        </is>
      </c>
    </row>
    <row r="902">
      <c r="A902" t="n">
        <v>901</v>
      </c>
      <c r="B902" t="inlineStr">
        <is>
          <t>12/05/2026</t>
        </is>
      </c>
      <c r="C902" t="inlineStr">
        <is>
          <t>REF A SISPAG O.S. SECURITIZAD</t>
        </is>
      </c>
      <c r="D902" s="7" t="n">
        <v>10955.1</v>
      </c>
      <c r="E902" t="inlineStr">
        <is>
          <t>504</t>
        </is>
      </c>
      <c r="F902" t="inlineStr">
        <is>
          <t>CLIENTES DIVERSOS</t>
        </is>
      </c>
      <c r="G902" s="2" t="inlineStr">
        <is>
          <t>504</t>
        </is>
      </c>
      <c r="H902">
        <f>IFERROR(VLOOKUP(G902&amp;"",PLANO!A:B,2,FALSE),"CONTA NAO EXISTE NO PLANO")</f>
        <v/>
      </c>
      <c r="I902" t="inlineStr">
        <is>
          <t>504</t>
        </is>
      </c>
      <c r="J902" t="inlineStr">
        <is>
          <t>SEM COSMOS</t>
        </is>
      </c>
      <c r="K902" t="inlineStr"/>
      <c r="L902" t="inlineStr"/>
      <c r="M902" t="inlineStr">
        <is>
          <t>SISPAG O.S. SECURITIZAD</t>
        </is>
      </c>
    </row>
    <row r="903">
      <c r="A903" t="n">
        <v>902</v>
      </c>
      <c r="B903" t="inlineStr">
        <is>
          <t>12/05/2026</t>
        </is>
      </c>
      <c r="C903" t="inlineStr">
        <is>
          <t>REF. A PIX TRANSF JORBELY12/05</t>
        </is>
      </c>
      <c r="D903" s="7" t="n">
        <v>4558.89</v>
      </c>
      <c r="E903" t="inlineStr">
        <is>
          <t>504</t>
        </is>
      </c>
      <c r="F903" t="inlineStr">
        <is>
          <t>CLIENTES DIVERSOS</t>
        </is>
      </c>
      <c r="G903" s="2" t="inlineStr">
        <is>
          <t>504</t>
        </is>
      </c>
      <c r="H903">
        <f>IFERROR(VLOOKUP(G903&amp;"",PLANO!A:B,2,FALSE),"CONTA NAO EXISTE NO PLANO")</f>
        <v/>
      </c>
      <c r="I903" t="inlineStr">
        <is>
          <t>504</t>
        </is>
      </c>
      <c r="J903" t="inlineStr">
        <is>
          <t>SEM COSMOS</t>
        </is>
      </c>
      <c r="K903" t="inlineStr"/>
      <c r="L903" t="inlineStr"/>
      <c r="M903" t="inlineStr">
        <is>
          <t>PIX TRANSF JORBELY12/05</t>
        </is>
      </c>
    </row>
    <row r="904">
      <c r="A904" t="n">
        <v>903</v>
      </c>
      <c r="B904" t="inlineStr">
        <is>
          <t>12/05/2026</t>
        </is>
      </c>
      <c r="C904" t="inlineStr">
        <is>
          <t>REF. A PIX TRANSF MARIA R12/05</t>
        </is>
      </c>
      <c r="D904" s="7" t="n">
        <v>176.25</v>
      </c>
      <c r="E904" t="inlineStr">
        <is>
          <t>504</t>
        </is>
      </c>
      <c r="F904" t="inlineStr">
        <is>
          <t>CLIENTES DIVERSOS</t>
        </is>
      </c>
      <c r="G904" s="2" t="inlineStr">
        <is>
          <t>504</t>
        </is>
      </c>
      <c r="H904">
        <f>IFERROR(VLOOKUP(G904&amp;"",PLANO!A:B,2,FALSE),"CONTA NAO EXISTE NO PLANO")</f>
        <v/>
      </c>
      <c r="I904" t="inlineStr">
        <is>
          <t>504</t>
        </is>
      </c>
      <c r="J904" t="inlineStr">
        <is>
          <t>SEM COSMOS</t>
        </is>
      </c>
      <c r="K904" t="inlineStr"/>
      <c r="L904" t="inlineStr"/>
      <c r="M904" t="inlineStr">
        <is>
          <t>PIX TRANSF MARIA R12/05</t>
        </is>
      </c>
    </row>
    <row r="905">
      <c r="A905" t="n">
        <v>904</v>
      </c>
      <c r="B905" t="inlineStr">
        <is>
          <t>12/05/2026</t>
        </is>
      </c>
      <c r="C905" t="inlineStr">
        <is>
          <t>REF. A REND PAGO APLIC AUT MAIS</t>
        </is>
      </c>
      <c r="D905" s="7" t="n">
        <v>0.01</v>
      </c>
      <c r="E905" t="inlineStr">
        <is>
          <t>432</t>
        </is>
      </c>
      <c r="F905" t="inlineStr">
        <is>
          <t>RENDIMENTOS DE APLICAÇÕES</t>
        </is>
      </c>
      <c r="G905" s="2" t="inlineStr">
        <is>
          <t>432</t>
        </is>
      </c>
      <c r="H905">
        <f>IFERROR(VLOOKUP(G905&amp;"",PLANO!A:B,2,FALSE),"CONTA NAO EXISTE NO PLANO")</f>
        <v/>
      </c>
      <c r="I905" t="inlineStr">
        <is>
          <t>432</t>
        </is>
      </c>
      <c r="J905" t="inlineStr">
        <is>
          <t>SEM COSMOS</t>
        </is>
      </c>
      <c r="K905" t="inlineStr"/>
      <c r="L905" t="inlineStr"/>
      <c r="M905" t="inlineStr">
        <is>
          <t>REND PAGO APLIC AUT MAIS</t>
        </is>
      </c>
    </row>
    <row r="906">
      <c r="A906" s="11" t="n">
        <v>905</v>
      </c>
      <c r="B906" s="11" t="inlineStr">
        <is>
          <t>12/05/2026</t>
        </is>
      </c>
      <c r="C906" s="11" t="inlineStr">
        <is>
          <t>REF A SISPAG PIX QR-CODE - CARLOS ALEXANDRE MAZZONIPGTO REF.PRO-LABORE</t>
        </is>
      </c>
      <c r="D906" s="12" t="n">
        <v>-499</v>
      </c>
      <c r="E906" s="11" t="inlineStr">
        <is>
          <t>362</t>
        </is>
      </c>
      <c r="F906" s="11" t="inlineStr">
        <is>
          <t>SERVIÇOS PRESTADOS POR TERCEIROS</t>
        </is>
      </c>
      <c r="G906" s="13" t="inlineStr">
        <is>
          <t>362</t>
        </is>
      </c>
      <c r="H906" s="11">
        <f>IFERROR(VLOOKUP(G906&amp;"",PLANO!A:B,2,FALSE),"CONTA NAO EXISTE NO PLANO")</f>
        <v/>
      </c>
      <c r="I906" s="11" t="inlineStr">
        <is>
          <t>362</t>
        </is>
      </c>
      <c r="J906" s="11" t="inlineStr">
        <is>
          <t>MANTIDO</t>
        </is>
      </c>
      <c r="K906" s="11" t="inlineStr">
        <is>
          <t>socios Mazzoni (fora do contrato social) - mantido como estava</t>
        </is>
      </c>
      <c r="L906" s="11" t="inlineStr">
        <is>
          <t>CARLOS ALEXANDRE MAZZONI | 115/33 | PGTO REF.PRO-LABORE</t>
        </is>
      </c>
      <c r="M906" s="11" t="inlineStr">
        <is>
          <t>CARLOS ALEXANDRE MAZZONI - PGTO REF.PRO-LABORE</t>
        </is>
      </c>
    </row>
    <row r="907">
      <c r="A907" s="4" t="n">
        <v>906</v>
      </c>
      <c r="B907" s="4" t="inlineStr">
        <is>
          <t>12/05/2026</t>
        </is>
      </c>
      <c r="C907" s="4" t="inlineStr">
        <is>
          <t>REF. A PIX ENVIADO PROTECTION ASSESSORIA EMPRESARIAL LTDA PGTO REF.SERVIÇOS PRESTADOS DE CONTABILIDADE DASEMPRESAS: COSMETICI, COSMETICON, FVS E GULA</t>
        </is>
      </c>
      <c r="D907" s="5" t="n">
        <v>-1000</v>
      </c>
      <c r="E907" s="4" t="inlineStr">
        <is>
          <t>361</t>
        </is>
      </c>
      <c r="F907" s="4" t="inlineStr">
        <is>
          <t>ASSISTÊNCIA CONTÁBIL</t>
        </is>
      </c>
      <c r="G907" s="6" t="inlineStr">
        <is>
          <t>361</t>
        </is>
      </c>
      <c r="H907" s="4">
        <f>IFERROR(VLOOKUP(G907&amp;"",PLANO!A:B,2,FALSE),"CONTA NAO EXISTE NO PLANO")</f>
        <v/>
      </c>
      <c r="I907" s="4" t="inlineStr">
        <is>
          <t>663</t>
        </is>
      </c>
      <c r="J907" s="4" t="inlineStr">
        <is>
          <t>AJUSTADO</t>
        </is>
      </c>
      <c r="K907" s="4" t="inlineStr">
        <is>
          <t>honorarios contabeis (Protection)</t>
        </is>
      </c>
      <c r="L907" s="4" t="inlineStr">
        <is>
          <t>PROTECTION ASSESSORIA EMPRESARIAL LTDA | 115/45 | PGTO REF.SERVIÇOS PRESTADOS DE CONTABILIDADE DAS EMPRESAS: COSMETICI, COSMETICON, FVS E GULA</t>
        </is>
      </c>
      <c r="M907" s="4" t="inlineStr">
        <is>
          <t>PROTECTION ASSESSORIA EMPRESARIAL LTDA - PGTO REF.SERVIÇOS PRESTADOS DE CONTABILIDADE DAS EMPRESAS: COSMETICI, COSMETICON</t>
        </is>
      </c>
    </row>
    <row r="908">
      <c r="A908" s="8" t="n">
        <v>907</v>
      </c>
      <c r="B908" s="8" t="inlineStr">
        <is>
          <t>12/05/2026</t>
        </is>
      </c>
      <c r="C908" s="8" t="inlineStr">
        <is>
          <t>REF. A PIX ENVIADO MARCIO ANTONIO RUSSO 64538427934 PGTO REF.SERVIÇOS PRESTADOS CONF.CONTRATO</t>
        </is>
      </c>
      <c r="D908" s="9" t="n">
        <v>-1000</v>
      </c>
      <c r="E908" s="8" t="inlineStr">
        <is>
          <t>493</t>
        </is>
      </c>
      <c r="F908" s="8" t="inlineStr">
        <is>
          <t>DESPESAS DIVERSAS</t>
        </is>
      </c>
      <c r="G908" s="10" t="inlineStr">
        <is>
          <t>362</t>
        </is>
      </c>
      <c r="H908" s="8">
        <f>IFERROR(VLOOKUP(G908&amp;"",PLANO!A:B,2,FALSE),"CONTA NAO EXISTE NO PLANO")</f>
        <v/>
      </c>
      <c r="I908" s="8" t="inlineStr">
        <is>
          <t>362</t>
        </is>
      </c>
      <c r="J908" s="8" t="inlineStr">
        <is>
          <t>CORRIGIR</t>
        </is>
      </c>
      <c r="K908" s="8" t="inlineStr">
        <is>
          <t>Cosmos: servicos prestados/comissao (nao e folha/adiantamento)</t>
        </is>
      </c>
      <c r="L908" s="8" t="inlineStr">
        <is>
          <t>MARCIO ANTONIO RUSSO 64538427934 | 115/81 | PGTO REF.SERVIÇOS PRESTADOS CONF.CONTRATO</t>
        </is>
      </c>
      <c r="M908" s="8" t="inlineStr">
        <is>
          <t>MARCIO ANTONIO RUSSO 64538427934 - PGTO REF.SERVIÇOS PRESTADOS CONF.CONTRATO</t>
        </is>
      </c>
    </row>
    <row r="909">
      <c r="A909" t="n">
        <v>908</v>
      </c>
      <c r="B909" t="inlineStr">
        <is>
          <t>12/05/2026</t>
        </is>
      </c>
      <c r="C909" t="inlineStr">
        <is>
          <t>REF. A PIX ENVIADO LUIZ HENRIQU</t>
        </is>
      </c>
      <c r="D909" s="7" t="n">
        <v>-1000</v>
      </c>
      <c r="E909" t="inlineStr">
        <is>
          <t>187</t>
        </is>
      </c>
      <c r="F909" t="inlineStr">
        <is>
          <t>SALÁRIOS E ORDENADOS A PAGAR</t>
        </is>
      </c>
      <c r="G909" s="2" t="inlineStr">
        <is>
          <t>187</t>
        </is>
      </c>
      <c r="H909">
        <f>IFERROR(VLOOKUP(G909&amp;"",PLANO!A:B,2,FALSE),"CONTA NAO EXISTE NO PLANO")</f>
        <v/>
      </c>
      <c r="I909" t="inlineStr">
        <is>
          <t>187</t>
        </is>
      </c>
      <c r="J909" t="inlineStr">
        <is>
          <t>SEM COSMOS</t>
        </is>
      </c>
      <c r="K909" t="inlineStr"/>
      <c r="L909" t="inlineStr"/>
      <c r="M909" t="inlineStr">
        <is>
          <t>PIX ENVIADO LUIZ HENRIQU</t>
        </is>
      </c>
    </row>
    <row r="910">
      <c r="A910" t="n">
        <v>909</v>
      </c>
      <c r="B910" t="inlineStr">
        <is>
          <t>12/05/2026</t>
        </is>
      </c>
      <c r="C910" t="inlineStr">
        <is>
          <t>PIX ENVIADO SUZAN CRISTINA ROSSI PGTO REF.SERVIÇOS PRESTADOS CONF.CONTRATO</t>
        </is>
      </c>
      <c r="D910" s="7" t="n">
        <v>-1000</v>
      </c>
      <c r="E910" t="inlineStr">
        <is>
          <t>362</t>
        </is>
      </c>
      <c r="F910" t="inlineStr">
        <is>
          <t>SERVIÇOS PRESTADOS POR TERCEIROS</t>
        </is>
      </c>
      <c r="G910" s="2" t="inlineStr">
        <is>
          <t>362</t>
        </is>
      </c>
      <c r="H910">
        <f>IFERROR(VLOOKUP(G910&amp;"",PLANO!A:B,2,FALSE),"CONTA NAO EXISTE NO PLANO")</f>
        <v/>
      </c>
      <c r="I910" t="inlineStr">
        <is>
          <t>362</t>
        </is>
      </c>
      <c r="J910" t="inlineStr">
        <is>
          <t>OK</t>
        </is>
      </c>
      <c r="K910" t="inlineStr">
        <is>
          <t>servico prestado</t>
        </is>
      </c>
      <c r="L910" t="inlineStr">
        <is>
          <t>SUZAN CRISTINA ROSSI | 115/81 | PGTO REF.SERVIÇOS PRESTADOS CONF.CONTRATO</t>
        </is>
      </c>
      <c r="M910" t="inlineStr">
        <is>
          <t>SUZAN CRISTINA ROSSI - PGTO REF.SERVIÇOS PRESTADOS CONF.CONTRATO</t>
        </is>
      </c>
    </row>
    <row r="911">
      <c r="A911" s="8" t="n">
        <v>910</v>
      </c>
      <c r="B911" s="8" t="inlineStr">
        <is>
          <t>12/05/2026</t>
        </is>
      </c>
      <c r="C911" s="8" t="inlineStr">
        <is>
          <t>REF A PIX ENVIADO ISAIAS PREST - DECORAR COMERCIO E PRESTACAO DE SERVICOS LTDA PGTO REF.SERVIÇOS PRESADOS</t>
        </is>
      </c>
      <c r="D911" s="9" t="n">
        <v>-950</v>
      </c>
      <c r="E911" s="8" t="inlineStr">
        <is>
          <t>493</t>
        </is>
      </c>
      <c r="F911" s="8" t="inlineStr">
        <is>
          <t>DESPESAS DIVERSAS</t>
        </is>
      </c>
      <c r="G911" s="10" t="inlineStr">
        <is>
          <t>362</t>
        </is>
      </c>
      <c r="H911" s="8">
        <f>IFERROR(VLOOKUP(G911&amp;"",PLANO!A:B,2,FALSE),"CONTA NAO EXISTE NO PLANO")</f>
        <v/>
      </c>
      <c r="I911" s="8" t="inlineStr">
        <is>
          <t>362</t>
        </is>
      </c>
      <c r="J911" s="8" t="inlineStr">
        <is>
          <t>CORRIGIR</t>
        </is>
      </c>
      <c r="K911" s="8" t="inlineStr">
        <is>
          <t>Cosmos: servicos prestados/comissao (nao e folha/adiantamento)</t>
        </is>
      </c>
      <c r="L911" s="8" t="inlineStr">
        <is>
          <t>DECORAR COMERCIO E PRESTACAO DE SERVICOS LTDA | 115/81 | PGTO REF.SERVIÇOS PRESADOS</t>
        </is>
      </c>
      <c r="M911" s="8" t="inlineStr">
        <is>
          <t>DECORAR COMERCIO E PRESTACAO DE SERVICOS LTDA - PGTO REF.SERVIÇOS PRESADOS</t>
        </is>
      </c>
    </row>
    <row r="912">
      <c r="A912" s="4" t="n">
        <v>911</v>
      </c>
      <c r="B912" s="4" t="inlineStr">
        <is>
          <t>12/05/2026</t>
        </is>
      </c>
      <c r="C912" s="4" t="inlineStr">
        <is>
          <t>REF. A PIX ENVIADO COSMETICON C - OUTRAS SAIDAS</t>
        </is>
      </c>
      <c r="D912" s="5" t="n">
        <v>-2000</v>
      </c>
      <c r="E912" s="4" t="inlineStr">
        <is>
          <t>664</t>
        </is>
      </c>
      <c r="F912" s="4" t="inlineStr">
        <is>
          <t>COSMETICON COMERCIO DE COSMETICOS LTDA</t>
        </is>
      </c>
      <c r="G912" s="6" t="inlineStr">
        <is>
          <t>663</t>
        </is>
      </c>
      <c r="H912" s="4">
        <f>IFERROR(VLOOKUP(G912&amp;"",PLANO!A:B,2,FALSE),"CONTA NAO EXISTE NO PLANO")</f>
        <v/>
      </c>
      <c r="I912" s="4" t="inlineStr">
        <is>
          <t>663</t>
        </is>
      </c>
      <c r="J912" s="4" t="inlineStr">
        <is>
          <t>AJUSTADO</t>
        </is>
      </c>
      <c r="K912" s="4" t="inlineStr">
        <is>
          <t>COSMETICON - conta-corrente unica de mutuo (663)</t>
        </is>
      </c>
      <c r="L912" s="4" t="inlineStr">
        <is>
          <t xml:space="preserve">OUTRAS SAIDAS | 123/1 | </t>
        </is>
      </c>
      <c r="M912" s="4" t="inlineStr">
        <is>
          <t>PIX ENVIADO COSMETICON C - OUTRAS SAIDAS</t>
        </is>
      </c>
    </row>
    <row r="913">
      <c r="A913" s="4" t="n">
        <v>912</v>
      </c>
      <c r="B913" s="4" t="inlineStr">
        <is>
          <t>12/05/2026</t>
        </is>
      </c>
      <c r="C913" s="4" t="inlineStr">
        <is>
          <t>REF. A PIX ENVIADO RICARDO RICCI PGTO REF.COMISSÃO S/VENDAS</t>
        </is>
      </c>
      <c r="D913" s="5" t="n">
        <v>-1000</v>
      </c>
      <c r="E913" s="4" t="inlineStr">
        <is>
          <t>362</t>
        </is>
      </c>
      <c r="F913" s="4" t="inlineStr">
        <is>
          <t>SERVIÇOS PRESTADOS POR TERCEIROS</t>
        </is>
      </c>
      <c r="G913" s="6" t="inlineStr">
        <is>
          <t>308</t>
        </is>
      </c>
      <c r="H913" s="4">
        <f>IFERROR(VLOOKUP(G913&amp;"",PLANO!A:B,2,FALSE),"CONTA NAO EXISTE NO PLANO")</f>
        <v/>
      </c>
      <c r="I913" s="4" t="inlineStr">
        <is>
          <t>362</t>
        </is>
      </c>
      <c r="J913" s="4" t="inlineStr">
        <is>
          <t>AJUSTADO</t>
        </is>
      </c>
      <c r="K913" s="4" t="inlineStr">
        <is>
          <t>comissao sobre vendas -&gt; 308 COMISSOES (conta existente no plano)</t>
        </is>
      </c>
      <c r="L913" s="4" t="inlineStr">
        <is>
          <t>RICARDO RICCI | 115/53 | PGTO REF.COMISSÃO S/VENDAS</t>
        </is>
      </c>
      <c r="M913" s="4" t="inlineStr">
        <is>
          <t>RICARDO RICCI - PGTO REF.COMISSÃO S/VENDAS</t>
        </is>
      </c>
    </row>
    <row r="914">
      <c r="A914" t="n">
        <v>913</v>
      </c>
      <c r="B914" t="inlineStr">
        <is>
          <t>12/05/2026</t>
        </is>
      </c>
      <c r="C914" t="inlineStr">
        <is>
          <t>REF. A PIX ENVIADO CLAUDIA APAR</t>
        </is>
      </c>
      <c r="D914" s="7" t="n">
        <v>-1000</v>
      </c>
      <c r="E914" t="inlineStr">
        <is>
          <t>362</t>
        </is>
      </c>
      <c r="F914" t="inlineStr">
        <is>
          <t>SERVIÇOS PRESTADOS POR TERCEIROS</t>
        </is>
      </c>
      <c r="G914" s="2" t="inlineStr">
        <is>
          <t>362</t>
        </is>
      </c>
      <c r="H914">
        <f>IFERROR(VLOOKUP(G914&amp;"",PLANO!A:B,2,FALSE),"CONTA NAO EXISTE NO PLANO")</f>
        <v/>
      </c>
      <c r="I914" t="inlineStr">
        <is>
          <t>362</t>
        </is>
      </c>
      <c r="J914" t="inlineStr">
        <is>
          <t>SEM COSMOS</t>
        </is>
      </c>
      <c r="K914" t="inlineStr"/>
      <c r="L914" t="inlineStr"/>
      <c r="M914" t="inlineStr">
        <is>
          <t>PIX ENVIADO CLAUDIA APAR</t>
        </is>
      </c>
    </row>
    <row r="915">
      <c r="A915" t="n">
        <v>914</v>
      </c>
      <c r="B915" t="inlineStr">
        <is>
          <t>12/05/2026</t>
        </is>
      </c>
      <c r="C915" t="inlineStr">
        <is>
          <t>REF A PIX ENVIADO JOELMA APARECIDA NASCIMENTO LUDOVIC PGTO REF. PRESTAÇÃO DE SERVIÇOS CONF. CONTRATO03-2026</t>
        </is>
      </c>
      <c r="D915" s="7" t="n">
        <v>-1000</v>
      </c>
      <c r="E915" t="inlineStr">
        <is>
          <t>362</t>
        </is>
      </c>
      <c r="F915" t="inlineStr">
        <is>
          <t>SERVIÇOS PRESTADOS POR TERCEIROS</t>
        </is>
      </c>
      <c r="G915" s="2" t="inlineStr">
        <is>
          <t>362</t>
        </is>
      </c>
      <c r="H915">
        <f>IFERROR(VLOOKUP(G915&amp;"",PLANO!A:B,2,FALSE),"CONTA NAO EXISTE NO PLANO")</f>
        <v/>
      </c>
      <c r="I915" t="inlineStr">
        <is>
          <t>362</t>
        </is>
      </c>
      <c r="J915" t="inlineStr">
        <is>
          <t>OK</t>
        </is>
      </c>
      <c r="K915" t="inlineStr">
        <is>
          <t>servico prestado</t>
        </is>
      </c>
      <c r="L915" t="inlineStr">
        <is>
          <t>JOELMA APARECIDA NASCIMENTO LUDOVIC | 115/81 | PGTO REF. PRESTAÇÃO DE SERVIÇOS CONF. CONTRATO 03-2026</t>
        </is>
      </c>
      <c r="M915" t="inlineStr">
        <is>
          <t>JOELMA APARECIDA NASCIMENTO LUDOVIC - PGTO REF. PRESTAÇÃO DE SERVIÇOS CONF. CONTRATO 03-2026</t>
        </is>
      </c>
    </row>
    <row r="916">
      <c r="A916" s="4" t="n">
        <v>915</v>
      </c>
      <c r="B916" s="4" t="inlineStr">
        <is>
          <t>12/05/2026</t>
        </is>
      </c>
      <c r="C916" s="4" t="inlineStr">
        <is>
          <t>REF A PIX ENVIADO JANAINA PEREIRA ELIAS 08802647992 PGTO REF.COMISSÕES S/VENDAS</t>
        </is>
      </c>
      <c r="D916" s="5" t="n">
        <v>-1000</v>
      </c>
      <c r="E916" s="4" t="inlineStr">
        <is>
          <t>362</t>
        </is>
      </c>
      <c r="F916" s="4" t="inlineStr">
        <is>
          <t>SERVIÇOS PRESTADOS POR TERCEIROS</t>
        </is>
      </c>
      <c r="G916" s="6" t="inlineStr">
        <is>
          <t>308</t>
        </is>
      </c>
      <c r="H916" s="4">
        <f>IFERROR(VLOOKUP(G916&amp;"",PLANO!A:B,2,FALSE),"CONTA NAO EXISTE NO PLANO")</f>
        <v/>
      </c>
      <c r="I916" s="4" t="inlineStr">
        <is>
          <t>362</t>
        </is>
      </c>
      <c r="J916" s="4" t="inlineStr">
        <is>
          <t>AJUSTADO</t>
        </is>
      </c>
      <c r="K916" s="4" t="inlineStr">
        <is>
          <t>comissao sobre vendas -&gt; 308 COMISSOES (conta existente no plano)</t>
        </is>
      </c>
      <c r="L916" s="4" t="inlineStr">
        <is>
          <t>JANAINA PEREIRA ELIAS 08802647992 | 115/53 | PGTO REF.COMISSÕES S/VENDAS</t>
        </is>
      </c>
      <c r="M916" s="4" t="inlineStr">
        <is>
          <t>JANAINA PEREIRA ELIAS 08802647992 - PGTO REF.COMISSÕES S/VENDAS</t>
        </is>
      </c>
    </row>
    <row r="917">
      <c r="A917" t="n">
        <v>916</v>
      </c>
      <c r="B917" t="inlineStr">
        <is>
          <t>12/05/2026</t>
        </is>
      </c>
      <c r="C917" t="inlineStr">
        <is>
          <t>REF. A PIX ENVIADO RODONAVES TRANSPORTES E ENCOMENDAS LTDA PGTO REF.FERETE S/NFE</t>
        </is>
      </c>
      <c r="D917" s="7" t="n">
        <v>-310.92</v>
      </c>
      <c r="E917" t="inlineStr">
        <is>
          <t>312</t>
        </is>
      </c>
      <c r="F917" t="inlineStr">
        <is>
          <t>FRETES E CARRETOS</t>
        </is>
      </c>
      <c r="G917" s="2" t="inlineStr">
        <is>
          <t>312</t>
        </is>
      </c>
      <c r="H917">
        <f>IFERROR(VLOOKUP(G917&amp;"",PLANO!A:B,2,FALSE),"CONTA NAO EXISTE NO PLANO")</f>
        <v/>
      </c>
      <c r="I917" t="inlineStr">
        <is>
          <t>312</t>
        </is>
      </c>
      <c r="J917" t="inlineStr">
        <is>
          <t>SEM COSMOS</t>
        </is>
      </c>
      <c r="K917" t="inlineStr"/>
      <c r="L917" t="inlineStr"/>
      <c r="M917" t="inlineStr">
        <is>
          <t>PIX ENVIADO RODONAVES TRANSPORTES E ENCOMENDAS LTDA PGTO REF.FERETE S/NFE</t>
        </is>
      </c>
    </row>
    <row r="918">
      <c r="A918" s="4" t="n">
        <v>917</v>
      </c>
      <c r="B918" s="4" t="inlineStr">
        <is>
          <t>12/05/2026</t>
        </is>
      </c>
      <c r="C918" s="4" t="inlineStr">
        <is>
          <t>REF. A PIX ISMAEL CORDEIRO DA SILVA PGTO REF.COMISSÃO S/VENDAS</t>
        </is>
      </c>
      <c r="D918" s="5" t="n">
        <v>-1000</v>
      </c>
      <c r="E918" s="4" t="inlineStr">
        <is>
          <t>362</t>
        </is>
      </c>
      <c r="F918" s="4" t="inlineStr">
        <is>
          <t>SERVIÇOS PRESTADOS POR TERCEIROS</t>
        </is>
      </c>
      <c r="G918" s="6" t="inlineStr">
        <is>
          <t>308</t>
        </is>
      </c>
      <c r="H918" s="4">
        <f>IFERROR(VLOOKUP(G918&amp;"",PLANO!A:B,2,FALSE),"CONTA NAO EXISTE NO PLANO")</f>
        <v/>
      </c>
      <c r="I918" s="4" t="inlineStr">
        <is>
          <t>362</t>
        </is>
      </c>
      <c r="J918" s="4" t="inlineStr">
        <is>
          <t>AJUSTADO</t>
        </is>
      </c>
      <c r="K918" s="4" t="inlineStr">
        <is>
          <t>comissao sobre vendas -&gt; 308 COMISSOES (conta existente no plano)</t>
        </is>
      </c>
      <c r="L918" s="4" t="inlineStr">
        <is>
          <t>ISMAEL CORDEIRO DA SILVA | 115/53 | PGTO REF.COMISSÃO S/VENDAS</t>
        </is>
      </c>
      <c r="M918" s="4" t="inlineStr">
        <is>
          <t>ISMAEL CORDEIRO DA SILVA - PGTO REF.COMISSÃO S/VENDAS</t>
        </is>
      </c>
    </row>
    <row r="919">
      <c r="A919" t="n">
        <v>918</v>
      </c>
      <c r="B919" t="inlineStr">
        <is>
          <t>12/05/2026</t>
        </is>
      </c>
      <c r="C919" t="inlineStr">
        <is>
          <t>REF. A PIX ENVIADO THIAGO TAIT</t>
        </is>
      </c>
      <c r="D919" s="7" t="n">
        <v>-1000</v>
      </c>
      <c r="E919" t="inlineStr">
        <is>
          <t>187</t>
        </is>
      </c>
      <c r="F919" t="inlineStr">
        <is>
          <t>SALÁRIOS E ORDENADOS A PAGAR</t>
        </is>
      </c>
      <c r="G919" s="2" t="inlineStr">
        <is>
          <t>187</t>
        </is>
      </c>
      <c r="H919">
        <f>IFERROR(VLOOKUP(G919&amp;"",PLANO!A:B,2,FALSE),"CONTA NAO EXISTE NO PLANO")</f>
        <v/>
      </c>
      <c r="I919" t="inlineStr">
        <is>
          <t>187</t>
        </is>
      </c>
      <c r="J919" t="inlineStr">
        <is>
          <t>SEM COSMOS</t>
        </is>
      </c>
      <c r="K919" t="inlineStr"/>
      <c r="L919" t="inlineStr"/>
      <c r="M919" t="inlineStr">
        <is>
          <t>PIX ENVIADO THIAGO TAIT</t>
        </is>
      </c>
    </row>
    <row r="920">
      <c r="A920" t="n">
        <v>919</v>
      </c>
      <c r="B920" t="inlineStr">
        <is>
          <t>12/05/2026</t>
        </is>
      </c>
      <c r="C920" t="inlineStr">
        <is>
          <t>REF. A PIX ENVIADO SKIN LAB INDUSTRIA E COMERCIO DE COSMETICOS LTDA PAGAMENTO REFERENTE A COMPRA DE MATERIA PRIMA.POLIQUATERNIUN 47, 10KG. PPD 25KG, RESRCINOL 25KG</t>
        </is>
      </c>
      <c r="D920" s="7" t="n">
        <v>-4563.5</v>
      </c>
      <c r="E920" t="inlineStr">
        <is>
          <t>506</t>
        </is>
      </c>
      <c r="F920" t="inlineStr">
        <is>
          <t>FORNECEDORES DIVERSOS</t>
        </is>
      </c>
      <c r="G920" s="2" t="inlineStr">
        <is>
          <t>506</t>
        </is>
      </c>
      <c r="H920">
        <f>IFERROR(VLOOKUP(G920&amp;"",PLANO!A:B,2,FALSE),"CONTA NAO EXISTE NO PLANO")</f>
        <v/>
      </c>
      <c r="I920" t="inlineStr">
        <is>
          <t>506</t>
        </is>
      </c>
      <c r="J920" t="inlineStr">
        <is>
          <t>OK</t>
        </is>
      </c>
      <c r="K920" t="inlineStr">
        <is>
          <t>fornecedor com NF</t>
        </is>
      </c>
      <c r="L920" t="inlineStr">
        <is>
          <t>SKIN LAB INDUSTRIA E COMERCIO DE COSMETICOS LTDA | 115/6 | PAGAMENTO REFERENTE A COMPRA DE MATERIA PRIMA. POLIQUATERNIUN 47, 10KG. PPD 25KG, RESRCINOL 25KG</t>
        </is>
      </c>
      <c r="M920" t="inlineStr">
        <is>
          <t>SKIN LAB INDUSTRIA E COMERCIO DE COSMETICOS LTDA - PAGAMENTO REFERENTE A COMPRA DE MATERIA PRIMA. POLIQUATERNIUN 47, 10KG. PPD 25KG</t>
        </is>
      </c>
    </row>
    <row r="921">
      <c r="A921" t="n">
        <v>920</v>
      </c>
      <c r="B921" t="inlineStr">
        <is>
          <t>12/05/2026</t>
        </is>
      </c>
      <c r="C921" t="inlineStr">
        <is>
          <t>REF A PIX ENVIADO BRUNA RAMOS LEOPOLDO DA SILVA PGTO REF.SERVIÇOS PRESTADOS CONF.CONTRATO 03-2026</t>
        </is>
      </c>
      <c r="D921" s="7" t="n">
        <v>-1000</v>
      </c>
      <c r="E921" t="inlineStr">
        <is>
          <t>362</t>
        </is>
      </c>
      <c r="F921" t="inlineStr">
        <is>
          <t>SERVIÇOS PRESTADOS POR TERCEIROS</t>
        </is>
      </c>
      <c r="G921" s="2" t="inlineStr">
        <is>
          <t>362</t>
        </is>
      </c>
      <c r="H921">
        <f>IFERROR(VLOOKUP(G921&amp;"",PLANO!A:B,2,FALSE),"CONTA NAO EXISTE NO PLANO")</f>
        <v/>
      </c>
      <c r="I921" t="inlineStr">
        <is>
          <t>362</t>
        </is>
      </c>
      <c r="J921" t="inlineStr">
        <is>
          <t>OK</t>
        </is>
      </c>
      <c r="K921" t="inlineStr">
        <is>
          <t>servico prestado</t>
        </is>
      </c>
      <c r="L921" t="inlineStr">
        <is>
          <t>BRUNA RAMOS LEOPOLDO DA SILVA | 115/181 | PGTO REF.SERVIÇOS PRESTADOS CONF.CONTRATO 03-2026</t>
        </is>
      </c>
      <c r="M921" t="inlineStr">
        <is>
          <t>BRUNA RAMOS LEOPOLDO DA SILVA - PGTO REF.SERVIÇOS PRESTADOS CONF.CONTRATO 03-2026</t>
        </is>
      </c>
    </row>
    <row r="922">
      <c r="A922" s="4" t="n">
        <v>921</v>
      </c>
      <c r="B922" s="4" t="inlineStr">
        <is>
          <t>12/05/2026</t>
        </is>
      </c>
      <c r="C922" s="4" t="inlineStr">
        <is>
          <t>REF A PIX ENVIADO MARCIA CAUCA PGTO REF.COMISSÃO S/VENDAS</t>
        </is>
      </c>
      <c r="D922" s="5" t="n">
        <v>-1000</v>
      </c>
      <c r="E922" s="4" t="inlineStr">
        <is>
          <t>362</t>
        </is>
      </c>
      <c r="F922" s="4" t="inlineStr">
        <is>
          <t>SERVIÇOS PRESTADOS POR TERCEIROS</t>
        </is>
      </c>
      <c r="G922" s="6" t="inlineStr">
        <is>
          <t>308</t>
        </is>
      </c>
      <c r="H922" s="4">
        <f>IFERROR(VLOOKUP(G922&amp;"",PLANO!A:B,2,FALSE),"CONTA NAO EXISTE NO PLANO")</f>
        <v/>
      </c>
      <c r="I922" s="4" t="inlineStr">
        <is>
          <t>362</t>
        </is>
      </c>
      <c r="J922" s="4" t="inlineStr">
        <is>
          <t>AJUSTADO</t>
        </is>
      </c>
      <c r="K922" s="4" t="inlineStr">
        <is>
          <t>comissao sobre vendas -&gt; 308 COMISSOES (conta existente no plano)</t>
        </is>
      </c>
      <c r="L922" s="4" t="inlineStr">
        <is>
          <t>MARCIA CAUCA | 115/53 | PGTO REF.COMISSÃO S/VENDAS</t>
        </is>
      </c>
      <c r="M922" s="4" t="inlineStr">
        <is>
          <t>MARCIA CAUCA - PGTO REF.COMISSÃO S/VENDAS</t>
        </is>
      </c>
    </row>
    <row r="923">
      <c r="A923" s="4" t="n">
        <v>922</v>
      </c>
      <c r="B923" s="4" t="inlineStr">
        <is>
          <t>12/05/2026</t>
        </is>
      </c>
      <c r="C923" s="4" t="inlineStr">
        <is>
          <t>REF A PIX ENVIADO MARCIA DO CARMO DE BRITO PGTO REF.COMISSÃO S/VENDAS</t>
        </is>
      </c>
      <c r="D923" s="5" t="n">
        <v>-1000</v>
      </c>
      <c r="E923" s="4" t="inlineStr">
        <is>
          <t>362</t>
        </is>
      </c>
      <c r="F923" s="4" t="inlineStr">
        <is>
          <t>SERVIÇOS PRESTADOS POR TERCEIROS</t>
        </is>
      </c>
      <c r="G923" s="6" t="inlineStr">
        <is>
          <t>308</t>
        </is>
      </c>
      <c r="H923" s="4">
        <f>IFERROR(VLOOKUP(G923&amp;"",PLANO!A:B,2,FALSE),"CONTA NAO EXISTE NO PLANO")</f>
        <v/>
      </c>
      <c r="I923" s="4" t="inlineStr">
        <is>
          <t>362</t>
        </is>
      </c>
      <c r="J923" s="4" t="inlineStr">
        <is>
          <t>AJUSTADO</t>
        </is>
      </c>
      <c r="K923" s="4" t="inlineStr">
        <is>
          <t>comissao sobre vendas -&gt; 308 COMISSOES (conta existente no plano)</t>
        </is>
      </c>
      <c r="L923" s="4" t="inlineStr">
        <is>
          <t>MARCIA DO CARMO DE BRITO | 115/53 | PGTO REF.COMISSÃO S/VENDAS</t>
        </is>
      </c>
      <c r="M923" s="4" t="inlineStr">
        <is>
          <t>MARCIA DO CARMO DE BRITO - PGTO REF.COMISSÃO S/VENDAS</t>
        </is>
      </c>
    </row>
    <row r="924">
      <c r="A924" s="4" t="n">
        <v>923</v>
      </c>
      <c r="B924" s="4" t="inlineStr">
        <is>
          <t>12/05/2026</t>
        </is>
      </c>
      <c r="C924" s="4" t="inlineStr">
        <is>
          <t>REF. A BOLETO PAGO ITAU UNIBANC - MRBS ADMINISTRADORA DE BENS EIRELI PGTO REF.EMPRESTIMO DE 60.000,00 NA DATA DE18/07/2016 EM 36 PARCELAS DE R&amp; 4.000,67.</t>
        </is>
      </c>
      <c r="D924" s="5" t="n">
        <v>-4192.9</v>
      </c>
      <c r="E924" s="4" t="inlineStr">
        <is>
          <t>364</t>
        </is>
      </c>
      <c r="F924" s="4" t="inlineStr">
        <is>
          <t>DESPESAS ADMINISTRATIVAS</t>
        </is>
      </c>
      <c r="G924" s="6" t="inlineStr">
        <is>
          <t>672</t>
        </is>
      </c>
      <c r="H924" s="4">
        <f>IFERROR(VLOOKUP(G924&amp;"",PLANO!A:B,2,FALSE),"CONTA NAO EXISTE NO PLANO")</f>
        <v/>
      </c>
      <c r="I924" s="4" t="inlineStr">
        <is>
          <t>364</t>
        </is>
      </c>
      <c r="J924" s="4" t="inlineStr">
        <is>
          <t>AJUSTADO</t>
        </is>
      </c>
      <c r="K924" s="4" t="inlineStr">
        <is>
          <t>amortizacao de emprestimo de terceiros (Factoring A. Mazzoni/Selito/MRBS) - baixa passivo, nao e despesa</t>
        </is>
      </c>
      <c r="L924" s="4" t="inlineStr">
        <is>
          <t>MRBS ADMINISTRADORA DE BENS EIRELI | 115/94 | PGTO REF.EMPRESTIMO DE 60.000,00 NA DATA DE 18/07/2016 EM 36 PARCELAS DE R&amp; 4.000,67.</t>
        </is>
      </c>
      <c r="M924" s="4" t="inlineStr">
        <is>
          <t>MRBS ADMINISTRADORA DE BENS EIRELI - PGTO REF.EMPRESTIMO DE 60.000,00 NA DATA DE 18/07/2016 EM 36 PARCELAS DE R&amp; 4.00</t>
        </is>
      </c>
    </row>
    <row r="925">
      <c r="A925" t="n">
        <v>924</v>
      </c>
      <c r="B925" t="inlineStr">
        <is>
          <t>12/05/2026</t>
        </is>
      </c>
      <c r="C925" t="inlineStr">
        <is>
          <t>REF A BOLETO PAGO CLINIPAM CLI</t>
        </is>
      </c>
      <c r="D925" s="7" t="n">
        <v>-2987.86</v>
      </c>
      <c r="E925" t="inlineStr">
        <is>
          <t>653</t>
        </is>
      </c>
      <c r="F925" t="inlineStr">
        <is>
          <t>PLANO DE SAÚDE EMPREGADO</t>
        </is>
      </c>
      <c r="G925" s="2" t="inlineStr">
        <is>
          <t>653</t>
        </is>
      </c>
      <c r="H925">
        <f>IFERROR(VLOOKUP(G925&amp;"",PLANO!A:B,2,FALSE),"CONTA NAO EXISTE NO PLANO")</f>
        <v/>
      </c>
      <c r="I925" t="inlineStr">
        <is>
          <t>653</t>
        </is>
      </c>
      <c r="J925" t="inlineStr">
        <is>
          <t>SEM COSMOS</t>
        </is>
      </c>
      <c r="K925" t="inlineStr"/>
      <c r="L925" t="inlineStr"/>
      <c r="M925" t="inlineStr">
        <is>
          <t>BOLETO PAGO CLINIPAM CLI</t>
        </is>
      </c>
    </row>
    <row r="926">
      <c r="A926" t="n">
        <v>925</v>
      </c>
      <c r="B926" t="inlineStr">
        <is>
          <t>12/05/2026</t>
        </is>
      </c>
      <c r="C926" t="inlineStr">
        <is>
          <t>REF A BOLETO PAGO CLINIPAM CLI</t>
        </is>
      </c>
      <c r="D926" s="7" t="n">
        <v>-3485.84</v>
      </c>
      <c r="E926" t="inlineStr">
        <is>
          <t>653</t>
        </is>
      </c>
      <c r="F926" t="inlineStr">
        <is>
          <t>PLANO DE SAÚDE EMPREGADO</t>
        </is>
      </c>
      <c r="G926" s="2" t="inlineStr">
        <is>
          <t>653</t>
        </is>
      </c>
      <c r="H926">
        <f>IFERROR(VLOOKUP(G926&amp;"",PLANO!A:B,2,FALSE),"CONTA NAO EXISTE NO PLANO")</f>
        <v/>
      </c>
      <c r="I926" t="inlineStr">
        <is>
          <t>653</t>
        </is>
      </c>
      <c r="J926" t="inlineStr">
        <is>
          <t>SEM COSMOS</t>
        </is>
      </c>
      <c r="K926" t="inlineStr"/>
      <c r="L926" t="inlineStr"/>
      <c r="M926" t="inlineStr">
        <is>
          <t>BOLETO PAGO CLINIPAM CLI</t>
        </is>
      </c>
    </row>
    <row r="927">
      <c r="A927" s="11" t="n">
        <v>926</v>
      </c>
      <c r="B927" s="11" t="inlineStr">
        <is>
          <t>12/05/2026</t>
        </is>
      </c>
      <c r="C927" s="11" t="inlineStr">
        <is>
          <t>REF. A BOLETO PAGO INOVATI IMOV - CARLOS ALEXANDRE MAZZONI PGTO REF.PRO-LABORE</t>
        </is>
      </c>
      <c r="D927" s="12" t="n">
        <v>-2042.54</v>
      </c>
      <c r="E927" s="11" t="inlineStr">
        <is>
          <t>493</t>
        </is>
      </c>
      <c r="F927" s="11" t="inlineStr">
        <is>
          <t>DESPESAS DIVERSAS</t>
        </is>
      </c>
      <c r="G927" s="13" t="inlineStr">
        <is>
          <t>493</t>
        </is>
      </c>
      <c r="H927" s="11">
        <f>IFERROR(VLOOKUP(G927&amp;"",PLANO!A:B,2,FALSE),"CONTA NAO EXISTE NO PLANO")</f>
        <v/>
      </c>
      <c r="I927" s="11" t="inlineStr">
        <is>
          <t>493</t>
        </is>
      </c>
      <c r="J927" s="11" t="inlineStr">
        <is>
          <t>MANTIDO</t>
        </is>
      </c>
      <c r="K927" s="11" t="inlineStr">
        <is>
          <t>socios Mazzoni (fora do contrato social) - mantido como estava</t>
        </is>
      </c>
      <c r="L927" s="11" t="inlineStr">
        <is>
          <t>CARLOS ALEXANDRE MAZZONI | 115/33 | PGTO REF.PRO-LABORE</t>
        </is>
      </c>
      <c r="M927" s="11" t="inlineStr">
        <is>
          <t>CARLOS ALEXANDRE MAZZONI - PGTO REF.PRO-LABORE</t>
        </is>
      </c>
    </row>
    <row r="928">
      <c r="A928" t="n">
        <v>927</v>
      </c>
      <c r="B928" t="inlineStr">
        <is>
          <t>13/05/2026</t>
        </is>
      </c>
      <c r="C928" t="inlineStr">
        <is>
          <t>REF A SISPAG O.S. SECURITIZAD</t>
        </is>
      </c>
      <c r="D928" s="7" t="n">
        <v>19664.02</v>
      </c>
      <c r="E928" t="inlineStr">
        <is>
          <t>504</t>
        </is>
      </c>
      <c r="F928" t="inlineStr">
        <is>
          <t>CLIENTES DIVERSOS</t>
        </is>
      </c>
      <c r="G928" s="2" t="inlineStr">
        <is>
          <t>504</t>
        </is>
      </c>
      <c r="H928">
        <f>IFERROR(VLOOKUP(G928&amp;"",PLANO!A:B,2,FALSE),"CONTA NAO EXISTE NO PLANO")</f>
        <v/>
      </c>
      <c r="I928" t="inlineStr">
        <is>
          <t>504</t>
        </is>
      </c>
      <c r="J928" t="inlineStr">
        <is>
          <t>SEM COSMOS</t>
        </is>
      </c>
      <c r="K928" t="inlineStr"/>
      <c r="L928" t="inlineStr"/>
      <c r="M928" t="inlineStr">
        <is>
          <t>SISPAG O.S. SECURITIZAD</t>
        </is>
      </c>
    </row>
    <row r="929">
      <c r="A929" t="n">
        <v>928</v>
      </c>
      <c r="B929" t="inlineStr">
        <is>
          <t>13/05/2026</t>
        </is>
      </c>
      <c r="C929" t="inlineStr">
        <is>
          <t>REF A SISPAG O.S. SECURITIZAD</t>
        </is>
      </c>
      <c r="D929" s="7" t="n">
        <v>26498.15</v>
      </c>
      <c r="E929" t="inlineStr">
        <is>
          <t>504</t>
        </is>
      </c>
      <c r="F929" t="inlineStr">
        <is>
          <t>CLIENTES DIVERSOS</t>
        </is>
      </c>
      <c r="G929" s="2" t="inlineStr">
        <is>
          <t>504</t>
        </is>
      </c>
      <c r="H929">
        <f>IFERROR(VLOOKUP(G929&amp;"",PLANO!A:B,2,FALSE),"CONTA NAO EXISTE NO PLANO")</f>
        <v/>
      </c>
      <c r="I929" t="inlineStr">
        <is>
          <t>504</t>
        </is>
      </c>
      <c r="J929" t="inlineStr">
        <is>
          <t>SEM COSMOS</t>
        </is>
      </c>
      <c r="K929" t="inlineStr"/>
      <c r="L929" t="inlineStr"/>
      <c r="M929" t="inlineStr">
        <is>
          <t>SISPAG O.S. SECURITIZAD</t>
        </is>
      </c>
    </row>
    <row r="930">
      <c r="A930" t="n">
        <v>929</v>
      </c>
      <c r="B930" t="inlineStr">
        <is>
          <t>13/05/2026</t>
        </is>
      </c>
      <c r="C930" t="inlineStr">
        <is>
          <t>REF. A MOV TIT COB DISP 13/05S</t>
        </is>
      </c>
      <c r="D930" s="7" t="n">
        <v>3959.81</v>
      </c>
      <c r="E930" t="inlineStr">
        <is>
          <t>504</t>
        </is>
      </c>
      <c r="F930" t="inlineStr">
        <is>
          <t>CLIENTES DIVERSOS</t>
        </is>
      </c>
      <c r="G930" s="2" t="inlineStr">
        <is>
          <t>504</t>
        </is>
      </c>
      <c r="H930">
        <f>IFERROR(VLOOKUP(G930&amp;"",PLANO!A:B,2,FALSE),"CONTA NAO EXISTE NO PLANO")</f>
        <v/>
      </c>
      <c r="I930" t="inlineStr">
        <is>
          <t>504</t>
        </is>
      </c>
      <c r="J930" t="inlineStr">
        <is>
          <t>SEM COSMOS</t>
        </is>
      </c>
      <c r="K930" t="inlineStr"/>
      <c r="L930" t="inlineStr"/>
      <c r="M930" t="inlineStr">
        <is>
          <t>MOV TIT COB DISP 13/05S</t>
        </is>
      </c>
    </row>
    <row r="931">
      <c r="A931" t="n">
        <v>930</v>
      </c>
      <c r="B931" t="inlineStr">
        <is>
          <t>13/05/2026</t>
        </is>
      </c>
      <c r="C931" t="inlineStr">
        <is>
          <t>REF. A PIX TRANSF A F VOL13/05</t>
        </is>
      </c>
      <c r="D931" s="7" t="n">
        <v>1848</v>
      </c>
      <c r="E931" t="inlineStr">
        <is>
          <t>504</t>
        </is>
      </c>
      <c r="F931" t="inlineStr">
        <is>
          <t>CLIENTES DIVERSOS</t>
        </is>
      </c>
      <c r="G931" s="2" t="inlineStr">
        <is>
          <t>504</t>
        </is>
      </c>
      <c r="H931">
        <f>IFERROR(VLOOKUP(G931&amp;"",PLANO!A:B,2,FALSE),"CONTA NAO EXISTE NO PLANO")</f>
        <v/>
      </c>
      <c r="I931" t="inlineStr">
        <is>
          <t>504</t>
        </is>
      </c>
      <c r="J931" t="inlineStr">
        <is>
          <t>SEM COSMOS</t>
        </is>
      </c>
      <c r="K931" t="inlineStr"/>
      <c r="L931" t="inlineStr"/>
      <c r="M931" t="inlineStr">
        <is>
          <t>PIX TRANSF A F VOL13/05</t>
        </is>
      </c>
    </row>
    <row r="932">
      <c r="A932" t="n">
        <v>931</v>
      </c>
      <c r="B932" t="inlineStr">
        <is>
          <t>13/05/2026</t>
        </is>
      </c>
      <c r="C932" t="inlineStr">
        <is>
          <t>REF. A PIX TRANSF A F VOL13/05</t>
        </is>
      </c>
      <c r="D932" s="7" t="n">
        <v>2556</v>
      </c>
      <c r="E932" t="inlineStr">
        <is>
          <t>504</t>
        </is>
      </c>
      <c r="F932" t="inlineStr">
        <is>
          <t>CLIENTES DIVERSOS</t>
        </is>
      </c>
      <c r="G932" s="2" t="inlineStr">
        <is>
          <t>504</t>
        </is>
      </c>
      <c r="H932">
        <f>IFERROR(VLOOKUP(G932&amp;"",PLANO!A:B,2,FALSE),"CONTA NAO EXISTE NO PLANO")</f>
        <v/>
      </c>
      <c r="I932" t="inlineStr">
        <is>
          <t>504</t>
        </is>
      </c>
      <c r="J932" t="inlineStr">
        <is>
          <t>SEM COSMOS</t>
        </is>
      </c>
      <c r="K932" t="inlineStr"/>
      <c r="L932" t="inlineStr"/>
      <c r="M932" t="inlineStr">
        <is>
          <t>PIX TRANSF A F VOL13/05</t>
        </is>
      </c>
    </row>
    <row r="933">
      <c r="A933" t="n">
        <v>932</v>
      </c>
      <c r="B933" t="inlineStr">
        <is>
          <t>13/05/2026</t>
        </is>
      </c>
      <c r="C933" t="inlineStr">
        <is>
          <t>REF. A PIX TRANSF B CHIC 13/05</t>
        </is>
      </c>
      <c r="D933" s="7" t="n">
        <v>4300</v>
      </c>
      <c r="E933" t="inlineStr">
        <is>
          <t>504</t>
        </is>
      </c>
      <c r="F933" t="inlineStr">
        <is>
          <t>CLIENTES DIVERSOS</t>
        </is>
      </c>
      <c r="G933" s="2" t="inlineStr">
        <is>
          <t>504</t>
        </is>
      </c>
      <c r="H933">
        <f>IFERROR(VLOOKUP(G933&amp;"",PLANO!A:B,2,FALSE),"CONTA NAO EXISTE NO PLANO")</f>
        <v/>
      </c>
      <c r="I933" t="inlineStr">
        <is>
          <t>504</t>
        </is>
      </c>
      <c r="J933" t="inlineStr">
        <is>
          <t>SEM COSMOS</t>
        </is>
      </c>
      <c r="K933" t="inlineStr"/>
      <c r="L933" t="inlineStr"/>
      <c r="M933" t="inlineStr">
        <is>
          <t>PIX TRANSF B CHIC 13/05</t>
        </is>
      </c>
    </row>
    <row r="934">
      <c r="A934" t="n">
        <v>933</v>
      </c>
      <c r="B934" t="inlineStr">
        <is>
          <t>13/05/2026</t>
        </is>
      </c>
      <c r="C934" t="inlineStr">
        <is>
          <t>REF. A PIX TRANSF SUMAIA 13/05</t>
        </is>
      </c>
      <c r="D934" s="7" t="n">
        <v>211.65</v>
      </c>
      <c r="E934" t="inlineStr">
        <is>
          <t>504</t>
        </is>
      </c>
      <c r="F934" t="inlineStr">
        <is>
          <t>CLIENTES DIVERSOS</t>
        </is>
      </c>
      <c r="G934" s="2" t="inlineStr">
        <is>
          <t>504</t>
        </is>
      </c>
      <c r="H934">
        <f>IFERROR(VLOOKUP(G934&amp;"",PLANO!A:B,2,FALSE),"CONTA NAO EXISTE NO PLANO")</f>
        <v/>
      </c>
      <c r="I934" t="inlineStr">
        <is>
          <t>504</t>
        </is>
      </c>
      <c r="J934" t="inlineStr">
        <is>
          <t>SEM COSMOS</t>
        </is>
      </c>
      <c r="K934" t="inlineStr"/>
      <c r="L934" t="inlineStr"/>
      <c r="M934" t="inlineStr">
        <is>
          <t>PIX TRANSF SUMAIA 13/05</t>
        </is>
      </c>
    </row>
    <row r="935">
      <c r="A935" s="11" t="n">
        <v>934</v>
      </c>
      <c r="B935" s="11" t="inlineStr">
        <is>
          <t>13/05/2026</t>
        </is>
      </c>
      <c r="C935" s="11" t="inlineStr">
        <is>
          <t>REF A SISPAG PIX QR-CODE - MICHEL SCANDER MAZZONI 115 33 107 0,00 129,55 -997.712,28PGTO REF.PRO-LABORE</t>
        </is>
      </c>
      <c r="D935" s="12" t="n">
        <v>-129.55</v>
      </c>
      <c r="E935" s="11" t="inlineStr">
        <is>
          <t>362</t>
        </is>
      </c>
      <c r="F935" s="11" t="inlineStr">
        <is>
          <t>SERVIÇOS PRESTADOS POR TERCEIROS</t>
        </is>
      </c>
      <c r="G935" s="13" t="inlineStr">
        <is>
          <t>362</t>
        </is>
      </c>
      <c r="H935" s="11">
        <f>IFERROR(VLOOKUP(G935&amp;"",PLANO!A:B,2,FALSE),"CONTA NAO EXISTE NO PLANO")</f>
        <v/>
      </c>
      <c r="I935" s="11" t="inlineStr">
        <is>
          <t>362</t>
        </is>
      </c>
      <c r="J935" s="11" t="inlineStr">
        <is>
          <t>MANTIDO</t>
        </is>
      </c>
      <c r="K935" s="11" t="inlineStr">
        <is>
          <t>socios Mazzoni (fora do contrato social) - mantido como estava</t>
        </is>
      </c>
      <c r="L935" s="11" t="inlineStr">
        <is>
          <t>MICHEL SCANDER MAZZONI | 115/33 | PGTO REF.PRO-LABORE</t>
        </is>
      </c>
      <c r="M935" s="11" t="inlineStr">
        <is>
          <t>MICHEL SCANDER MAZZONI - PGTO REF.PRO-LABORE</t>
        </is>
      </c>
    </row>
    <row r="936">
      <c r="A936" s="11" t="n">
        <v>935</v>
      </c>
      <c r="B936" s="11" t="inlineStr">
        <is>
          <t>13/05/2026</t>
        </is>
      </c>
      <c r="C936" s="11" t="inlineStr">
        <is>
          <t>REF A SISPAG PIX QR-CODE - MICHEL SCANDER MAZZONI PGTO REF.PRO-LABORE</t>
        </is>
      </c>
      <c r="D936" s="12" t="n">
        <v>-141.5</v>
      </c>
      <c r="E936" s="11" t="inlineStr">
        <is>
          <t>362</t>
        </is>
      </c>
      <c r="F936" s="11" t="inlineStr">
        <is>
          <t>SERVIÇOS PRESTADOS POR TERCEIROS</t>
        </is>
      </c>
      <c r="G936" s="13" t="inlineStr">
        <is>
          <t>362</t>
        </is>
      </c>
      <c r="H936" s="11">
        <f>IFERROR(VLOOKUP(G936&amp;"",PLANO!A:B,2,FALSE),"CONTA NAO EXISTE NO PLANO")</f>
        <v/>
      </c>
      <c r="I936" s="11" t="inlineStr">
        <is>
          <t>362</t>
        </is>
      </c>
      <c r="J936" s="11" t="inlineStr">
        <is>
          <t>MANTIDO</t>
        </is>
      </c>
      <c r="K936" s="11" t="inlineStr">
        <is>
          <t>socios Mazzoni (fora do contrato social) - mantido como estava</t>
        </is>
      </c>
      <c r="L936" s="11" t="inlineStr">
        <is>
          <t>MICHEL SCANDER MAZZONI | 115/33 | PGTO REF.PRO-LABORE</t>
        </is>
      </c>
      <c r="M936" s="11" t="inlineStr">
        <is>
          <t>MICHEL SCANDER MAZZONI - PGTO REF.PRO-LABORE</t>
        </is>
      </c>
    </row>
    <row r="937">
      <c r="A937" s="4" t="n">
        <v>936</v>
      </c>
      <c r="B937" s="4" t="inlineStr">
        <is>
          <t>13/05/2026</t>
        </is>
      </c>
      <c r="C937" s="4" t="inlineStr">
        <is>
          <t>REF. A PIX ENVIADO CLAUDIA APARECIDA RUBIN 115 184 1 0,00 26.000,00 -1.031.292,28PGTO REF.DEVOLUÇÃO DE 53.200,00 - PAGAMENTO DACOMPRA DE 30% DO STANDY, FEITA PELO CHINESES -REALIZADO NA DATA DE 30/04, PARA PAGAMENTO DE 03PARCELAS EM ATRASO DA BEAUTY FAIR</t>
        </is>
      </c>
      <c r="D937" s="5" t="n">
        <v>-26000</v>
      </c>
      <c r="E937" s="4" t="inlineStr">
        <is>
          <t>362</t>
        </is>
      </c>
      <c r="F937" s="4" t="inlineStr">
        <is>
          <t>SERVIÇOS PRESTADOS POR TERCEIROS</t>
        </is>
      </c>
      <c r="G937" s="6" t="inlineStr">
        <is>
          <t>688</t>
        </is>
      </c>
      <c r="H937" s="4">
        <f>IFERROR(VLOOKUP(G937&amp;"",PLANO!A:B,2,FALSE),"CONTA NAO EXISTE NO PLANO")</f>
        <v/>
      </c>
      <c r="I937" s="4" t="inlineStr">
        <is>
          <t>362</t>
        </is>
      </c>
      <c r="J937" s="4" t="inlineStr">
        <is>
          <t>AJUSTADO</t>
        </is>
      </c>
      <c r="K937" s="4" t="inlineStr">
        <is>
          <t>Beauty Fair -&gt; 688 FEIRAS E EVENTOS</t>
        </is>
      </c>
      <c r="L937" s="4" t="inlineStr">
        <is>
          <t>CLAUDIA APARECIDA RUBIN | 115/184 | PGTO REF.DEVOLUÇÃO DE 53.200,00 - PAGAMENTO DA COMPRA DE 30% DO STANDY, FEITA PELO CHINESES - REALIZADO NA DATA DE 30/04</t>
        </is>
      </c>
      <c r="M937" s="4" t="inlineStr">
        <is>
          <t>CLAUDIA APARECIDA RUBIN - PGTO REF.DEVOLUÇÃO DE 53.200,00 - PAGAMENTO DA COMPRA DE 30% DO STANDY, FEITA PE</t>
        </is>
      </c>
    </row>
    <row r="938">
      <c r="A938" t="n">
        <v>937</v>
      </c>
      <c r="B938" t="inlineStr">
        <is>
          <t>13/05/2026</t>
        </is>
      </c>
      <c r="C938" t="inlineStr">
        <is>
          <t>REF. A PIX ENVIADO CLAUDIA APAR</t>
        </is>
      </c>
      <c r="D938" s="7" t="n">
        <v>-17150</v>
      </c>
      <c r="E938" t="inlineStr">
        <is>
          <t>362</t>
        </is>
      </c>
      <c r="F938" t="inlineStr">
        <is>
          <t>SERVIÇOS PRESTADOS POR TERCEIROS</t>
        </is>
      </c>
      <c r="G938" s="2" t="inlineStr">
        <is>
          <t>362</t>
        </is>
      </c>
      <c r="H938">
        <f>IFERROR(VLOOKUP(G938&amp;"",PLANO!A:B,2,FALSE),"CONTA NAO EXISTE NO PLANO")</f>
        <v/>
      </c>
      <c r="I938" t="inlineStr">
        <is>
          <t>362</t>
        </is>
      </c>
      <c r="J938" t="inlineStr">
        <is>
          <t>SEM COSMOS</t>
        </is>
      </c>
      <c r="K938" t="inlineStr"/>
      <c r="L938" t="inlineStr"/>
      <c r="M938" t="inlineStr">
        <is>
          <t>PIX ENVIADO CLAUDIA APAR</t>
        </is>
      </c>
    </row>
    <row r="939">
      <c r="A939" t="n">
        <v>938</v>
      </c>
      <c r="B939" t="inlineStr">
        <is>
          <t>13/05/2026</t>
        </is>
      </c>
      <c r="C939" t="inlineStr">
        <is>
          <t>REF. A PIX ENVIADO RODONAVES TR - RODONAVES TRANSPORTES E ENCOMENDAS LTDA PGTO REF.NFE</t>
        </is>
      </c>
      <c r="D939" s="7" t="n">
        <v>-99.38</v>
      </c>
      <c r="E939" t="inlineStr">
        <is>
          <t>312</t>
        </is>
      </c>
      <c r="F939" t="inlineStr">
        <is>
          <t>FRETES E CARRETOS</t>
        </is>
      </c>
      <c r="G939" s="2" t="inlineStr">
        <is>
          <t>312</t>
        </is>
      </c>
      <c r="H939">
        <f>IFERROR(VLOOKUP(G939&amp;"",PLANO!A:B,2,FALSE),"CONTA NAO EXISTE NO PLANO")</f>
        <v/>
      </c>
      <c r="I939" t="inlineStr">
        <is>
          <t>312</t>
        </is>
      </c>
      <c r="J939" t="inlineStr">
        <is>
          <t>OK</t>
        </is>
      </c>
      <c r="K939" t="inlineStr">
        <is>
          <t>categoria Cosmos 97</t>
        </is>
      </c>
      <c r="L939" t="inlineStr">
        <is>
          <t>RODONAVES TRANSPORTES E ENCOMENDAS LTDA | 115/97 | PGTO REF.NFE</t>
        </is>
      </c>
      <c r="M939" t="inlineStr">
        <is>
          <t>RODONAVES TRANSPORTES E ENCOMENDAS LTDA - PGTO REF.NFE</t>
        </is>
      </c>
    </row>
    <row r="940">
      <c r="A940" s="11" t="n">
        <v>939</v>
      </c>
      <c r="B940" s="11" t="inlineStr">
        <is>
          <t>13/05/2026</t>
        </is>
      </c>
      <c r="C940" s="11" t="inlineStr">
        <is>
          <t>REF A PIX ENVIADO MICHEL SCANDER MAZZONI PGTO REF.PRO-LABORE</t>
        </is>
      </c>
      <c r="D940" s="12" t="n">
        <v>-400</v>
      </c>
      <c r="E940" s="11" t="inlineStr">
        <is>
          <t>362</t>
        </is>
      </c>
      <c r="F940" s="11" t="inlineStr">
        <is>
          <t>SERVIÇOS PRESTADOS POR TERCEIROS</t>
        </is>
      </c>
      <c r="G940" s="13" t="inlineStr">
        <is>
          <t>362</t>
        </is>
      </c>
      <c r="H940" s="11">
        <f>IFERROR(VLOOKUP(G940&amp;"",PLANO!A:B,2,FALSE),"CONTA NAO EXISTE NO PLANO")</f>
        <v/>
      </c>
      <c r="I940" s="11" t="inlineStr">
        <is>
          <t>362</t>
        </is>
      </c>
      <c r="J940" s="11" t="inlineStr">
        <is>
          <t>MANTIDO</t>
        </is>
      </c>
      <c r="K940" s="11" t="inlineStr">
        <is>
          <t>socios Mazzoni (fora do contrato social) - mantido como estava</t>
        </is>
      </c>
      <c r="L940" s="11" t="inlineStr">
        <is>
          <t>MICHEL SCANDER MAZZONI | 115/33 | PGTO REF.PRO-LABORE</t>
        </is>
      </c>
      <c r="M940" s="11" t="inlineStr">
        <is>
          <t>MICHEL SCANDER MAZZONI - PGTO REF.PRO-LABORE</t>
        </is>
      </c>
    </row>
    <row r="941">
      <c r="A941" t="n">
        <v>940</v>
      </c>
      <c r="B941" t="inlineStr">
        <is>
          <t>13/05/2026</t>
        </is>
      </c>
      <c r="C941" t="inlineStr">
        <is>
          <t>REF. A PIX ENVIADO RODONAVES TR - RODONAVES TRANSPORTES E ENCOMENDAS LTDA PGTO REF.NFE</t>
        </is>
      </c>
      <c r="D941" s="7" t="n">
        <v>-323.53</v>
      </c>
      <c r="E941" t="inlineStr">
        <is>
          <t>312</t>
        </is>
      </c>
      <c r="F941" t="inlineStr">
        <is>
          <t>FRETES E CARRETOS</t>
        </is>
      </c>
      <c r="G941" s="2" t="inlineStr">
        <is>
          <t>312</t>
        </is>
      </c>
      <c r="H941">
        <f>IFERROR(VLOOKUP(G941&amp;"",PLANO!A:B,2,FALSE),"CONTA NAO EXISTE NO PLANO")</f>
        <v/>
      </c>
      <c r="I941" t="inlineStr">
        <is>
          <t>312</t>
        </is>
      </c>
      <c r="J941" t="inlineStr">
        <is>
          <t>OK</t>
        </is>
      </c>
      <c r="K941" t="inlineStr">
        <is>
          <t>categoria Cosmos 97</t>
        </is>
      </c>
      <c r="L941" t="inlineStr">
        <is>
          <t>RODONAVES TRANSPORTES E ENCOMENDAS LTDA | 115/97 | PGTO REF.NFE</t>
        </is>
      </c>
      <c r="M941" t="inlineStr">
        <is>
          <t>RODONAVES TRANSPORTES E ENCOMENDAS LTDA - PGTO REF.NFE</t>
        </is>
      </c>
    </row>
    <row r="942">
      <c r="A942" t="n">
        <v>941</v>
      </c>
      <c r="B942" t="inlineStr">
        <is>
          <t>13/05/2026</t>
        </is>
      </c>
      <c r="C942" t="inlineStr">
        <is>
          <t>REF A PIX ENVIADO PARTHENON ES</t>
        </is>
      </c>
      <c r="D942" s="7" t="n">
        <v>-1000</v>
      </c>
      <c r="E942" t="inlineStr">
        <is>
          <t>493</t>
        </is>
      </c>
      <c r="F942" t="inlineStr">
        <is>
          <t>DESPESAS DIVERSAS</t>
        </is>
      </c>
      <c r="G942" s="2" t="inlineStr">
        <is>
          <t>493</t>
        </is>
      </c>
      <c r="H942">
        <f>IFERROR(VLOOKUP(G942&amp;"",PLANO!A:B,2,FALSE),"CONTA NAO EXISTE NO PLANO")</f>
        <v/>
      </c>
      <c r="I942" t="inlineStr">
        <is>
          <t>493</t>
        </is>
      </c>
      <c r="J942" t="inlineStr">
        <is>
          <t>SEM COSMOS</t>
        </is>
      </c>
      <c r="K942" t="inlineStr"/>
      <c r="L942" t="inlineStr"/>
      <c r="M942" t="inlineStr">
        <is>
          <t>PIX ENVIADO PARTHENON ES</t>
        </is>
      </c>
    </row>
    <row r="943">
      <c r="A943" t="n">
        <v>942</v>
      </c>
      <c r="B943" t="inlineStr">
        <is>
          <t>13/05/2026</t>
        </is>
      </c>
      <c r="C943" t="inlineStr">
        <is>
          <t>REF. A BOLETO PAGO URBANO SA SO - BRASPRESS TRANSPORTES URGENTES LTDA PAG REF A FRETE SOBRE VENDAS NF 7870, 7848, 7849,7871, 7943, 7906, 7855, 7856 E 7977</t>
        </is>
      </c>
      <c r="D943" s="7" t="n">
        <v>-5022.9</v>
      </c>
      <c r="E943" t="inlineStr">
        <is>
          <t>312</t>
        </is>
      </c>
      <c r="F943" t="inlineStr">
        <is>
          <t>FRETES E CARRETOS</t>
        </is>
      </c>
      <c r="G943" s="2" t="inlineStr">
        <is>
          <t>312</t>
        </is>
      </c>
      <c r="H943">
        <f>IFERROR(VLOOKUP(G943&amp;"",PLANO!A:B,2,FALSE),"CONTA NAO EXISTE NO PLANO")</f>
        <v/>
      </c>
      <c r="I943" t="inlineStr">
        <is>
          <t>312</t>
        </is>
      </c>
      <c r="J943" t="inlineStr">
        <is>
          <t>SEM COSMOS</t>
        </is>
      </c>
      <c r="K943" t="inlineStr"/>
      <c r="L943" t="inlineStr"/>
      <c r="M943" t="inlineStr">
        <is>
          <t>BOLETO PAGO URBANO SA SO - BRASPRESS TRANSPORTES URGENTES LTDA PAG REF A FRETE SOBRE VENDAS NF 7870, 7848, 7849,7871, 7943, 7906, 7855, 7856 E 7977</t>
        </is>
      </c>
    </row>
    <row r="944">
      <c r="A944" s="4" t="n">
        <v>943</v>
      </c>
      <c r="B944" s="4" t="inlineStr">
        <is>
          <t>13/05/2026</t>
        </is>
      </c>
      <c r="C944" s="4" t="inlineStr">
        <is>
          <t>REF A BOLETO PAGO RNX FUNDO DE INVESTIMENTO EM DIREITOS CREDITORIOS MULTISSETORIAL PGTO REF.ANTECIPAÇÃO</t>
        </is>
      </c>
      <c r="D944" s="5" t="n">
        <v>-1993.09</v>
      </c>
      <c r="E944" s="4" t="inlineStr">
        <is>
          <t>5</t>
        </is>
      </c>
      <c r="F944" s="4" t="inlineStr">
        <is>
          <t>CAIXA GERAL</t>
        </is>
      </c>
      <c r="G944" s="6" t="inlineStr">
        <is>
          <t>504</t>
        </is>
      </c>
      <c r="H944" s="4">
        <f>IFERROR(VLOOKUP(G944&amp;"",PLANO!A:B,2,FALSE),"CONTA NAO EXISTE NO PLANO")</f>
        <v/>
      </c>
      <c r="I944" s="4" t="inlineStr">
        <is>
          <t>5</t>
        </is>
      </c>
      <c r="J944" s="4" t="inlineStr">
        <is>
          <t>AJUSTADO</t>
        </is>
      </c>
      <c r="K944" s="4" t="inlineStr">
        <is>
          <t>RNX FIDC - recompra/troca de boletos antecipados = baixa de clientes</t>
        </is>
      </c>
      <c r="L944" s="4" t="inlineStr">
        <is>
          <t>RNX FUNDO DE INVESTIMENTO EM DIREITOS CREDITORIOS MULTISSETORIAL | 115/185 | PGTO REF.ANTECIPAÇÃO</t>
        </is>
      </c>
      <c r="M944" s="4" t="inlineStr">
        <is>
          <t>RNX FUNDO DE INVESTIMENTO EM DIREITOS CREDITORIOS MULTISSETORIAL - PGTO REF.ANTECIPAÇÃO</t>
        </is>
      </c>
    </row>
    <row r="945">
      <c r="A945" t="n">
        <v>944</v>
      </c>
      <c r="B945" t="inlineStr">
        <is>
          <t>14/05/2026</t>
        </is>
      </c>
      <c r="C945" t="inlineStr">
        <is>
          <t>REF A SISPAG O.S. SECURITIZAD</t>
        </is>
      </c>
      <c r="D945" s="7" t="n">
        <v>21780.48</v>
      </c>
      <c r="E945" t="inlineStr">
        <is>
          <t>504</t>
        </is>
      </c>
      <c r="F945" t="inlineStr">
        <is>
          <t>CLIENTES DIVERSOS</t>
        </is>
      </c>
      <c r="G945" s="2" t="inlineStr">
        <is>
          <t>504</t>
        </is>
      </c>
      <c r="H945">
        <f>IFERROR(VLOOKUP(G945&amp;"",PLANO!A:B,2,FALSE),"CONTA NAO EXISTE NO PLANO")</f>
        <v/>
      </c>
      <c r="I945" t="inlineStr">
        <is>
          <t>504</t>
        </is>
      </c>
      <c r="J945" t="inlineStr">
        <is>
          <t>SEM COSMOS</t>
        </is>
      </c>
      <c r="K945" t="inlineStr"/>
      <c r="L945" t="inlineStr"/>
      <c r="M945" t="inlineStr">
        <is>
          <t>SISPAG O.S. SECURITIZAD</t>
        </is>
      </c>
    </row>
    <row r="946">
      <c r="A946" t="n">
        <v>945</v>
      </c>
      <c r="B946" t="inlineStr">
        <is>
          <t>14/05/2026</t>
        </is>
      </c>
      <c r="C946" t="inlineStr">
        <is>
          <t>REF. A MOV TIT COB DISP 14/05S</t>
        </is>
      </c>
      <c r="D946" s="7" t="n">
        <v>5707.23</v>
      </c>
      <c r="E946" t="inlineStr">
        <is>
          <t>504</t>
        </is>
      </c>
      <c r="F946" t="inlineStr">
        <is>
          <t>CLIENTES DIVERSOS</t>
        </is>
      </c>
      <c r="G946" s="2" t="inlineStr">
        <is>
          <t>504</t>
        </is>
      </c>
      <c r="H946">
        <f>IFERROR(VLOOKUP(G946&amp;"",PLANO!A:B,2,FALSE),"CONTA NAO EXISTE NO PLANO")</f>
        <v/>
      </c>
      <c r="I946" t="inlineStr">
        <is>
          <t>504</t>
        </is>
      </c>
      <c r="J946" t="inlineStr">
        <is>
          <t>SEM COSMOS</t>
        </is>
      </c>
      <c r="K946" t="inlineStr"/>
      <c r="L946" t="inlineStr"/>
      <c r="M946" t="inlineStr">
        <is>
          <t>MOV TIT COB DISP 14/05S</t>
        </is>
      </c>
    </row>
    <row r="947">
      <c r="A947" t="n">
        <v>946</v>
      </c>
      <c r="B947" t="inlineStr">
        <is>
          <t>14/05/2026</t>
        </is>
      </c>
      <c r="C947" t="inlineStr">
        <is>
          <t>REF. A PIX TRANSF ANDRE C14/05</t>
        </is>
      </c>
      <c r="D947" s="7" t="n">
        <v>500</v>
      </c>
      <c r="E947" t="inlineStr">
        <is>
          <t>504</t>
        </is>
      </c>
      <c r="F947" t="inlineStr">
        <is>
          <t>CLIENTES DIVERSOS</t>
        </is>
      </c>
      <c r="G947" s="2" t="inlineStr">
        <is>
          <t>504</t>
        </is>
      </c>
      <c r="H947">
        <f>IFERROR(VLOOKUP(G947&amp;"",PLANO!A:B,2,FALSE),"CONTA NAO EXISTE NO PLANO")</f>
        <v/>
      </c>
      <c r="I947" t="inlineStr">
        <is>
          <t>504</t>
        </is>
      </c>
      <c r="J947" t="inlineStr">
        <is>
          <t>SEM COSMOS</t>
        </is>
      </c>
      <c r="K947" t="inlineStr"/>
      <c r="L947" t="inlineStr"/>
      <c r="M947" t="inlineStr">
        <is>
          <t>PIX TRANSF ANDRE C14/05</t>
        </is>
      </c>
    </row>
    <row r="948">
      <c r="A948" t="n">
        <v>947</v>
      </c>
      <c r="B948" t="inlineStr">
        <is>
          <t>14/05/2026</t>
        </is>
      </c>
      <c r="C948" t="inlineStr">
        <is>
          <t>REF. A PIX TRANSF F B RI14/05</t>
        </is>
      </c>
      <c r="D948" s="7" t="n">
        <v>1299.6</v>
      </c>
      <c r="E948" t="inlineStr">
        <is>
          <t>504</t>
        </is>
      </c>
      <c r="F948" t="inlineStr">
        <is>
          <t>CLIENTES DIVERSOS</t>
        </is>
      </c>
      <c r="G948" s="2" t="inlineStr">
        <is>
          <t>504</t>
        </is>
      </c>
      <c r="H948">
        <f>IFERROR(VLOOKUP(G948&amp;"",PLANO!A:B,2,FALSE),"CONTA NAO EXISTE NO PLANO")</f>
        <v/>
      </c>
      <c r="I948" t="inlineStr">
        <is>
          <t>504</t>
        </is>
      </c>
      <c r="J948" t="inlineStr">
        <is>
          <t>SEM COSMOS</t>
        </is>
      </c>
      <c r="K948" t="inlineStr"/>
      <c r="L948" t="inlineStr"/>
      <c r="M948" t="inlineStr">
        <is>
          <t>PIX TRANSF F B RI14/05</t>
        </is>
      </c>
    </row>
    <row r="949">
      <c r="A949" t="n">
        <v>948</v>
      </c>
      <c r="B949" t="inlineStr">
        <is>
          <t>14/05/2026</t>
        </is>
      </c>
      <c r="C949" t="inlineStr">
        <is>
          <t>REF. A PIX TRANSF GRACE K14/05</t>
        </is>
      </c>
      <c r="D949" s="7" t="n">
        <v>346.7</v>
      </c>
      <c r="E949" t="inlineStr">
        <is>
          <t>504</t>
        </is>
      </c>
      <c r="F949" t="inlineStr">
        <is>
          <t>CLIENTES DIVERSOS</t>
        </is>
      </c>
      <c r="G949" s="2" t="inlineStr">
        <is>
          <t>504</t>
        </is>
      </c>
      <c r="H949">
        <f>IFERROR(VLOOKUP(G949&amp;"",PLANO!A:B,2,FALSE),"CONTA NAO EXISTE NO PLANO")</f>
        <v/>
      </c>
      <c r="I949" t="inlineStr">
        <is>
          <t>504</t>
        </is>
      </c>
      <c r="J949" t="inlineStr">
        <is>
          <t>SEM COSMOS</t>
        </is>
      </c>
      <c r="K949" t="inlineStr"/>
      <c r="L949" t="inlineStr"/>
      <c r="M949" t="inlineStr">
        <is>
          <t>PIX TRANSF GRACE K14/05</t>
        </is>
      </c>
    </row>
    <row r="950">
      <c r="A950" t="n">
        <v>949</v>
      </c>
      <c r="B950" t="inlineStr">
        <is>
          <t>14/05/2026</t>
        </is>
      </c>
      <c r="C950" t="inlineStr">
        <is>
          <t>REF. A PIX TRANSF P S BOR14/05</t>
        </is>
      </c>
      <c r="D950" s="7" t="n">
        <v>3942</v>
      </c>
      <c r="E950" t="inlineStr">
        <is>
          <t>504</t>
        </is>
      </c>
      <c r="F950" t="inlineStr">
        <is>
          <t>CLIENTES DIVERSOS</t>
        </is>
      </c>
      <c r="G950" s="2" t="inlineStr">
        <is>
          <t>504</t>
        </is>
      </c>
      <c r="H950">
        <f>IFERROR(VLOOKUP(G950&amp;"",PLANO!A:B,2,FALSE),"CONTA NAO EXISTE NO PLANO")</f>
        <v/>
      </c>
      <c r="I950" t="inlineStr">
        <is>
          <t>504</t>
        </is>
      </c>
      <c r="J950" t="inlineStr">
        <is>
          <t>SEM COSMOS</t>
        </is>
      </c>
      <c r="K950" t="inlineStr"/>
      <c r="L950" t="inlineStr"/>
      <c r="M950" t="inlineStr">
        <is>
          <t>PIX TRANSF P S BOR14/05</t>
        </is>
      </c>
    </row>
    <row r="951">
      <c r="A951" t="n">
        <v>950</v>
      </c>
      <c r="B951" t="inlineStr">
        <is>
          <t>14/05/2026</t>
        </is>
      </c>
      <c r="C951" t="inlineStr">
        <is>
          <t>REF. A PIX TRANSF SILMARA14/05</t>
        </is>
      </c>
      <c r="D951" s="7" t="n">
        <v>165.9</v>
      </c>
      <c r="E951" t="inlineStr">
        <is>
          <t>504</t>
        </is>
      </c>
      <c r="F951" t="inlineStr">
        <is>
          <t>CLIENTES DIVERSOS</t>
        </is>
      </c>
      <c r="G951" s="2" t="inlineStr">
        <is>
          <t>504</t>
        </is>
      </c>
      <c r="H951">
        <f>IFERROR(VLOOKUP(G951&amp;"",PLANO!A:B,2,FALSE),"CONTA NAO EXISTE NO PLANO")</f>
        <v/>
      </c>
      <c r="I951" t="inlineStr">
        <is>
          <t>504</t>
        </is>
      </c>
      <c r="J951" t="inlineStr">
        <is>
          <t>SEM COSMOS</t>
        </is>
      </c>
      <c r="K951" t="inlineStr"/>
      <c r="L951" t="inlineStr"/>
      <c r="M951" t="inlineStr">
        <is>
          <t>PIX TRANSF SILMARA14/05</t>
        </is>
      </c>
    </row>
    <row r="952">
      <c r="A952" s="8" t="n">
        <v>951</v>
      </c>
      <c r="B952" s="8" t="inlineStr">
        <is>
          <t>14/05/2026</t>
        </is>
      </c>
      <c r="C952" s="8" t="inlineStr">
        <is>
          <t>REF A PIX ENVIADO DALTON BISHO - CARTÓRIO DISTRITAL DO PINHEIRINHO 115 28 107 0,00 4.170,68 -1.056.745,14PGTO REF.CUSTAS DO CARTÓRIO DE TRANSFRENCIA DOIMÓVEL HERANÇA A SER DIVIDIDO PELOS IRMÃOS NAVENDA DO APARTAMENTO</t>
        </is>
      </c>
      <c r="D952" s="9" t="n">
        <v>-4170.68</v>
      </c>
      <c r="E952" s="8" t="inlineStr">
        <is>
          <t>362</t>
        </is>
      </c>
      <c r="F952" s="8" t="inlineStr">
        <is>
          <t>SERVIÇOS PRESTADOS POR TERCEIROS</t>
        </is>
      </c>
      <c r="G952" s="10" t="inlineStr">
        <is>
          <t>350</t>
        </is>
      </c>
      <c r="H952" s="8">
        <f>IFERROR(VLOOKUP(G952&amp;"",PLANO!A:B,2,FALSE),"CONTA NAO EXISTE NO PLANO")</f>
        <v/>
      </c>
      <c r="I952" s="8" t="inlineStr">
        <is>
          <t>350</t>
        </is>
      </c>
      <c r="J952" s="8" t="inlineStr">
        <is>
          <t>CORRIGIR</t>
        </is>
      </c>
      <c r="K952" s="8" t="inlineStr">
        <is>
          <t>categoria Cosmos 28</t>
        </is>
      </c>
      <c r="L952" s="8" t="inlineStr">
        <is>
          <t>CARTÓRIO DISTRITAL DO PINHEIRINHO | 115/28 | PGTO REF.CUSTAS DO CARTÓRIO DE TRANSFRENCIA DO IMÓVEL HERANÇA A SER DIVIDIDO PELOS IRMÃOS NA VENDA DO APARTAMENTO</t>
        </is>
      </c>
      <c r="M952" s="8" t="inlineStr">
        <is>
          <t>CARTÓRIO DISTRITAL DO PINHEIRINHO - PGTO REF.CUSTAS DO CARTÓRIO DE TRANSFRENCIA DO IMÓVEL HERANÇA A SER DIVIDIDO PEL</t>
        </is>
      </c>
    </row>
    <row r="953">
      <c r="A953" t="n">
        <v>952</v>
      </c>
      <c r="B953" t="inlineStr">
        <is>
          <t>14/05/2026</t>
        </is>
      </c>
      <c r="C953" t="inlineStr">
        <is>
          <t>REF. A PIX ENVIADO NOVA PIRAMIDAL THERMOPLASTICS S.A.</t>
        </is>
      </c>
      <c r="D953" s="7" t="n">
        <v>-3895.11</v>
      </c>
      <c r="E953" t="inlineStr">
        <is>
          <t>506</t>
        </is>
      </c>
      <c r="F953" t="inlineStr">
        <is>
          <t>FORNECEDORES DIVERSOS</t>
        </is>
      </c>
      <c r="G953" s="2" t="inlineStr">
        <is>
          <t>506</t>
        </is>
      </c>
      <c r="H953">
        <f>IFERROR(VLOOKUP(G953&amp;"",PLANO!A:B,2,FALSE),"CONTA NAO EXISTE NO PLANO")</f>
        <v/>
      </c>
      <c r="I953" t="inlineStr">
        <is>
          <t>506</t>
        </is>
      </c>
      <c r="J953" t="inlineStr">
        <is>
          <t>OK</t>
        </is>
      </c>
      <c r="K953" t="inlineStr">
        <is>
          <t>fornecedor com NF</t>
        </is>
      </c>
      <c r="L953" t="inlineStr">
        <is>
          <t xml:space="preserve">NOVA PIRAMIDAL THERMOPLASTICS S.A. | 113/78 | </t>
        </is>
      </c>
      <c r="M953" t="inlineStr">
        <is>
          <t>NOVA PIRAMIDAL THERMOPLASTICS S.A.</t>
        </is>
      </c>
    </row>
    <row r="954">
      <c r="A954" t="n">
        <v>953</v>
      </c>
      <c r="B954" t="inlineStr">
        <is>
          <t>14/05/2026</t>
        </is>
      </c>
      <c r="C954" t="inlineStr">
        <is>
          <t>REF. A PIX ENVIADO SKIN LAB INDUSTRIA E COMERCIO DE COSMETICOS LTDA</t>
        </is>
      </c>
      <c r="D954" s="7" t="n">
        <v>-11948.2</v>
      </c>
      <c r="E954" t="inlineStr">
        <is>
          <t>506</t>
        </is>
      </c>
      <c r="F954" t="inlineStr">
        <is>
          <t>FORNECEDORES DIVERSOS</t>
        </is>
      </c>
      <c r="G954" s="2" t="inlineStr">
        <is>
          <t>506</t>
        </is>
      </c>
      <c r="H954">
        <f>IFERROR(VLOOKUP(G954&amp;"",PLANO!A:B,2,FALSE),"CONTA NAO EXISTE NO PLANO")</f>
        <v/>
      </c>
      <c r="I954" t="inlineStr">
        <is>
          <t>506</t>
        </is>
      </c>
      <c r="J954" t="inlineStr">
        <is>
          <t>OK</t>
        </is>
      </c>
      <c r="K954" t="inlineStr">
        <is>
          <t>fornecedor com NF</t>
        </is>
      </c>
      <c r="L954" t="inlineStr">
        <is>
          <t xml:space="preserve">SKIN LAB INDUSTRIA E COMERCIO DE COSMETICOS LTDA | 113/78 | </t>
        </is>
      </c>
      <c r="M954" t="inlineStr">
        <is>
          <t>SKIN LAB INDUSTRIA E COMERCIO DE COSMETICOS LTDA</t>
        </is>
      </c>
    </row>
    <row r="955">
      <c r="A955" s="4" t="n">
        <v>954</v>
      </c>
      <c r="B955" s="4" t="inlineStr">
        <is>
          <t>14/05/2026</t>
        </is>
      </c>
      <c r="C955" s="4" t="inlineStr">
        <is>
          <t>REF. A BOLETO PAGO CRMTECH SISTEMAS DE INFORMACAO LTDA PGTO REF.UTILIZAÇÃO SISTEMA COSMOS</t>
        </is>
      </c>
      <c r="D955" s="5" t="n">
        <v>-2925.14</v>
      </c>
      <c r="E955" s="4" t="inlineStr">
        <is>
          <t>640</t>
        </is>
      </c>
      <c r="F955" s="4" t="inlineStr">
        <is>
          <t>SOFTWARE/SISTEMA</t>
        </is>
      </c>
      <c r="G955" s="6" t="inlineStr">
        <is>
          <t>640</t>
        </is>
      </c>
      <c r="H955" s="4">
        <f>IFERROR(VLOOKUP(G955&amp;"",PLANO!A:B,2,FALSE),"CONTA NAO EXISTE NO PLANO")</f>
        <v/>
      </c>
      <c r="I955" s="4" t="inlineStr">
        <is>
          <t>640</t>
        </is>
      </c>
      <c r="J955" s="4" t="inlineStr">
        <is>
          <t>AJUSTADO</t>
        </is>
      </c>
      <c r="K955" s="4" t="inlineStr">
        <is>
          <t>software/sistema (Cosmos cat. 47)</t>
        </is>
      </c>
      <c r="L955" s="4" t="inlineStr">
        <is>
          <t>CRMTECH SISTEMAS DE INFORMACAO LTDA | 115/47 | PGTO REF.UTILIZAÇÃO SISTEMA COSMOS</t>
        </is>
      </c>
      <c r="M955" s="4" t="inlineStr">
        <is>
          <t>CRMTECH SISTEMAS DE INFORMACAO LTDA - PGTO REF.UTILIZAÇÃO SISTEMA COSMOS</t>
        </is>
      </c>
    </row>
    <row r="956">
      <c r="A956" t="n">
        <v>955</v>
      </c>
      <c r="B956" t="inlineStr">
        <is>
          <t>14/05/2026</t>
        </is>
      </c>
      <c r="C956" t="inlineStr">
        <is>
          <t>REF. A BOLETO PAGO TRANS TOMAZ - TRANSPORTES RODOVIARIOS DE CARGAS EIRELI PGTO REF.FRETE S/NFE</t>
        </is>
      </c>
      <c r="D956" s="7" t="n">
        <v>-898.15</v>
      </c>
      <c r="E956" t="inlineStr">
        <is>
          <t>312</t>
        </is>
      </c>
      <c r="F956" t="inlineStr">
        <is>
          <t>FRETES E CARRETOS</t>
        </is>
      </c>
      <c r="G956" s="2" t="inlineStr">
        <is>
          <t>312</t>
        </is>
      </c>
      <c r="H956">
        <f>IFERROR(VLOOKUP(G956&amp;"",PLANO!A:B,2,FALSE),"CONTA NAO EXISTE NO PLANO")</f>
        <v/>
      </c>
      <c r="I956" t="inlineStr">
        <is>
          <t>312</t>
        </is>
      </c>
      <c r="J956" t="inlineStr">
        <is>
          <t>OK</t>
        </is>
      </c>
      <c r="K956" t="inlineStr">
        <is>
          <t>categoria Cosmos 4</t>
        </is>
      </c>
      <c r="L956" t="inlineStr">
        <is>
          <t>TRANS TOMAZ TRANSPORTES RODOVIARIOS DE CARGAS EIRELI | 115/4 | PGTO REF.FRETE S/NFE</t>
        </is>
      </c>
      <c r="M956" t="inlineStr">
        <is>
          <t>TRANS TOMAZ TRANSPORTES RODOVIARIOS DE CARGAS EIRELI - PGTO REF.FRETE S/NFE</t>
        </is>
      </c>
    </row>
    <row r="957">
      <c r="A957" s="11" t="n">
        <v>956</v>
      </c>
      <c r="B957" s="11" t="inlineStr">
        <is>
          <t>14/05/2026</t>
        </is>
      </c>
      <c r="C957" s="11" t="inlineStr">
        <is>
          <t>REF. A BOLETO PAGO FARMACIA E DROGARIA NISSEI LTDA PGTO REF.CONVENIO FARMACIA DESCONTADO EM FOLHA</t>
        </is>
      </c>
      <c r="D957" s="12" t="n">
        <v>-308.89</v>
      </c>
      <c r="E957" s="11" t="inlineStr">
        <is>
          <t>493</t>
        </is>
      </c>
      <c r="F957" s="11" t="inlineStr">
        <is>
          <t>DESPESAS DIVERSAS</t>
        </is>
      </c>
      <c r="G957" s="13" t="inlineStr">
        <is>
          <t>493</t>
        </is>
      </c>
      <c r="H957" s="11">
        <f>IFERROR(VLOOKUP(G957&amp;"",PLANO!A:B,2,FALSE),"CONTA NAO EXISTE NO PLANO")</f>
        <v/>
      </c>
      <c r="I957" s="11" t="inlineStr">
        <is>
          <t>493</t>
        </is>
      </c>
      <c r="J957" s="11" t="inlineStr">
        <is>
          <t>MANTIDO</t>
        </is>
      </c>
      <c r="K957" s="11" t="inlineStr">
        <is>
          <t>folha/convenio farmacia desconto em folha | mantida a conta atual (sem informacao que justifique troca)</t>
        </is>
      </c>
      <c r="L957" s="11" t="inlineStr">
        <is>
          <t>FARMACIA E DROGARIA NISSEI LTDA | 115/17 | PGTO REF.CONVENIO FARMACIA DESCONTADO EM FOLHA</t>
        </is>
      </c>
      <c r="M957" s="11" t="inlineStr">
        <is>
          <t>FARMACIA E DROGARIA NISSEI LTDA - PGTO REF.CONVENIO FARMACIA DESCONTADO EM FOLHA</t>
        </is>
      </c>
    </row>
    <row r="958">
      <c r="A958" t="n">
        <v>957</v>
      </c>
      <c r="B958" t="inlineStr">
        <is>
          <t>15/05/2026</t>
        </is>
      </c>
      <c r="C958" t="inlineStr">
        <is>
          <t>REF. A MOV TIT COB DISP 15/05S</t>
        </is>
      </c>
      <c r="D958" s="7" t="n">
        <v>2666.04</v>
      </c>
      <c r="E958" t="inlineStr">
        <is>
          <t>504</t>
        </is>
      </c>
      <c r="F958" t="inlineStr">
        <is>
          <t>CLIENTES DIVERSOS</t>
        </is>
      </c>
      <c r="G958" s="2" t="inlineStr">
        <is>
          <t>504</t>
        </is>
      </c>
      <c r="H958">
        <f>IFERROR(VLOOKUP(G958&amp;"",PLANO!A:B,2,FALSE),"CONTA NAO EXISTE NO PLANO")</f>
        <v/>
      </c>
      <c r="I958" t="inlineStr">
        <is>
          <t>504</t>
        </is>
      </c>
      <c r="J958" t="inlineStr">
        <is>
          <t>SEM COSMOS</t>
        </is>
      </c>
      <c r="K958" t="inlineStr"/>
      <c r="L958" t="inlineStr"/>
      <c r="M958" t="inlineStr">
        <is>
          <t>MOV TIT COB DISP 15/05S</t>
        </is>
      </c>
    </row>
    <row r="959">
      <c r="A959" t="n">
        <v>958</v>
      </c>
      <c r="B959" t="inlineStr">
        <is>
          <t>15/05/2026</t>
        </is>
      </c>
      <c r="C959" t="inlineStr">
        <is>
          <t>REF. A PIX TRANSF ODETES 15/05</t>
        </is>
      </c>
      <c r="D959" s="7" t="n">
        <v>211.36</v>
      </c>
      <c r="E959" t="inlineStr">
        <is>
          <t>504</t>
        </is>
      </c>
      <c r="F959" t="inlineStr">
        <is>
          <t>CLIENTES DIVERSOS</t>
        </is>
      </c>
      <c r="G959" s="2" t="inlineStr">
        <is>
          <t>504</t>
        </is>
      </c>
      <c r="H959">
        <f>IFERROR(VLOOKUP(G959&amp;"",PLANO!A:B,2,FALSE),"CONTA NAO EXISTE NO PLANO")</f>
        <v/>
      </c>
      <c r="I959" t="inlineStr">
        <is>
          <t>504</t>
        </is>
      </c>
      <c r="J959" t="inlineStr">
        <is>
          <t>SEM COSMOS</t>
        </is>
      </c>
      <c r="K959" t="inlineStr"/>
      <c r="L959" t="inlineStr"/>
      <c r="M959" t="inlineStr">
        <is>
          <t>PIX TRANSF ODETES 15/05</t>
        </is>
      </c>
    </row>
    <row r="960">
      <c r="A960" t="n">
        <v>959</v>
      </c>
      <c r="B960" t="inlineStr">
        <is>
          <t>15/05/2026</t>
        </is>
      </c>
      <c r="C960" t="inlineStr">
        <is>
          <t>REF. A PIX TRANSF SATELIT15/05</t>
        </is>
      </c>
      <c r="D960" s="7" t="n">
        <v>13143.47</v>
      </c>
      <c r="E960" t="inlineStr">
        <is>
          <t>504</t>
        </is>
      </c>
      <c r="F960" t="inlineStr">
        <is>
          <t>CLIENTES DIVERSOS</t>
        </is>
      </c>
      <c r="G960" s="2" t="inlineStr">
        <is>
          <t>504</t>
        </is>
      </c>
      <c r="H960">
        <f>IFERROR(VLOOKUP(G960&amp;"",PLANO!A:B,2,FALSE),"CONTA NAO EXISTE NO PLANO")</f>
        <v/>
      </c>
      <c r="I960" t="inlineStr">
        <is>
          <t>504</t>
        </is>
      </c>
      <c r="J960" t="inlineStr">
        <is>
          <t>SEM COSMOS</t>
        </is>
      </c>
      <c r="K960" t="inlineStr"/>
      <c r="L960" t="inlineStr"/>
      <c r="M960" t="inlineStr">
        <is>
          <t>PIX TRANSF SATELIT15/05</t>
        </is>
      </c>
    </row>
    <row r="961">
      <c r="A961" t="n">
        <v>960</v>
      </c>
      <c r="B961" t="inlineStr">
        <is>
          <t>15/05/2026</t>
        </is>
      </c>
      <c r="C961" t="inlineStr">
        <is>
          <t>REF. A REND PAGO APLIC AUT MAIS</t>
        </is>
      </c>
      <c r="D961" s="7" t="n">
        <v>0.01</v>
      </c>
      <c r="E961" t="inlineStr">
        <is>
          <t>432</t>
        </is>
      </c>
      <c r="F961" t="inlineStr">
        <is>
          <t>RENDIMENTOS DE APLICAÇÕES</t>
        </is>
      </c>
      <c r="G961" s="2" t="inlineStr">
        <is>
          <t>432</t>
        </is>
      </c>
      <c r="H961">
        <f>IFERROR(VLOOKUP(G961&amp;"",PLANO!A:B,2,FALSE),"CONTA NAO EXISTE NO PLANO")</f>
        <v/>
      </c>
      <c r="I961" t="inlineStr">
        <is>
          <t>432</t>
        </is>
      </c>
      <c r="J961" t="inlineStr">
        <is>
          <t>SEM COSMOS</t>
        </is>
      </c>
      <c r="K961" t="inlineStr"/>
      <c r="L961" t="inlineStr"/>
      <c r="M961" t="inlineStr">
        <is>
          <t>REND PAGO APLIC AUT MAIS</t>
        </is>
      </c>
    </row>
    <row r="962">
      <c r="A962" s="4" t="n">
        <v>961</v>
      </c>
      <c r="B962" s="4" t="inlineStr">
        <is>
          <t>15/05/2026</t>
        </is>
      </c>
      <c r="C962" s="4" t="inlineStr">
        <is>
          <t>REF. A PIX ENVIADO GULA COSMETI</t>
        </is>
      </c>
      <c r="D962" s="5" t="n">
        <v>-26000</v>
      </c>
      <c r="E962" s="4" t="inlineStr">
        <is>
          <t>506</t>
        </is>
      </c>
      <c r="F962" s="4" t="inlineStr">
        <is>
          <t>FORNECEDORES DIVERSOS</t>
        </is>
      </c>
      <c r="G962" s="6" t="inlineStr">
        <is>
          <t>366</t>
        </is>
      </c>
      <c r="H962" s="4">
        <f>IFERROR(VLOOKUP(G962&amp;"",PLANO!A:B,2,FALSE),"CONTA NAO EXISTE NO PLANO")</f>
        <v/>
      </c>
      <c r="I962" s="4" t="inlineStr">
        <is>
          <t>672</t>
        </is>
      </c>
      <c r="J962" s="4" t="inlineStr">
        <is>
          <t>AJUSTADO</t>
        </is>
      </c>
      <c r="K962" s="4" t="inlineStr">
        <is>
          <t>GULA/FIQUE BEM (mesmo CNPJ, empresa do grupo) - mutuo em EMPRESTIMOS A TERCEIROS (366); nao e fornecedor</t>
        </is>
      </c>
      <c r="L962" s="4" t="inlineStr">
        <is>
          <t xml:space="preserve">OUTRAS SAIDAS | 123/71 | </t>
        </is>
      </c>
      <c r="M962" s="4" t="inlineStr">
        <is>
          <t>PIX ENVIADO GULA COSMETI</t>
        </is>
      </c>
    </row>
    <row r="963">
      <c r="A963" t="n">
        <v>962</v>
      </c>
      <c r="B963" t="inlineStr">
        <is>
          <t>15/05/2026</t>
        </is>
      </c>
      <c r="C963" t="inlineStr">
        <is>
          <t>REF. A BOLETO PAGO RAPIDO ABC T - RAPIDO ABC TRANSPORTES LTDA PAG REF A FRETE SOBRE COMPRAS</t>
        </is>
      </c>
      <c r="D963" s="7" t="n">
        <v>-1700</v>
      </c>
      <c r="E963" t="inlineStr">
        <is>
          <t>312</t>
        </is>
      </c>
      <c r="F963" t="inlineStr">
        <is>
          <t>FRETES E CARRETOS</t>
        </is>
      </c>
      <c r="G963" s="2" t="inlineStr">
        <is>
          <t>312</t>
        </is>
      </c>
      <c r="H963">
        <f>IFERROR(VLOOKUP(G963&amp;"",PLANO!A:B,2,FALSE),"CONTA NAO EXISTE NO PLANO")</f>
        <v/>
      </c>
      <c r="I963" t="inlineStr">
        <is>
          <t>312</t>
        </is>
      </c>
      <c r="J963" t="inlineStr">
        <is>
          <t>OK</t>
        </is>
      </c>
      <c r="K963" t="inlineStr">
        <is>
          <t>categoria Cosmos 4</t>
        </is>
      </c>
      <c r="L963" t="inlineStr">
        <is>
          <t>RAPIDO ABC TRANSPORTES LTDA | 115/4 | PAG REF A FRETE SOBRE COMPRAS</t>
        </is>
      </c>
      <c r="M963" t="inlineStr">
        <is>
          <t>RAPIDO ABC TRANSPORTES LTDA - PAG REF A FRETE SOBRE COMPRAS</t>
        </is>
      </c>
    </row>
    <row r="964">
      <c r="A964" t="n">
        <v>963</v>
      </c>
      <c r="B964" t="inlineStr">
        <is>
          <t>15/05/2026</t>
        </is>
      </c>
      <c r="C964" t="inlineStr">
        <is>
          <t>REF. A BOLETO PAGO DENTAL UNI COOPERATIVA ODONTOLOGICA</t>
        </is>
      </c>
      <c r="D964" s="7" t="n">
        <v>-136.95</v>
      </c>
      <c r="E964" t="inlineStr">
        <is>
          <t>628</t>
        </is>
      </c>
      <c r="F964" t="inlineStr">
        <is>
          <t>PLANO ODONTOLOGICO</t>
        </is>
      </c>
      <c r="G964" s="2" t="inlineStr">
        <is>
          <t>628</t>
        </is>
      </c>
      <c r="H964">
        <f>IFERROR(VLOOKUP(G964&amp;"",PLANO!A:B,2,FALSE),"CONTA NAO EXISTE NO PLANO")</f>
        <v/>
      </c>
      <c r="I964" t="inlineStr">
        <is>
          <t>628</t>
        </is>
      </c>
      <c r="J964" t="inlineStr">
        <is>
          <t>OK</t>
        </is>
      </c>
      <c r="K964" t="inlineStr">
        <is>
          <t>categoria Cosmos 89</t>
        </is>
      </c>
      <c r="L964" t="inlineStr">
        <is>
          <t>DENTAL UNI COOPERATIVA ODONTOLOGICA | 115/89 | PGTO REF.PRESTAÇÃO DE SERVIÇOS</t>
        </is>
      </c>
      <c r="M964" t="inlineStr">
        <is>
          <t>DENTAL UNI COOPERATIVA ODONTOLOGICA - PGTO REF.PRESTAÇÃO DE SERVIÇOS</t>
        </is>
      </c>
    </row>
    <row r="965">
      <c r="A965" t="n">
        <v>964</v>
      </c>
      <c r="B965" t="inlineStr">
        <is>
          <t>15/05/2026</t>
        </is>
      </c>
      <c r="C965" t="inlineStr">
        <is>
          <t>REF. A BOLETO PAGO LIGGA TELECO - COPEL TELECOMUNICACOES S.A. PGTO REF.SERVIÇO DE IP FIXO</t>
        </is>
      </c>
      <c r="D965" s="7" t="n">
        <v>-559.92</v>
      </c>
      <c r="E965" t="inlineStr">
        <is>
          <t>555</t>
        </is>
      </c>
      <c r="F965" t="inlineStr">
        <is>
          <t>INTERNET</t>
        </is>
      </c>
      <c r="G965" s="2" t="inlineStr">
        <is>
          <t>555</t>
        </is>
      </c>
      <c r="H965">
        <f>IFERROR(VLOOKUP(G965&amp;"",PLANO!A:B,2,FALSE),"CONTA NAO EXISTE NO PLANO")</f>
        <v/>
      </c>
      <c r="I965" t="inlineStr">
        <is>
          <t>555</t>
        </is>
      </c>
      <c r="J965" t="inlineStr">
        <is>
          <t>OK</t>
        </is>
      </c>
      <c r="K965" t="inlineStr">
        <is>
          <t>categoria Cosmos 14</t>
        </is>
      </c>
      <c r="L965" t="inlineStr">
        <is>
          <t>COPEL TELECOMUNICACOES S.A. | 115/14 | PGTO REF.SERVIÇO DE IP FIXO</t>
        </is>
      </c>
      <c r="M965" t="inlineStr">
        <is>
          <t>COPEL TELECOMUNICACOES S.A. - PGTO REF.SERVIÇO DE IP FIXO</t>
        </is>
      </c>
    </row>
    <row r="966">
      <c r="A966" s="11" t="n">
        <v>965</v>
      </c>
      <c r="B966" s="11" t="inlineStr">
        <is>
          <t>15/05/2026</t>
        </is>
      </c>
      <c r="C966" s="11" t="inlineStr">
        <is>
          <t>REF. A BOLETO PAGO MEDME CONVEN - FARMACIA E DROGARIA NISSEI LTDA PGTO REF.CONVENIO FARMACIA DESCONTADO EM FOLHA</t>
        </is>
      </c>
      <c r="D966" s="12" t="n">
        <v>-88.41</v>
      </c>
      <c r="E966" s="11" t="inlineStr">
        <is>
          <t>493</t>
        </is>
      </c>
      <c r="F966" s="11" t="inlineStr">
        <is>
          <t>DESPESAS DIVERSAS</t>
        </is>
      </c>
      <c r="G966" s="13" t="inlineStr">
        <is>
          <t>493</t>
        </is>
      </c>
      <c r="H966" s="11">
        <f>IFERROR(VLOOKUP(G966&amp;"",PLANO!A:B,2,FALSE),"CONTA NAO EXISTE NO PLANO")</f>
        <v/>
      </c>
      <c r="I966" s="11" t="inlineStr">
        <is>
          <t>493</t>
        </is>
      </c>
      <c r="J966" s="11" t="inlineStr">
        <is>
          <t>MANTIDO</t>
        </is>
      </c>
      <c r="K966" s="11" t="inlineStr">
        <is>
          <t>folha/convenio farmacia desconto em folha | mantida a conta atual (sem informacao que justifique troca)</t>
        </is>
      </c>
      <c r="L966" s="11" t="inlineStr">
        <is>
          <t>FARMACIA E DROGARIA NISSEI LTDA | 115/17 | PGTO REF.CONVENIO FARMACIA DESCONTADO EM FOLHA</t>
        </is>
      </c>
      <c r="M966" s="11" t="inlineStr">
        <is>
          <t>FARMACIA E DROGARIA NISSEI LTDA - PGTO REF.CONVENIO FARMACIA DESCONTADO EM FOLHA</t>
        </is>
      </c>
    </row>
    <row r="967">
      <c r="A967" t="n">
        <v>966</v>
      </c>
      <c r="B967" t="inlineStr">
        <is>
          <t>15/05/2026</t>
        </is>
      </c>
      <c r="C967" t="inlineStr">
        <is>
          <t>REF. A BOLETO PAGO MHLOG LOGISTICA E TRANSPORTE LTDA PAG REF A FRETE SOBRE VENDA NF 8094</t>
        </is>
      </c>
      <c r="D967" s="7" t="n">
        <v>-1214.91</v>
      </c>
      <c r="E967" t="inlineStr">
        <is>
          <t>312</t>
        </is>
      </c>
      <c r="F967" t="inlineStr">
        <is>
          <t>FRETES E CARRETOS</t>
        </is>
      </c>
      <c r="G967" s="2" t="inlineStr">
        <is>
          <t>312</t>
        </is>
      </c>
      <c r="H967">
        <f>IFERROR(VLOOKUP(G967&amp;"",PLANO!A:B,2,FALSE),"CONTA NAO EXISTE NO PLANO")</f>
        <v/>
      </c>
      <c r="I967" t="inlineStr">
        <is>
          <t>312</t>
        </is>
      </c>
      <c r="J967" t="inlineStr">
        <is>
          <t>OK</t>
        </is>
      </c>
      <c r="K967" t="inlineStr">
        <is>
          <t>categoria Cosmos 97</t>
        </is>
      </c>
      <c r="L967" t="inlineStr">
        <is>
          <t>MHLOG LOGISTICA E TRANSPORTE LTDA | 115/97 | PAG REF A FRETE SOBRE VENDA NF 8094</t>
        </is>
      </c>
      <c r="M967" t="inlineStr">
        <is>
          <t>MHLOG LOGISTICA E TRANSPORTE LTDA - PAG REF A FRETE SOBRE VENDA NF 8094</t>
        </is>
      </c>
    </row>
    <row r="968">
      <c r="A968" t="n">
        <v>967</v>
      </c>
      <c r="B968" t="inlineStr">
        <is>
          <t>18/05/2026</t>
        </is>
      </c>
      <c r="C968" t="inlineStr">
        <is>
          <t>REF. A SISPAG ESAINT COMERCIO</t>
        </is>
      </c>
      <c r="D968" s="7" t="n">
        <v>2500</v>
      </c>
      <c r="E968" t="inlineStr">
        <is>
          <t>504</t>
        </is>
      </c>
      <c r="F968" t="inlineStr">
        <is>
          <t>CLIENTES DIVERSOS</t>
        </is>
      </c>
      <c r="G968" s="2" t="inlineStr">
        <is>
          <t>504</t>
        </is>
      </c>
      <c r="H968">
        <f>IFERROR(VLOOKUP(G968&amp;"",PLANO!A:B,2,FALSE),"CONTA NAO EXISTE NO PLANO")</f>
        <v/>
      </c>
      <c r="I968" t="inlineStr">
        <is>
          <t>504</t>
        </is>
      </c>
      <c r="J968" t="inlineStr">
        <is>
          <t>SEM COSMOS</t>
        </is>
      </c>
      <c r="K968" t="inlineStr"/>
      <c r="L968" t="inlineStr"/>
      <c r="M968" t="inlineStr">
        <is>
          <t>SISPAG ESAINT COMERCIO</t>
        </is>
      </c>
    </row>
    <row r="969">
      <c r="A969" t="n">
        <v>968</v>
      </c>
      <c r="B969" t="inlineStr">
        <is>
          <t>18/05/2026</t>
        </is>
      </c>
      <c r="C969" t="inlineStr">
        <is>
          <t>REF. A MOV TIT COB DISP 18/05S</t>
        </is>
      </c>
      <c r="D969" s="7" t="n">
        <v>4924.68</v>
      </c>
      <c r="E969" t="inlineStr">
        <is>
          <t>504</t>
        </is>
      </c>
      <c r="F969" t="inlineStr">
        <is>
          <t>CLIENTES DIVERSOS</t>
        </is>
      </c>
      <c r="G969" s="2" t="inlineStr">
        <is>
          <t>504</t>
        </is>
      </c>
      <c r="H969">
        <f>IFERROR(VLOOKUP(G969&amp;"",PLANO!A:B,2,FALSE),"CONTA NAO EXISTE NO PLANO")</f>
        <v/>
      </c>
      <c r="I969" t="inlineStr">
        <is>
          <t>504</t>
        </is>
      </c>
      <c r="J969" t="inlineStr">
        <is>
          <t>SEM COSMOS</t>
        </is>
      </c>
      <c r="K969" t="inlineStr"/>
      <c r="L969" t="inlineStr"/>
      <c r="M969" t="inlineStr">
        <is>
          <t>MOV TIT COB DISP 18/05S</t>
        </is>
      </c>
    </row>
    <row r="970">
      <c r="A970" t="n">
        <v>969</v>
      </c>
      <c r="B970" t="inlineStr">
        <is>
          <t>18/05/2026</t>
        </is>
      </c>
      <c r="C970" t="inlineStr">
        <is>
          <t>REF. A PIX TRANSF ENISIO 16/05</t>
        </is>
      </c>
      <c r="D970" s="7" t="n">
        <v>2000</v>
      </c>
      <c r="E970" t="inlineStr">
        <is>
          <t>504</t>
        </is>
      </c>
      <c r="F970" t="inlineStr">
        <is>
          <t>CLIENTES DIVERSOS</t>
        </is>
      </c>
      <c r="G970" s="2" t="inlineStr">
        <is>
          <t>504</t>
        </is>
      </c>
      <c r="H970">
        <f>IFERROR(VLOOKUP(G970&amp;"",PLANO!A:B,2,FALSE),"CONTA NAO EXISTE NO PLANO")</f>
        <v/>
      </c>
      <c r="I970" t="inlineStr">
        <is>
          <t>504</t>
        </is>
      </c>
      <c r="J970" t="inlineStr">
        <is>
          <t>SEM COSMOS</t>
        </is>
      </c>
      <c r="K970" t="inlineStr"/>
      <c r="L970" t="inlineStr"/>
      <c r="M970" t="inlineStr">
        <is>
          <t>PIX TRANSF ENISIO 16/05</t>
        </is>
      </c>
    </row>
    <row r="971">
      <c r="A971" t="n">
        <v>970</v>
      </c>
      <c r="B971" t="inlineStr">
        <is>
          <t>18/05/2026</t>
        </is>
      </c>
      <c r="C971" t="inlineStr">
        <is>
          <t>REF. A PIX TRANSF 12.825.18/05</t>
        </is>
      </c>
      <c r="D971" s="7" t="n">
        <v>368.64</v>
      </c>
      <c r="E971" t="inlineStr">
        <is>
          <t>504</t>
        </is>
      </c>
      <c r="F971" t="inlineStr">
        <is>
          <t>CLIENTES DIVERSOS</t>
        </is>
      </c>
      <c r="G971" s="2" t="inlineStr">
        <is>
          <t>504</t>
        </is>
      </c>
      <c r="H971">
        <f>IFERROR(VLOOKUP(G971&amp;"",PLANO!A:B,2,FALSE),"CONTA NAO EXISTE NO PLANO")</f>
        <v/>
      </c>
      <c r="I971" t="inlineStr">
        <is>
          <t>504</t>
        </is>
      </c>
      <c r="J971" t="inlineStr">
        <is>
          <t>SEM COSMOS</t>
        </is>
      </c>
      <c r="K971" t="inlineStr"/>
      <c r="L971" t="inlineStr"/>
      <c r="M971" t="inlineStr">
        <is>
          <t>PIX TRANSF 12.825.18/05</t>
        </is>
      </c>
    </row>
    <row r="972">
      <c r="A972" t="n">
        <v>971</v>
      </c>
      <c r="B972" t="inlineStr">
        <is>
          <t>18/05/2026</t>
        </is>
      </c>
      <c r="C972" t="inlineStr">
        <is>
          <t>REF A EST SAVATEC C</t>
        </is>
      </c>
      <c r="D972" s="7" t="n">
        <v>430.24</v>
      </c>
      <c r="E972" t="inlineStr">
        <is>
          <t>504</t>
        </is>
      </c>
      <c r="F972" t="inlineStr">
        <is>
          <t>CLIENTES DIVERSOS</t>
        </is>
      </c>
      <c r="G972" s="2" t="inlineStr">
        <is>
          <t>504</t>
        </is>
      </c>
      <c r="H972">
        <f>IFERROR(VLOOKUP(G972&amp;"",PLANO!A:B,2,FALSE),"CONTA NAO EXISTE NO PLANO")</f>
        <v/>
      </c>
      <c r="I972" t="inlineStr">
        <is>
          <t>504</t>
        </is>
      </c>
      <c r="J972" t="inlineStr">
        <is>
          <t>SEM COSMOS</t>
        </is>
      </c>
      <c r="K972" t="inlineStr"/>
      <c r="L972" t="inlineStr"/>
      <c r="M972" t="inlineStr">
        <is>
          <t>EST SAVATEC C</t>
        </is>
      </c>
    </row>
    <row r="973">
      <c r="A973" s="11" t="n">
        <v>972</v>
      </c>
      <c r="B973" s="11" t="inlineStr">
        <is>
          <t>18/05/2026</t>
        </is>
      </c>
      <c r="C973" s="11" t="inlineStr">
        <is>
          <t>REF A SISPAG PIX QR-CODE - MICHEL SCANDER MAZZONI PGTO REF.PRO-LABORE</t>
        </is>
      </c>
      <c r="D973" s="12" t="n">
        <v>-394.77</v>
      </c>
      <c r="E973" s="11" t="inlineStr">
        <is>
          <t>362</t>
        </is>
      </c>
      <c r="F973" s="11" t="inlineStr">
        <is>
          <t>SERVIÇOS PRESTADOS POR TERCEIROS</t>
        </is>
      </c>
      <c r="G973" s="13" t="inlineStr">
        <is>
          <t>362</t>
        </is>
      </c>
      <c r="H973" s="11">
        <f>IFERROR(VLOOKUP(G973&amp;"",PLANO!A:B,2,FALSE),"CONTA NAO EXISTE NO PLANO")</f>
        <v/>
      </c>
      <c r="I973" s="11" t="inlineStr">
        <is>
          <t>362</t>
        </is>
      </c>
      <c r="J973" s="11" t="inlineStr">
        <is>
          <t>MANTIDO</t>
        </is>
      </c>
      <c r="K973" s="11" t="inlineStr">
        <is>
          <t>socios Mazzoni (fora do contrato social) - mantido como estava</t>
        </is>
      </c>
      <c r="L973" s="11" t="inlineStr">
        <is>
          <t>MICHEL SCANDER MAZZONI | 115/33 | PGTO REF.PRO-LABORE</t>
        </is>
      </c>
      <c r="M973" s="11" t="inlineStr">
        <is>
          <t>MICHEL SCANDER MAZZONI - PGTO REF.PRO-LABORE</t>
        </is>
      </c>
    </row>
    <row r="974">
      <c r="A974" t="n">
        <v>973</v>
      </c>
      <c r="B974" t="inlineStr">
        <is>
          <t>18/05/2026</t>
        </is>
      </c>
      <c r="C974" t="inlineStr">
        <is>
          <t>REF A PIX ENVIADO SAVATEC COME</t>
        </is>
      </c>
      <c r="D974" s="7" t="n">
        <v>-430.24</v>
      </c>
      <c r="E974" t="inlineStr">
        <is>
          <t>640</t>
        </is>
      </c>
      <c r="F974" t="inlineStr">
        <is>
          <t>SOFTWARE/SISTEMA</t>
        </is>
      </c>
      <c r="G974" s="2" t="inlineStr">
        <is>
          <t>640</t>
        </is>
      </c>
      <c r="H974">
        <f>IFERROR(VLOOKUP(G974&amp;"",PLANO!A:B,2,FALSE),"CONTA NAO EXISTE NO PLANO")</f>
        <v/>
      </c>
      <c r="I974" t="inlineStr">
        <is>
          <t>640</t>
        </is>
      </c>
      <c r="J974" t="inlineStr">
        <is>
          <t>SEM COSMOS</t>
        </is>
      </c>
      <c r="K974" t="inlineStr"/>
      <c r="L974" t="inlineStr"/>
      <c r="M974" t="inlineStr">
        <is>
          <t>PIX ENVIADO SAVATEC COME</t>
        </is>
      </c>
    </row>
    <row r="975">
      <c r="A975" s="11" t="n">
        <v>974</v>
      </c>
      <c r="B975" s="11" t="inlineStr">
        <is>
          <t>18/05/2026</t>
        </is>
      </c>
      <c r="C975" s="11" t="inlineStr">
        <is>
          <t>REF. A PIX ENVIADO CARLOS ALEXA - CARLOS ALEXANDRE MAZZONI PGTO REF.PRO-LABORE</t>
        </is>
      </c>
      <c r="D975" s="12" t="n">
        <v>-1000</v>
      </c>
      <c r="E975" s="11" t="inlineStr">
        <is>
          <t>362</t>
        </is>
      </c>
      <c r="F975" s="11" t="inlineStr">
        <is>
          <t>SERVIÇOS PRESTADOS POR TERCEIROS</t>
        </is>
      </c>
      <c r="G975" s="13" t="inlineStr">
        <is>
          <t>362</t>
        </is>
      </c>
      <c r="H975" s="11">
        <f>IFERROR(VLOOKUP(G975&amp;"",PLANO!A:B,2,FALSE),"CONTA NAO EXISTE NO PLANO")</f>
        <v/>
      </c>
      <c r="I975" s="11" t="inlineStr">
        <is>
          <t>362</t>
        </is>
      </c>
      <c r="J975" s="11" t="inlineStr">
        <is>
          <t>MANTIDO</t>
        </is>
      </c>
      <c r="K975" s="11" t="inlineStr">
        <is>
          <t>socios Mazzoni (fora do contrato social) - mantido como estava</t>
        </is>
      </c>
      <c r="L975" s="11" t="inlineStr">
        <is>
          <t>CARLOS ALEXANDRE MAZZONI | 115/33 | PGTO REF.PRO-LABORE</t>
        </is>
      </c>
      <c r="M975" s="11" t="inlineStr">
        <is>
          <t>CARLOS ALEXANDRE MAZZONI - PGTO REF.PRO-LABORE</t>
        </is>
      </c>
    </row>
    <row r="976">
      <c r="A976" s="11" t="n">
        <v>975</v>
      </c>
      <c r="B976" s="11" t="inlineStr">
        <is>
          <t>18/05/2026</t>
        </is>
      </c>
      <c r="C976" s="11" t="inlineStr">
        <is>
          <t>REF A PIX ENVIADO SAVATEC COMERCIO E SERVICOS LTDA PGTO REF.COMPRA DE MATERIAL PARA APLICAÇÃO DOENVASE</t>
        </is>
      </c>
      <c r="D976" s="12" t="n">
        <v>-430.24</v>
      </c>
      <c r="E976" s="11" t="inlineStr">
        <is>
          <t>506</t>
        </is>
      </c>
      <c r="F976" s="11" t="inlineStr">
        <is>
          <t>FORNECEDORES DIVERSOS</t>
        </is>
      </c>
      <c r="G976" s="13" t="inlineStr">
        <is>
          <t>506</t>
        </is>
      </c>
      <c r="H976" s="11">
        <f>IFERROR(VLOOKUP(G976&amp;"",PLANO!A:B,2,FALSE),"CONTA NAO EXISTE NO PLANO")</f>
        <v/>
      </c>
      <c r="I976" s="11" t="inlineStr">
        <is>
          <t>506</t>
        </is>
      </c>
      <c r="J976" s="11" t="inlineStr">
        <is>
          <t>MANTIDO</t>
        </is>
      </c>
      <c r="K976" s="11" t="inlineStr">
        <is>
          <t>nitrogenio/materiais | mantida a conta atual (sem informacao que justifique troca)</t>
        </is>
      </c>
      <c r="L976" s="11" t="inlineStr">
        <is>
          <t>SAVATEC COMERCIO E SERVICOS LTDA | 115/104 | PGTO REF.COMPRA DE MATERIAL PARA APLICAÇÃO DO ENVASE</t>
        </is>
      </c>
      <c r="M976" s="11" t="inlineStr">
        <is>
          <t>SAVATEC COMERCIO E SERVICOS LTDA - PGTO REF.COMPRA DE MATERIAL PARA APLICAÇÃO DO ENVASE</t>
        </is>
      </c>
    </row>
    <row r="977">
      <c r="A977" s="11" t="n">
        <v>976</v>
      </c>
      <c r="B977" s="11" t="inlineStr">
        <is>
          <t>18/05/2026</t>
        </is>
      </c>
      <c r="C977" s="11" t="inlineStr">
        <is>
          <t>REF. A PIX ENVIADO MICHEL SCANDER MAZZONI PGTO REF.PRO-LABORE</t>
        </is>
      </c>
      <c r="D977" s="12" t="n">
        <v>-85.8</v>
      </c>
      <c r="E977" s="11" t="inlineStr">
        <is>
          <t>362</t>
        </is>
      </c>
      <c r="F977" s="11" t="inlineStr">
        <is>
          <t>SERVIÇOS PRESTADOS POR TERCEIROS</t>
        </is>
      </c>
      <c r="G977" s="13" t="inlineStr">
        <is>
          <t>362</t>
        </is>
      </c>
      <c r="H977" s="11">
        <f>IFERROR(VLOOKUP(G977&amp;"",PLANO!A:B,2,FALSE),"CONTA NAO EXISTE NO PLANO")</f>
        <v/>
      </c>
      <c r="I977" s="11" t="inlineStr">
        <is>
          <t>362</t>
        </is>
      </c>
      <c r="J977" s="11" t="inlineStr">
        <is>
          <t>MANTIDO</t>
        </is>
      </c>
      <c r="K977" s="11" t="inlineStr">
        <is>
          <t>socios Mazzoni (fora do contrato social) - mantido como estava</t>
        </is>
      </c>
      <c r="L977" s="11" t="inlineStr">
        <is>
          <t>MICHEL SCANDER MAZZONI | 115/33 | PGTO REF.PRO-LABORE</t>
        </is>
      </c>
      <c r="M977" s="11" t="inlineStr">
        <is>
          <t>MICHEL SCANDER MAZZONI - PGTO REF.PRO-LABORE</t>
        </is>
      </c>
    </row>
    <row r="978">
      <c r="A978" s="4" t="n">
        <v>977</v>
      </c>
      <c r="B978" s="4" t="inlineStr">
        <is>
          <t>18/05/2026</t>
        </is>
      </c>
      <c r="C978" s="4" t="inlineStr">
        <is>
          <t>REF. A PIX ENVIADO GULA COSMETI</t>
        </is>
      </c>
      <c r="D978" s="5" t="n">
        <v>-3000</v>
      </c>
      <c r="E978" s="4" t="inlineStr">
        <is>
          <t>506</t>
        </is>
      </c>
      <c r="F978" s="4" t="inlineStr">
        <is>
          <t>FORNECEDORES DIVERSOS</t>
        </is>
      </c>
      <c r="G978" s="6" t="inlineStr">
        <is>
          <t>366</t>
        </is>
      </c>
      <c r="H978" s="4">
        <f>IFERROR(VLOOKUP(G978&amp;"",PLANO!A:B,2,FALSE),"CONTA NAO EXISTE NO PLANO")</f>
        <v/>
      </c>
      <c r="I978" s="4" t="inlineStr">
        <is>
          <t>672</t>
        </is>
      </c>
      <c r="J978" s="4" t="inlineStr">
        <is>
          <t>AJUSTADO</t>
        </is>
      </c>
      <c r="K978" s="4" t="inlineStr">
        <is>
          <t>GULA/FIQUE BEM (mesmo CNPJ, empresa do grupo) - mutuo em EMPRESTIMOS A TERCEIROS (366); nao e fornecedor</t>
        </is>
      </c>
      <c r="L978" s="4" t="inlineStr"/>
      <c r="M978" s="4" t="inlineStr">
        <is>
          <t>PIX ENVIADO GULA COSMETI</t>
        </is>
      </c>
    </row>
    <row r="979">
      <c r="A979" t="n">
        <v>978</v>
      </c>
      <c r="B979" t="inlineStr">
        <is>
          <t>18/05/2026</t>
        </is>
      </c>
      <c r="C979" t="inlineStr">
        <is>
          <t>BOLETO PAGO EXPRESSO SAO MIGUEL LTDA PAG REF A FRETE SOBRE VENDAS 8100, 8099, 8138,7953, 7974, 7981, 7975, 7999, 8006, 8004, 8028,8031, 8027, 8069, 8086, 8108 E 8107</t>
        </is>
      </c>
      <c r="D979" s="7" t="n">
        <v>-1370.5</v>
      </c>
      <c r="E979" t="inlineStr">
        <is>
          <t>312</t>
        </is>
      </c>
      <c r="F979" t="inlineStr">
        <is>
          <t>FRETES E CARRETOS</t>
        </is>
      </c>
      <c r="G979" s="2" t="inlineStr">
        <is>
          <t>312</t>
        </is>
      </c>
      <c r="H979">
        <f>IFERROR(VLOOKUP(G979&amp;"",PLANO!A:B,2,FALSE),"CONTA NAO EXISTE NO PLANO")</f>
        <v/>
      </c>
      <c r="I979" t="inlineStr">
        <is>
          <t>312</t>
        </is>
      </c>
      <c r="J979" t="inlineStr">
        <is>
          <t>OK</t>
        </is>
      </c>
      <c r="K979" t="inlineStr">
        <is>
          <t>categoria Cosmos 97</t>
        </is>
      </c>
      <c r="L979" t="inlineStr">
        <is>
          <t>EXPRESSO SAO MIGUEL LTDA | 115/97 | PAG REF A FRETE SOBRE VENDAS 8100, 8099, 8138, 7953, 7974, 7981, 7975, 7999, 8006, 8004, 8028, 8031, 8027, 8069, 8086, 8</t>
        </is>
      </c>
      <c r="M979" t="inlineStr">
        <is>
          <t>EXPRESSO SAO MIGUEL LTDA - PAG REF A FRETE SOBRE VENDAS 8100, 8099, 8138, 7953, 7974, 7981, 7975, 7999, 800</t>
        </is>
      </c>
    </row>
    <row r="980">
      <c r="A980" s="4" t="n">
        <v>979</v>
      </c>
      <c r="B980" s="4" t="inlineStr">
        <is>
          <t>18/05/2026</t>
        </is>
      </c>
      <c r="C980" s="4" t="inlineStr">
        <is>
          <t>REF. A BOLETO PAGO TECNOPONTO TEC AVAN CONT DE PONTO ACESSO LTDA PAGTO REF. A COMPRA DO NOVO RELÓGIO</t>
        </is>
      </c>
      <c r="D980" s="5" t="n">
        <v>-166.67</v>
      </c>
      <c r="E980" s="4" t="inlineStr">
        <is>
          <t>364</t>
        </is>
      </c>
      <c r="F980" s="4" t="inlineStr">
        <is>
          <t>DESPESAS ADMINISTRATIVAS</t>
        </is>
      </c>
      <c r="G980" s="6" t="inlineStr">
        <is>
          <t>640</t>
        </is>
      </c>
      <c r="H980" s="4">
        <f>IFERROR(VLOOKUP(G980&amp;"",PLANO!A:B,2,FALSE),"CONTA NAO EXISTE NO PLANO")</f>
        <v/>
      </c>
      <c r="I980" s="4" t="inlineStr">
        <is>
          <t>364</t>
        </is>
      </c>
      <c r="J980" s="4" t="inlineStr">
        <is>
          <t>AJUSTADO</t>
        </is>
      </c>
      <c r="K980" s="4" t="inlineStr">
        <is>
          <t>software/sistema (Cosmos cat. 47)</t>
        </is>
      </c>
      <c r="L980" s="4" t="inlineStr">
        <is>
          <t>TECNOPONTO TEC AVAN CONT DE PONTO ACESSO LTDA | 115/47 | PAGTO REF. A COMPRA DO NOVO RELÓGIO</t>
        </is>
      </c>
      <c r="M980" s="4" t="inlineStr">
        <is>
          <t>TECNOPONTO TEC AVAN CONT DE PONTO ACESSO LTDA - PAGTO REF. A COMPRA DO NOVO RELÓGIO</t>
        </is>
      </c>
    </row>
    <row r="981">
      <c r="A981" s="11" t="n">
        <v>980</v>
      </c>
      <c r="B981" s="11" t="inlineStr">
        <is>
          <t>18/05/2026</t>
        </is>
      </c>
      <c r="C981" s="11" t="inlineStr">
        <is>
          <t>REF A BOLETO PAGO PRUDENTIAL - MICHEL SCANDER MAZZONI PGTO REF.PRO-LABORE</t>
        </is>
      </c>
      <c r="D981" s="12" t="n">
        <v>-550.62</v>
      </c>
      <c r="E981" s="11" t="inlineStr">
        <is>
          <t>362</t>
        </is>
      </c>
      <c r="F981" s="11" t="inlineStr">
        <is>
          <t>SERVIÇOS PRESTADOS POR TERCEIROS</t>
        </is>
      </c>
      <c r="G981" s="13" t="inlineStr">
        <is>
          <t>362</t>
        </is>
      </c>
      <c r="H981" s="11">
        <f>IFERROR(VLOOKUP(G981&amp;"",PLANO!A:B,2,FALSE),"CONTA NAO EXISTE NO PLANO")</f>
        <v/>
      </c>
      <c r="I981" s="11" t="inlineStr">
        <is>
          <t>362</t>
        </is>
      </c>
      <c r="J981" s="11" t="inlineStr">
        <is>
          <t>MANTIDO</t>
        </is>
      </c>
      <c r="K981" s="11" t="inlineStr">
        <is>
          <t>socios Mazzoni (fora do contrato social) - mantido como estava</t>
        </is>
      </c>
      <c r="L981" s="11" t="inlineStr">
        <is>
          <t>MICHEL SCANDER MAZZONI | 115/33 | PGTO REF.PRO-LABORE</t>
        </is>
      </c>
      <c r="M981" s="11" t="inlineStr">
        <is>
          <t>MICHEL SCANDER MAZZONI - PGTO REF.PRO-LABORE</t>
        </is>
      </c>
    </row>
    <row r="982">
      <c r="A982" t="n">
        <v>981</v>
      </c>
      <c r="B982" t="inlineStr">
        <is>
          <t>19/05/2026</t>
        </is>
      </c>
      <c r="C982" t="inlineStr">
        <is>
          <t>REF. A SISPAG GUIDI COSMETICOS</t>
        </is>
      </c>
      <c r="D982" s="7" t="n">
        <v>2274</v>
      </c>
      <c r="E982" t="inlineStr">
        <is>
          <t>504</t>
        </is>
      </c>
      <c r="F982" t="inlineStr">
        <is>
          <t>CLIENTES DIVERSOS</t>
        </is>
      </c>
      <c r="G982" s="2" t="inlineStr">
        <is>
          <t>504</t>
        </is>
      </c>
      <c r="H982">
        <f>IFERROR(VLOOKUP(G982&amp;"",PLANO!A:B,2,FALSE),"CONTA NAO EXISTE NO PLANO")</f>
        <v/>
      </c>
      <c r="I982" t="inlineStr">
        <is>
          <t>504</t>
        </is>
      </c>
      <c r="J982" t="inlineStr">
        <is>
          <t>SEM COSMOS</t>
        </is>
      </c>
      <c r="K982" t="inlineStr"/>
      <c r="L982" t="inlineStr"/>
      <c r="M982" t="inlineStr">
        <is>
          <t>SISPAG GUIDI COSMETICOS</t>
        </is>
      </c>
    </row>
    <row r="983">
      <c r="A983" t="n">
        <v>982</v>
      </c>
      <c r="B983" t="inlineStr">
        <is>
          <t>19/05/2026</t>
        </is>
      </c>
      <c r="C983" t="inlineStr">
        <is>
          <t>REF A SISPAG O.S. SECURITIZAD</t>
        </is>
      </c>
      <c r="D983" s="7" t="n">
        <v>8625.08</v>
      </c>
      <c r="E983" t="inlineStr">
        <is>
          <t>504</t>
        </is>
      </c>
      <c r="F983" t="inlineStr">
        <is>
          <t>CLIENTES DIVERSOS</t>
        </is>
      </c>
      <c r="G983" s="2" t="inlineStr">
        <is>
          <t>504</t>
        </is>
      </c>
      <c r="H983">
        <f>IFERROR(VLOOKUP(G983&amp;"",PLANO!A:B,2,FALSE),"CONTA NAO EXISTE NO PLANO")</f>
        <v/>
      </c>
      <c r="I983" t="inlineStr">
        <is>
          <t>504</t>
        </is>
      </c>
      <c r="J983" t="inlineStr">
        <is>
          <t>SEM COSMOS</t>
        </is>
      </c>
      <c r="K983" t="inlineStr"/>
      <c r="L983" t="inlineStr"/>
      <c r="M983" t="inlineStr">
        <is>
          <t>SISPAG O.S. SECURITIZAD</t>
        </is>
      </c>
    </row>
    <row r="984">
      <c r="A984" t="n">
        <v>983</v>
      </c>
      <c r="B984" t="inlineStr">
        <is>
          <t>19/05/2026</t>
        </is>
      </c>
      <c r="C984" t="inlineStr">
        <is>
          <t>REF. A MOV TIT COB DISP 19/05S</t>
        </is>
      </c>
      <c r="D984" s="7" t="n">
        <v>1749.44</v>
      </c>
      <c r="E984" t="inlineStr">
        <is>
          <t>504</t>
        </is>
      </c>
      <c r="F984" t="inlineStr">
        <is>
          <t>CLIENTES DIVERSOS</t>
        </is>
      </c>
      <c r="G984" s="2" t="inlineStr">
        <is>
          <t>504</t>
        </is>
      </c>
      <c r="H984">
        <f>IFERROR(VLOOKUP(G984&amp;"",PLANO!A:B,2,FALSE),"CONTA NAO EXISTE NO PLANO")</f>
        <v/>
      </c>
      <c r="I984" t="inlineStr">
        <is>
          <t>504</t>
        </is>
      </c>
      <c r="J984" t="inlineStr">
        <is>
          <t>SEM COSMOS</t>
        </is>
      </c>
      <c r="K984" t="inlineStr"/>
      <c r="L984" t="inlineStr"/>
      <c r="M984" t="inlineStr">
        <is>
          <t>MOV TIT COB DISP 19/05S</t>
        </is>
      </c>
    </row>
    <row r="985">
      <c r="A985" t="n">
        <v>984</v>
      </c>
      <c r="B985" t="inlineStr">
        <is>
          <t>19/05/2026</t>
        </is>
      </c>
      <c r="C985" t="inlineStr">
        <is>
          <t>REF. A REDE MAST AT0081996543</t>
        </is>
      </c>
      <c r="D985" s="7" t="n">
        <v>3015.31</v>
      </c>
      <c r="E985" t="inlineStr">
        <is>
          <t>504</t>
        </is>
      </c>
      <c r="F985" t="inlineStr">
        <is>
          <t>CLIENTES DIVERSOS</t>
        </is>
      </c>
      <c r="G985" s="2" t="inlineStr">
        <is>
          <t>504</t>
        </is>
      </c>
      <c r="H985">
        <f>IFERROR(VLOOKUP(G985&amp;"",PLANO!A:B,2,FALSE),"CONTA NAO EXISTE NO PLANO")</f>
        <v/>
      </c>
      <c r="I985" t="inlineStr">
        <is>
          <t>504</t>
        </is>
      </c>
      <c r="J985" t="inlineStr">
        <is>
          <t>SEM COSMOS</t>
        </is>
      </c>
      <c r="K985" t="inlineStr"/>
      <c r="L985" t="inlineStr"/>
      <c r="M985" t="inlineStr">
        <is>
          <t>REDE MAST AT0081996543</t>
        </is>
      </c>
    </row>
    <row r="986">
      <c r="A986" t="n">
        <v>985</v>
      </c>
      <c r="B986" t="inlineStr">
        <is>
          <t>19/05/2026</t>
        </is>
      </c>
      <c r="C986" t="inlineStr">
        <is>
          <t>REF. A REDE VISA AT0081996543</t>
        </is>
      </c>
      <c r="D986" s="7" t="n">
        <v>3583.43</v>
      </c>
      <c r="E986" t="inlineStr">
        <is>
          <t>504</t>
        </is>
      </c>
      <c r="F986" t="inlineStr">
        <is>
          <t>CLIENTES DIVERSOS</t>
        </is>
      </c>
      <c r="G986" s="2" t="inlineStr">
        <is>
          <t>504</t>
        </is>
      </c>
      <c r="H986">
        <f>IFERROR(VLOOKUP(G986&amp;"",PLANO!A:B,2,FALSE),"CONTA NAO EXISTE NO PLANO")</f>
        <v/>
      </c>
      <c r="I986" t="inlineStr">
        <is>
          <t>504</t>
        </is>
      </c>
      <c r="J986" t="inlineStr">
        <is>
          <t>SEM COSMOS</t>
        </is>
      </c>
      <c r="K986" t="inlineStr"/>
      <c r="L986" t="inlineStr"/>
      <c r="M986" t="inlineStr">
        <is>
          <t>REDE VISA AT0081996543</t>
        </is>
      </c>
    </row>
    <row r="987">
      <c r="A987" t="n">
        <v>986</v>
      </c>
      <c r="B987" t="inlineStr">
        <is>
          <t>19/05/2026</t>
        </is>
      </c>
      <c r="C987" t="inlineStr">
        <is>
          <t>REF. A PIX TRANSF SALAO D19/05</t>
        </is>
      </c>
      <c r="D987" s="7" t="n">
        <v>202.97</v>
      </c>
      <c r="E987" t="inlineStr">
        <is>
          <t>504</t>
        </is>
      </c>
      <c r="F987" t="inlineStr">
        <is>
          <t>CLIENTES DIVERSOS</t>
        </is>
      </c>
      <c r="G987" s="2" t="inlineStr">
        <is>
          <t>504</t>
        </is>
      </c>
      <c r="H987">
        <f>IFERROR(VLOOKUP(G987&amp;"",PLANO!A:B,2,FALSE),"CONTA NAO EXISTE NO PLANO")</f>
        <v/>
      </c>
      <c r="I987" t="inlineStr">
        <is>
          <t>504</t>
        </is>
      </c>
      <c r="J987" t="inlineStr">
        <is>
          <t>SEM COSMOS</t>
        </is>
      </c>
      <c r="K987" t="inlineStr"/>
      <c r="L987" t="inlineStr"/>
      <c r="M987" t="inlineStr">
        <is>
          <t>PIX TRANSF SALAO D19/05</t>
        </is>
      </c>
    </row>
    <row r="988">
      <c r="A988" t="n">
        <v>987</v>
      </c>
      <c r="B988" t="inlineStr">
        <is>
          <t>19/05/2026</t>
        </is>
      </c>
      <c r="C988" t="inlineStr">
        <is>
          <t>REF. A PIX TRANSF WALDIR 19/05</t>
        </is>
      </c>
      <c r="D988" s="7" t="n">
        <v>1100</v>
      </c>
      <c r="E988" t="inlineStr">
        <is>
          <t>504</t>
        </is>
      </c>
      <c r="F988" t="inlineStr">
        <is>
          <t>CLIENTES DIVERSOS</t>
        </is>
      </c>
      <c r="G988" s="2" t="inlineStr">
        <is>
          <t>504</t>
        </is>
      </c>
      <c r="H988">
        <f>IFERROR(VLOOKUP(G988&amp;"",PLANO!A:B,2,FALSE),"CONTA NAO EXISTE NO PLANO")</f>
        <v/>
      </c>
      <c r="I988" t="inlineStr">
        <is>
          <t>504</t>
        </is>
      </c>
      <c r="J988" t="inlineStr">
        <is>
          <t>SEM COSMOS</t>
        </is>
      </c>
      <c r="K988" t="inlineStr"/>
      <c r="L988" t="inlineStr"/>
      <c r="M988" t="inlineStr">
        <is>
          <t>PIX TRANSF WALDIR 19/05</t>
        </is>
      </c>
    </row>
    <row r="989">
      <c r="A989" t="n">
        <v>988</v>
      </c>
      <c r="B989" t="inlineStr">
        <is>
          <t>19/05/2026</t>
        </is>
      </c>
      <c r="C989" t="inlineStr">
        <is>
          <t>REF A PIX ENVIADO REMAZZO INDU</t>
        </is>
      </c>
      <c r="D989" s="7" t="n">
        <v>-2510.35</v>
      </c>
      <c r="E989" t="inlineStr">
        <is>
          <t>364</t>
        </is>
      </c>
      <c r="F989" t="inlineStr">
        <is>
          <t>DESPESAS ADMINISTRATIVAS</t>
        </is>
      </c>
      <c r="G989" s="2" t="inlineStr">
        <is>
          <t>364</t>
        </is>
      </c>
      <c r="H989">
        <f>IFERROR(VLOOKUP(G989&amp;"",PLANO!A:B,2,FALSE),"CONTA NAO EXISTE NO PLANO")</f>
        <v/>
      </c>
      <c r="I989" t="inlineStr">
        <is>
          <t>364</t>
        </is>
      </c>
      <c r="J989" t="inlineStr">
        <is>
          <t>SEM COSMOS</t>
        </is>
      </c>
      <c r="K989" t="inlineStr"/>
      <c r="L989" t="inlineStr"/>
      <c r="M989" t="inlineStr">
        <is>
          <t>PIX ENVIADO REMAZZO INDU</t>
        </is>
      </c>
    </row>
    <row r="990">
      <c r="A990" t="n">
        <v>989</v>
      </c>
      <c r="B990" t="inlineStr">
        <is>
          <t>19/05/2026</t>
        </is>
      </c>
      <c r="C990" t="inlineStr">
        <is>
          <t>REF A PIX ENVIADO REMAZZO INDU</t>
        </is>
      </c>
      <c r="D990" s="7" t="n">
        <v>-1394.07</v>
      </c>
      <c r="E990" t="inlineStr">
        <is>
          <t>364</t>
        </is>
      </c>
      <c r="F990" t="inlineStr">
        <is>
          <t>DESPESAS ADMINISTRATIVAS</t>
        </is>
      </c>
      <c r="G990" s="2" t="inlineStr">
        <is>
          <t>364</t>
        </is>
      </c>
      <c r="H990">
        <f>IFERROR(VLOOKUP(G990&amp;"",PLANO!A:B,2,FALSE),"CONTA NAO EXISTE NO PLANO")</f>
        <v/>
      </c>
      <c r="I990" t="inlineStr">
        <is>
          <t>364</t>
        </is>
      </c>
      <c r="J990" t="inlineStr">
        <is>
          <t>SEM COSMOS</t>
        </is>
      </c>
      <c r="K990" t="inlineStr"/>
      <c r="L990" t="inlineStr"/>
      <c r="M990" t="inlineStr">
        <is>
          <t>PIX ENVIADO REMAZZO INDU</t>
        </is>
      </c>
    </row>
    <row r="991">
      <c r="A991" s="4" t="n">
        <v>990</v>
      </c>
      <c r="B991" s="4" t="inlineStr">
        <is>
          <t>19/05/2026</t>
        </is>
      </c>
      <c r="C991" s="4" t="inlineStr">
        <is>
          <t>REF. A PIX ENVIADO GULA COSMETI</t>
        </is>
      </c>
      <c r="D991" s="5" t="n">
        <v>-3000</v>
      </c>
      <c r="E991" s="4" t="inlineStr">
        <is>
          <t>506</t>
        </is>
      </c>
      <c r="F991" s="4" t="inlineStr">
        <is>
          <t>FORNECEDORES DIVERSOS</t>
        </is>
      </c>
      <c r="G991" s="6" t="inlineStr">
        <is>
          <t>366</t>
        </is>
      </c>
      <c r="H991" s="4">
        <f>IFERROR(VLOOKUP(G991&amp;"",PLANO!A:B,2,FALSE),"CONTA NAO EXISTE NO PLANO")</f>
        <v/>
      </c>
      <c r="I991" s="4" t="inlineStr">
        <is>
          <t>672</t>
        </is>
      </c>
      <c r="J991" s="4" t="inlineStr">
        <is>
          <t>AJUSTADO</t>
        </is>
      </c>
      <c r="K991" s="4" t="inlineStr">
        <is>
          <t>GULA/FIQUE BEM (mesmo CNPJ, empresa do grupo) - mutuo em EMPRESTIMOS A TERCEIROS (366); nao e fornecedor</t>
        </is>
      </c>
      <c r="L991" s="4" t="inlineStr"/>
      <c r="M991" s="4" t="inlineStr">
        <is>
          <t>PIX ENVIADO GULA COSMETI</t>
        </is>
      </c>
    </row>
    <row r="992">
      <c r="A992" t="n">
        <v>991</v>
      </c>
      <c r="B992" t="inlineStr">
        <is>
          <t>19/05/2026</t>
        </is>
      </c>
      <c r="C992" t="inlineStr">
        <is>
          <t>REF. A PIX ENVIADO SKIN LAB INDUSTRIA E COMERCIO DE COSMETICOS LTDA</t>
        </is>
      </c>
      <c r="D992" s="7" t="n">
        <v>-11948.2</v>
      </c>
      <c r="E992" t="inlineStr">
        <is>
          <t>506</t>
        </is>
      </c>
      <c r="F992" t="inlineStr">
        <is>
          <t>FORNECEDORES DIVERSOS</t>
        </is>
      </c>
      <c r="G992" s="2" t="inlineStr">
        <is>
          <t>506</t>
        </is>
      </c>
      <c r="H992">
        <f>IFERROR(VLOOKUP(G992&amp;"",PLANO!A:B,2,FALSE),"CONTA NAO EXISTE NO PLANO")</f>
        <v/>
      </c>
      <c r="I992" t="inlineStr">
        <is>
          <t>506</t>
        </is>
      </c>
      <c r="J992" t="inlineStr">
        <is>
          <t>OK</t>
        </is>
      </c>
      <c r="K992" t="inlineStr">
        <is>
          <t>fornecedor com NF</t>
        </is>
      </c>
      <c r="L992" t="inlineStr">
        <is>
          <t xml:space="preserve">SKIN LAB INDUSTRIA E COMERCIO DE COSMETICOS LTDA | 113/78 | </t>
        </is>
      </c>
      <c r="M992" t="inlineStr">
        <is>
          <t>SKIN LAB INDUSTRIA E COMERCIO DE COSMETICOS LTDA</t>
        </is>
      </c>
    </row>
    <row r="993">
      <c r="A993" t="n">
        <v>992</v>
      </c>
      <c r="B993" t="inlineStr">
        <is>
          <t>19/05/2026</t>
        </is>
      </c>
      <c r="C993" t="inlineStr">
        <is>
          <t>REF A BOLETO PAGO CARVALIMA TRANSPORTES LTDA PAG REF A FRETE SOBRE VENDAS NF 7951 E 8015</t>
        </is>
      </c>
      <c r="D993" s="7" t="n">
        <v>-1198.6</v>
      </c>
      <c r="E993" t="inlineStr">
        <is>
          <t>312</t>
        </is>
      </c>
      <c r="F993" t="inlineStr">
        <is>
          <t>FRETES E CARRETOS</t>
        </is>
      </c>
      <c r="G993" s="2" t="inlineStr">
        <is>
          <t>312</t>
        </is>
      </c>
      <c r="H993">
        <f>IFERROR(VLOOKUP(G993&amp;"",PLANO!A:B,2,FALSE),"CONTA NAO EXISTE NO PLANO")</f>
        <v/>
      </c>
      <c r="I993" t="inlineStr">
        <is>
          <t>312</t>
        </is>
      </c>
      <c r="J993" t="inlineStr">
        <is>
          <t>OK</t>
        </is>
      </c>
      <c r="K993" t="inlineStr">
        <is>
          <t>categoria Cosmos 97</t>
        </is>
      </c>
      <c r="L993" t="inlineStr">
        <is>
          <t>CARVALIMA TRANSPORTES LTDA | 115/97 | PAG REF A FRETE SOBRE VENDAS NF 7951 E 8015</t>
        </is>
      </c>
      <c r="M993" t="inlineStr">
        <is>
          <t>CARVALIMA TRANSPORTES LTDA - PAG REF A FRETE SOBRE VENDAS NF 7951 E 8015</t>
        </is>
      </c>
    </row>
    <row r="994">
      <c r="A994" t="n">
        <v>993</v>
      </c>
      <c r="B994" t="inlineStr">
        <is>
          <t>20/05/2026</t>
        </is>
      </c>
      <c r="C994" t="inlineStr">
        <is>
          <t>REF. A MOV TIT COB DISP 20/05S</t>
        </is>
      </c>
      <c r="D994" s="7" t="n">
        <v>3974.46</v>
      </c>
      <c r="E994" t="inlineStr">
        <is>
          <t>504</t>
        </is>
      </c>
      <c r="F994" t="inlineStr">
        <is>
          <t>CLIENTES DIVERSOS</t>
        </is>
      </c>
      <c r="G994" s="2" t="inlineStr">
        <is>
          <t>504</t>
        </is>
      </c>
      <c r="H994">
        <f>IFERROR(VLOOKUP(G994&amp;"",PLANO!A:B,2,FALSE),"CONTA NAO EXISTE NO PLANO")</f>
        <v/>
      </c>
      <c r="I994" t="inlineStr">
        <is>
          <t>504</t>
        </is>
      </c>
      <c r="J994" t="inlineStr">
        <is>
          <t>SEM COSMOS</t>
        </is>
      </c>
      <c r="K994" t="inlineStr"/>
      <c r="L994" t="inlineStr"/>
      <c r="M994" t="inlineStr">
        <is>
          <t>MOV TIT COB DISP 20/05S</t>
        </is>
      </c>
    </row>
    <row r="995">
      <c r="A995" t="n">
        <v>994</v>
      </c>
      <c r="B995" t="inlineStr">
        <is>
          <t>20/05/2026</t>
        </is>
      </c>
      <c r="C995" t="inlineStr">
        <is>
          <t>REF. A REDE MAST AT0081996543</t>
        </is>
      </c>
      <c r="D995" s="7" t="n">
        <v>5503.37</v>
      </c>
      <c r="E995" t="inlineStr">
        <is>
          <t>504</t>
        </is>
      </c>
      <c r="F995" t="inlineStr">
        <is>
          <t>CLIENTES DIVERSOS</t>
        </is>
      </c>
      <c r="G995" s="2" t="inlineStr">
        <is>
          <t>504</t>
        </is>
      </c>
      <c r="H995">
        <f>IFERROR(VLOOKUP(G995&amp;"",PLANO!A:B,2,FALSE),"CONTA NAO EXISTE NO PLANO")</f>
        <v/>
      </c>
      <c r="I995" t="inlineStr">
        <is>
          <t>504</t>
        </is>
      </c>
      <c r="J995" t="inlineStr">
        <is>
          <t>SEM COSMOS</t>
        </is>
      </c>
      <c r="K995" t="inlineStr"/>
      <c r="L995" t="inlineStr"/>
      <c r="M995" t="inlineStr">
        <is>
          <t>REDE MAST AT0081996543</t>
        </is>
      </c>
    </row>
    <row r="996">
      <c r="A996" t="n">
        <v>995</v>
      </c>
      <c r="B996" t="inlineStr">
        <is>
          <t>20/05/2026</t>
        </is>
      </c>
      <c r="C996" t="inlineStr">
        <is>
          <t>REF. A REDE VISA AT0081996543</t>
        </is>
      </c>
      <c r="D996" s="7" t="n">
        <v>15616.99</v>
      </c>
      <c r="E996" t="inlineStr">
        <is>
          <t>504</t>
        </is>
      </c>
      <c r="F996" t="inlineStr">
        <is>
          <t>CLIENTES DIVERSOS</t>
        </is>
      </c>
      <c r="G996" s="2" t="inlineStr">
        <is>
          <t>504</t>
        </is>
      </c>
      <c r="H996">
        <f>IFERROR(VLOOKUP(G996&amp;"",PLANO!A:B,2,FALSE),"CONTA NAO EXISTE NO PLANO")</f>
        <v/>
      </c>
      <c r="I996" t="inlineStr">
        <is>
          <t>504</t>
        </is>
      </c>
      <c r="J996" t="inlineStr">
        <is>
          <t>SEM COSMOS</t>
        </is>
      </c>
      <c r="K996" t="inlineStr"/>
      <c r="L996" t="inlineStr"/>
      <c r="M996" t="inlineStr">
        <is>
          <t>REDE VISA AT0081996543</t>
        </is>
      </c>
    </row>
    <row r="997">
      <c r="A997" t="n">
        <v>996</v>
      </c>
      <c r="B997" t="inlineStr">
        <is>
          <t>20/05/2026</t>
        </is>
      </c>
      <c r="C997" t="inlineStr">
        <is>
          <t>REF. A PIX TRANSF JANDINE20/05</t>
        </is>
      </c>
      <c r="D997" s="7" t="n">
        <v>20000</v>
      </c>
      <c r="E997" t="inlineStr">
        <is>
          <t>504</t>
        </is>
      </c>
      <c r="F997" t="inlineStr">
        <is>
          <t>CLIENTES DIVERSOS</t>
        </is>
      </c>
      <c r="G997" s="2" t="inlineStr">
        <is>
          <t>504</t>
        </is>
      </c>
      <c r="H997">
        <f>IFERROR(VLOOKUP(G997&amp;"",PLANO!A:B,2,FALSE),"CONTA NAO EXISTE NO PLANO")</f>
        <v/>
      </c>
      <c r="I997" t="inlineStr">
        <is>
          <t>504</t>
        </is>
      </c>
      <c r="J997" t="inlineStr">
        <is>
          <t>SEM COSMOS</t>
        </is>
      </c>
      <c r="K997" t="inlineStr"/>
      <c r="L997" t="inlineStr"/>
      <c r="M997" t="inlineStr">
        <is>
          <t>PIX TRANSF JANDINE20/05</t>
        </is>
      </c>
    </row>
    <row r="998">
      <c r="A998" t="n">
        <v>997</v>
      </c>
      <c r="B998" t="inlineStr">
        <is>
          <t>20/05/2026</t>
        </is>
      </c>
      <c r="C998" t="inlineStr">
        <is>
          <t>REF. A PIX TRANSF JANETE 20/05</t>
        </is>
      </c>
      <c r="D998" s="7" t="n">
        <v>3012</v>
      </c>
      <c r="E998" t="inlineStr">
        <is>
          <t>504</t>
        </is>
      </c>
      <c r="F998" t="inlineStr">
        <is>
          <t>CLIENTES DIVERSOS</t>
        </is>
      </c>
      <c r="G998" s="2" t="inlineStr">
        <is>
          <t>504</t>
        </is>
      </c>
      <c r="H998">
        <f>IFERROR(VLOOKUP(G998&amp;"",PLANO!A:B,2,FALSE),"CONTA NAO EXISTE NO PLANO")</f>
        <v/>
      </c>
      <c r="I998" t="inlineStr">
        <is>
          <t>504</t>
        </is>
      </c>
      <c r="J998" t="inlineStr">
        <is>
          <t>SEM COSMOS</t>
        </is>
      </c>
      <c r="K998" t="inlineStr"/>
      <c r="L998" t="inlineStr"/>
      <c r="M998" t="inlineStr">
        <is>
          <t>PIX TRANSF JANETE 20/05</t>
        </is>
      </c>
    </row>
    <row r="999">
      <c r="A999" t="n">
        <v>998</v>
      </c>
      <c r="B999" t="inlineStr">
        <is>
          <t>20/05/2026</t>
        </is>
      </c>
      <c r="C999" t="inlineStr">
        <is>
          <t>REF. A PIX TRANSF 19 101 20/05</t>
        </is>
      </c>
      <c r="D999" s="7" t="n">
        <v>639.6799999999999</v>
      </c>
      <c r="E999" t="inlineStr">
        <is>
          <t>504</t>
        </is>
      </c>
      <c r="F999" t="inlineStr">
        <is>
          <t>CLIENTES DIVERSOS</t>
        </is>
      </c>
      <c r="G999" s="2" t="inlineStr">
        <is>
          <t>504</t>
        </is>
      </c>
      <c r="H999">
        <f>IFERROR(VLOOKUP(G999&amp;"",PLANO!A:B,2,FALSE),"CONTA NAO EXISTE NO PLANO")</f>
        <v/>
      </c>
      <c r="I999" t="inlineStr">
        <is>
          <t>504</t>
        </is>
      </c>
      <c r="J999" t="inlineStr">
        <is>
          <t>SEM COSMOS</t>
        </is>
      </c>
      <c r="K999" t="inlineStr"/>
      <c r="L999" t="inlineStr"/>
      <c r="M999" t="inlineStr">
        <is>
          <t>PIX TRANSF 19 101 20/05</t>
        </is>
      </c>
    </row>
    <row r="1000">
      <c r="A1000" s="4" t="n">
        <v>999</v>
      </c>
      <c r="B1000" s="4" t="inlineStr">
        <is>
          <t>20/05/2026</t>
        </is>
      </c>
      <c r="C1000" s="4" t="inlineStr">
        <is>
          <t>REF. A PIX ENVIADO COSMETICON C</t>
        </is>
      </c>
      <c r="D1000" s="5" t="n">
        <v>-10300</v>
      </c>
      <c r="E1000" s="4" t="inlineStr">
        <is>
          <t>664</t>
        </is>
      </c>
      <c r="F1000" s="4" t="inlineStr">
        <is>
          <t>COSMETICON COMERCIO DE COSMETICOS LTDA</t>
        </is>
      </c>
      <c r="G1000" s="6" t="inlineStr">
        <is>
          <t>663</t>
        </is>
      </c>
      <c r="H1000" s="4">
        <f>IFERROR(VLOOKUP(G1000&amp;"",PLANO!A:B,2,FALSE),"CONTA NAO EXISTE NO PLANO")</f>
        <v/>
      </c>
      <c r="I1000" s="4" t="inlineStr">
        <is>
          <t>663</t>
        </is>
      </c>
      <c r="J1000" s="4" t="inlineStr">
        <is>
          <t>AJUSTADO</t>
        </is>
      </c>
      <c r="K1000" s="4" t="inlineStr">
        <is>
          <t>COSMETICON - conta-corrente unica de mutuo (663)</t>
        </is>
      </c>
      <c r="L1000" s="4" t="inlineStr">
        <is>
          <t xml:space="preserve">OUTRAS SAIDAS | 123/71 | </t>
        </is>
      </c>
      <c r="M1000" s="4" t="inlineStr">
        <is>
          <t>PIX ENVIADO COSMETICON C</t>
        </is>
      </c>
    </row>
    <row r="1001">
      <c r="A1001" t="n">
        <v>1000</v>
      </c>
      <c r="B1001" t="inlineStr">
        <is>
          <t>20/05/2026</t>
        </is>
      </c>
      <c r="C1001" t="inlineStr">
        <is>
          <t>REF. A PIX ENVIADO RODONAVES TRANSPORTES E ENCOMENDAS LTDA PGTO REF.FRETE S/NFE</t>
        </is>
      </c>
      <c r="D1001" s="7" t="n">
        <v>-152.33</v>
      </c>
      <c r="E1001" t="inlineStr">
        <is>
          <t>312</t>
        </is>
      </c>
      <c r="F1001" t="inlineStr">
        <is>
          <t>FRETES E CARRETOS</t>
        </is>
      </c>
      <c r="G1001" s="2" t="inlineStr">
        <is>
          <t>312</t>
        </is>
      </c>
      <c r="H1001">
        <f>IFERROR(VLOOKUP(G1001&amp;"",PLANO!A:B,2,FALSE),"CONTA NAO EXISTE NO PLANO")</f>
        <v/>
      </c>
      <c r="I1001" t="inlineStr">
        <is>
          <t>312</t>
        </is>
      </c>
      <c r="J1001" t="inlineStr">
        <is>
          <t>OK</t>
        </is>
      </c>
      <c r="K1001" t="inlineStr">
        <is>
          <t>categoria Cosmos 97</t>
        </is>
      </c>
      <c r="L1001" t="inlineStr">
        <is>
          <t>RODONAVES TRANSPORTES E ENCOMENDAS LTDA | 115/97 | PGTO REF.FRETE S/NFE</t>
        </is>
      </c>
      <c r="M1001" t="inlineStr">
        <is>
          <t>RODONAVES TRANSPORTES E ENCOMENDAS LTDA - PGTO REF.FRETE S/NFE</t>
        </is>
      </c>
    </row>
    <row r="1002">
      <c r="A1002" s="4" t="n">
        <v>1001</v>
      </c>
      <c r="B1002" s="4" t="inlineStr">
        <is>
          <t>20/05/2026</t>
        </is>
      </c>
      <c r="C1002" s="4" t="inlineStr">
        <is>
          <t>REF. A PIX ENVIADO GULA COSMETI - OUTRAS SAIDAS</t>
        </is>
      </c>
      <c r="D1002" s="5" t="n">
        <v>-2000</v>
      </c>
      <c r="E1002" s="4" t="inlineStr">
        <is>
          <t>506</t>
        </is>
      </c>
      <c r="F1002" s="4" t="inlineStr">
        <is>
          <t>FORNECEDORES DIVERSOS</t>
        </is>
      </c>
      <c r="G1002" s="6" t="inlineStr">
        <is>
          <t>366</t>
        </is>
      </c>
      <c r="H1002" s="4">
        <f>IFERROR(VLOOKUP(G1002&amp;"",PLANO!A:B,2,FALSE),"CONTA NAO EXISTE NO PLANO")</f>
        <v/>
      </c>
      <c r="I1002" s="4" t="inlineStr">
        <is>
          <t>672</t>
        </is>
      </c>
      <c r="J1002" s="4" t="inlineStr">
        <is>
          <t>AJUSTADO</t>
        </is>
      </c>
      <c r="K1002" s="4" t="inlineStr">
        <is>
          <t>GULA/FIQUE BEM (mesmo CNPJ, empresa do grupo) - mutuo em EMPRESTIMOS A TERCEIROS (366); nao e fornecedor</t>
        </is>
      </c>
      <c r="L1002" s="4" t="inlineStr">
        <is>
          <t xml:space="preserve">OUTRAS SAIDAS | 123/71 | </t>
        </is>
      </c>
      <c r="M1002" s="4" t="inlineStr">
        <is>
          <t>PIX ENVIADO GULA COSMETI - OUTRAS SAIDAS</t>
        </is>
      </c>
    </row>
    <row r="1003">
      <c r="A1003" s="8" t="n">
        <v>1002</v>
      </c>
      <c r="B1003" s="8" t="inlineStr">
        <is>
          <t>20/05/2026</t>
        </is>
      </c>
      <c r="C1003" s="8" t="inlineStr">
        <is>
          <t>REF A PIX ENVIADO A J SOLUCOES E EMBALAGENS LTDA PAGAMENTO REFERENTE A COMPRA DE PLÁSTICO BOLHA</t>
        </is>
      </c>
      <c r="D1003" s="9" t="n">
        <v>-427.6</v>
      </c>
      <c r="E1003" s="8" t="inlineStr">
        <is>
          <t>493</t>
        </is>
      </c>
      <c r="F1003" s="8" t="inlineStr">
        <is>
          <t>DESPESAS DIVERSAS</t>
        </is>
      </c>
      <c r="G1003" s="10" t="inlineStr">
        <is>
          <t>506</t>
        </is>
      </c>
      <c r="H1003" s="8">
        <f>IFERROR(VLOOKUP(G1003&amp;"",PLANO!A:B,2,FALSE),"CONTA NAO EXISTE NO PLANO")</f>
        <v/>
      </c>
      <c r="I1003" s="8" t="inlineStr">
        <is>
          <t>506</t>
        </is>
      </c>
      <c r="J1003" s="8" t="inlineStr">
        <is>
          <t>CORRIGIR</t>
        </is>
      </c>
      <c r="K1003" s="8" t="inlineStr">
        <is>
          <t>fornecedor com NF (Cosmos: compra MP/embalagem) - pagamento deve baixar fornecedores 506</t>
        </is>
      </c>
      <c r="L1003" s="8" t="inlineStr">
        <is>
          <t>A J SOLUCOES E EMBALAGENS LTDA | 115/9 | PAGAMENTO REFERENTE A COMPRA DE PLÁSTICO BOLHA</t>
        </is>
      </c>
      <c r="M1003" s="8" t="inlineStr">
        <is>
          <t>A J SOLUCOES E EMBALAGENS LTDA - PAGAMENTO REFERENTE A COMPRA DE PLÁSTICO BOLHA</t>
        </is>
      </c>
    </row>
    <row r="1004">
      <c r="A1004" s="4" t="n">
        <v>1003</v>
      </c>
      <c r="B1004" s="4" t="inlineStr">
        <is>
          <t>20/05/2026</t>
        </is>
      </c>
      <c r="C1004" s="4" t="inlineStr">
        <is>
          <t>REF. A PIX ENVIADO F.V.S COMERC</t>
        </is>
      </c>
      <c r="D1004" s="5" t="n">
        <v>-2000</v>
      </c>
      <c r="E1004" s="4" t="inlineStr">
        <is>
          <t>671</t>
        </is>
      </c>
      <c r="F1004" s="4" t="inlineStr">
        <is>
          <t>F.V.S COMERCIO DE COSMETICOS LTDA</t>
        </is>
      </c>
      <c r="G1004" s="6" t="inlineStr">
        <is>
          <t>662</t>
        </is>
      </c>
      <c r="H1004" s="4">
        <f>IFERROR(VLOOKUP(G1004&amp;"",PLANO!A:B,2,FALSE),"CONTA NAO EXISTE NO PLANO")</f>
        <v/>
      </c>
      <c r="I1004" s="4" t="inlineStr">
        <is>
          <t>662</t>
        </is>
      </c>
      <c r="J1004" s="4" t="inlineStr">
        <is>
          <t>AJUSTADO</t>
        </is>
      </c>
      <c r="K1004" s="4" t="inlineStr">
        <is>
          <t>F.V.S - conta-corrente unica de mutuo (662)</t>
        </is>
      </c>
      <c r="L1004" s="4" t="inlineStr">
        <is>
          <t xml:space="preserve">OUTRAS SAIDAS | 123/71 | </t>
        </is>
      </c>
      <c r="M1004" s="4" t="inlineStr">
        <is>
          <t>PIX ENVIADO F.V.S COMERC</t>
        </is>
      </c>
    </row>
    <row r="1005">
      <c r="A1005" s="11" t="n">
        <v>1004</v>
      </c>
      <c r="B1005" s="11" t="inlineStr">
        <is>
          <t>20/05/2026</t>
        </is>
      </c>
      <c r="C1005" s="11" t="inlineStr">
        <is>
          <t>REF. A PIX ENVIADO KOSMOSCIENCE CIENCIA E TECNOLOGIA COSMETICA, IMPORTACAO E EXPORTACAO PGTO REF.A SERVIÇOS PRESTADOS PARA ANÁLISE DORELAXANTE</t>
        </is>
      </c>
      <c r="D1005" s="12" t="n">
        <v>-200</v>
      </c>
      <c r="E1005" s="11" t="inlineStr">
        <is>
          <t>506</t>
        </is>
      </c>
      <c r="F1005" s="11" t="inlineStr">
        <is>
          <t>FORNECEDORES DIVERSOS</t>
        </is>
      </c>
      <c r="G1005" s="13" t="inlineStr">
        <is>
          <t>506</t>
        </is>
      </c>
      <c r="H1005" s="11">
        <f>IFERROR(VLOOKUP(G1005&amp;"",PLANO!A:B,2,FALSE),"CONTA NAO EXISTE NO PLANO")</f>
        <v/>
      </c>
      <c r="I1005" s="11" t="inlineStr">
        <is>
          <t>506</t>
        </is>
      </c>
      <c r="J1005" s="11" t="inlineStr">
        <is>
          <t>MANTIDO</t>
        </is>
      </c>
      <c r="K1005" s="11" t="inlineStr">
        <is>
          <t>servicos diversos (lavanderia, dedetizacao, contabilidade, Plus Sante) | mantida a conta atual (sem informacao que justifique troca)</t>
        </is>
      </c>
      <c r="L1005" s="11" t="inlineStr">
        <is>
          <t>KOSMOSCIENCE CIENCIA E TECNOLOGIA COSMETICA, IMPORTACAO E EXPORTACAO | 115/45 | PGTO REF.A SERVIÇOS PRESTADOS PARA ANÁLISE DO RELAXANTE</t>
        </is>
      </c>
      <c r="M1005" s="11" t="inlineStr">
        <is>
          <t>KOSMOSCIENCE CIENCIA E TECNOLOGIA COSMETICA, IMPORTACAO E EXPORTACAO - PGTO REF.A SERVIÇOS PRESTADOS PARA ANÁLISE DO RELAXANTE</t>
        </is>
      </c>
    </row>
    <row r="1006">
      <c r="A1006" s="4" t="n">
        <v>1005</v>
      </c>
      <c r="B1006" s="4" t="inlineStr">
        <is>
          <t>20/05/2026</t>
        </is>
      </c>
      <c r="C1006" s="4" t="inlineStr">
        <is>
          <t>REF. A PIX ENVIADO GULA COSMETI - OUTRAS SAIDAS</t>
        </is>
      </c>
      <c r="D1006" s="5" t="n">
        <v>-15000</v>
      </c>
      <c r="E1006" s="4" t="inlineStr">
        <is>
          <t>506</t>
        </is>
      </c>
      <c r="F1006" s="4" t="inlineStr">
        <is>
          <t>FORNECEDORES DIVERSOS</t>
        </is>
      </c>
      <c r="G1006" s="6" t="inlineStr">
        <is>
          <t>366</t>
        </is>
      </c>
      <c r="H1006" s="4">
        <f>IFERROR(VLOOKUP(G1006&amp;"",PLANO!A:B,2,FALSE),"CONTA NAO EXISTE NO PLANO")</f>
        <v/>
      </c>
      <c r="I1006" s="4" t="inlineStr">
        <is>
          <t>672</t>
        </is>
      </c>
      <c r="J1006" s="4" t="inlineStr">
        <is>
          <t>AJUSTADO</t>
        </is>
      </c>
      <c r="K1006" s="4" t="inlineStr">
        <is>
          <t>GULA/FIQUE BEM (mesmo CNPJ, empresa do grupo) - mutuo em EMPRESTIMOS A TERCEIROS (366); nao e fornecedor</t>
        </is>
      </c>
      <c r="L1006" s="4" t="inlineStr">
        <is>
          <t xml:space="preserve">OUTRAS SAIDAS | 123/71 | </t>
        </is>
      </c>
      <c r="M1006" s="4" t="inlineStr">
        <is>
          <t>PIX ENVIADO GULA COSMETI - OUTRAS SAIDAS</t>
        </is>
      </c>
    </row>
    <row r="1007">
      <c r="A1007" t="n">
        <v>1006</v>
      </c>
      <c r="B1007" t="inlineStr">
        <is>
          <t>20/05/2026</t>
        </is>
      </c>
      <c r="C1007" t="inlineStr">
        <is>
          <t>REF. A BOLETO PAGO TEX COURIER S.A PAG REF A FRETE SOBRE VENDAS</t>
        </is>
      </c>
      <c r="D1007" s="7" t="n">
        <v>-452.2</v>
      </c>
      <c r="E1007" t="inlineStr">
        <is>
          <t>312</t>
        </is>
      </c>
      <c r="F1007" t="inlineStr">
        <is>
          <t>FRETES E CARRETOS</t>
        </is>
      </c>
      <c r="G1007" s="2" t="inlineStr">
        <is>
          <t>312</t>
        </is>
      </c>
      <c r="H1007">
        <f>IFERROR(VLOOKUP(G1007&amp;"",PLANO!A:B,2,FALSE),"CONTA NAO EXISTE NO PLANO")</f>
        <v/>
      </c>
      <c r="I1007" t="inlineStr">
        <is>
          <t>312</t>
        </is>
      </c>
      <c r="J1007" t="inlineStr">
        <is>
          <t>OK</t>
        </is>
      </c>
      <c r="K1007" t="inlineStr">
        <is>
          <t>categoria Cosmos 97</t>
        </is>
      </c>
      <c r="L1007" t="inlineStr">
        <is>
          <t>TEX COURIER S.A | 115/97 | PAG REF A FRETE SOBRE VENDAS</t>
        </is>
      </c>
      <c r="M1007" t="inlineStr">
        <is>
          <t>TEX COURIER S.A - PAG REF A FRETE SOBRE VENDAS</t>
        </is>
      </c>
    </row>
    <row r="1008">
      <c r="A1008" s="8" t="n">
        <v>1007</v>
      </c>
      <c r="B1008" s="8" t="inlineStr">
        <is>
          <t>20/05/2026</t>
        </is>
      </c>
      <c r="C1008" s="8" t="inlineStr">
        <is>
          <t>REF. A BOLETO PAGO URBANO SA SO - BRASPRESS TRANSPORTES URGENTES LTDA PAG REF A FRETE SOBRE VENDAS NF 7990 E 7982</t>
        </is>
      </c>
      <c r="D1008" s="9" t="n">
        <v>-668.62</v>
      </c>
      <c r="E1008" s="8" t="inlineStr">
        <is>
          <t>350</t>
        </is>
      </c>
      <c r="F1008" s="8" t="inlineStr">
        <is>
          <t>TAXAS DIVERSAS</t>
        </is>
      </c>
      <c r="G1008" s="10" t="inlineStr">
        <is>
          <t>312</t>
        </is>
      </c>
      <c r="H1008" s="8">
        <f>IFERROR(VLOOKUP(G1008&amp;"",PLANO!A:B,2,FALSE),"CONTA NAO EXISTE NO PLANO")</f>
        <v/>
      </c>
      <c r="I1008" s="8" t="inlineStr">
        <is>
          <t>312</t>
        </is>
      </c>
      <c r="J1008" s="8" t="inlineStr">
        <is>
          <t>CORRIGIR</t>
        </is>
      </c>
      <c r="K1008" s="8" t="inlineStr">
        <is>
          <t>categoria Cosmos 97</t>
        </is>
      </c>
      <c r="L1008" s="8" t="inlineStr">
        <is>
          <t>BRASPRESS TRANSPORTES URGENTES LTDA | 115/97 | PAG REF A FRETE SOBRE VENDAS NF 7990 E 7982</t>
        </is>
      </c>
      <c r="M1008" s="8" t="inlineStr">
        <is>
          <t>BRASPRESS TRANSPORTES URGENTES LTDA - PAG REF A FRETE SOBRE VENDAS NF 7990 E 7982</t>
        </is>
      </c>
    </row>
    <row r="1009">
      <c r="A1009" s="8" t="n">
        <v>1008</v>
      </c>
      <c r="B1009" s="8" t="inlineStr">
        <is>
          <t>20/05/2026</t>
        </is>
      </c>
      <c r="C1009" s="8" t="inlineStr">
        <is>
          <t>REF. A BOLETO PAGO SINDICATO DOS TRABS NAS INDUST QUIMICAS E FARM DO ESTPR PGTO REF.CONTRIBUIÇÃO S/FOLHA 04-2026</t>
        </is>
      </c>
      <c r="D1009" s="9" t="n">
        <v>-266</v>
      </c>
      <c r="E1009" s="8" t="inlineStr">
        <is>
          <t>365</t>
        </is>
      </c>
      <c r="F1009" s="8" t="inlineStr">
        <is>
          <t>DESPESAS LEGAIS E JUDICIAIS</t>
        </is>
      </c>
      <c r="G1009" s="10" t="inlineStr">
        <is>
          <t>350</t>
        </is>
      </c>
      <c r="H1009" s="8">
        <f>IFERROR(VLOOKUP(G1009&amp;"",PLANO!A:B,2,FALSE),"CONTA NAO EXISTE NO PLANO")</f>
        <v/>
      </c>
      <c r="I1009" s="8" t="inlineStr">
        <is>
          <t>350</t>
        </is>
      </c>
      <c r="J1009" s="8" t="inlineStr">
        <is>
          <t>CORRIGIR</t>
        </is>
      </c>
      <c r="K1009" s="8" t="inlineStr">
        <is>
          <t>categoria Cosmos 156</t>
        </is>
      </c>
      <c r="L1009" s="8" t="inlineStr">
        <is>
          <t>SINDICATO DOS TRABS NAS INDUST QUIMICAS E FARM DO ESTPR | 115/156 | PGTO REF.CONTRIBUIÇÃO S/FOLHA 04-2026</t>
        </is>
      </c>
      <c r="M1009" s="8" t="inlineStr">
        <is>
          <t>SINDICATO DOS TRABS NAS INDUST QUIMICAS E FARM DO ESTPR - PGTO REF.CONTRIBUIÇÃO S/FOLHA 04-2026</t>
        </is>
      </c>
    </row>
    <row r="1010">
      <c r="A1010" s="11" t="n">
        <v>1009</v>
      </c>
      <c r="B1010" s="11" t="inlineStr">
        <is>
          <t>20/05/2026</t>
        </is>
      </c>
      <c r="C1010" s="11" t="inlineStr">
        <is>
          <t>REF. A BOLETO PAGO ECOPLUS - LAVANDERIA INDUSTRIAL - EIRELI PGTO REF.SERVIÇOS PRESTADOS DE LAVAGEM DE PANOSUTILIZADOS NO ENVASE</t>
        </is>
      </c>
      <c r="D1010" s="12" t="n">
        <v>-696.52</v>
      </c>
      <c r="E1010" s="11" t="inlineStr">
        <is>
          <t>506</t>
        </is>
      </c>
      <c r="F1010" s="11" t="inlineStr">
        <is>
          <t>FORNECEDORES DIVERSOS</t>
        </is>
      </c>
      <c r="G1010" s="13" t="inlineStr">
        <is>
          <t>506</t>
        </is>
      </c>
      <c r="H1010" s="11">
        <f>IFERROR(VLOOKUP(G1010&amp;"",PLANO!A:B,2,FALSE),"CONTA NAO EXISTE NO PLANO")</f>
        <v/>
      </c>
      <c r="I1010" s="11" t="inlineStr">
        <is>
          <t>506</t>
        </is>
      </c>
      <c r="J1010" s="11" t="inlineStr">
        <is>
          <t>MANTIDO</t>
        </is>
      </c>
      <c r="K1010" s="11" t="inlineStr">
        <is>
          <t>servicos diversos (lavanderia, dedetizacao, contabilidade, Plus Sante) | mantida a conta atual (sem informacao que justifique troca)</t>
        </is>
      </c>
      <c r="L1010" s="11" t="inlineStr">
        <is>
          <t>ECOPLUS LAVANDERIA INDUSTRIAL EIRELI | 115/45 | PGTO REF.SERVIÇOS PRESTADOS DE LAVAGEM DE PANOS UTILIZADOS NO ENVASE</t>
        </is>
      </c>
      <c r="M1010" s="11" t="inlineStr">
        <is>
          <t>ECOPLUS LAVANDERIA INDUSTRIAL EIRELI - PGTO REF.SERVIÇOS PRESTADOS DE LAVAGEM DE PANOS UTILIZADOS NO ENVASE</t>
        </is>
      </c>
    </row>
    <row r="1011">
      <c r="A1011" t="n">
        <v>1010</v>
      </c>
      <c r="B1011" t="inlineStr">
        <is>
          <t>21/05/2026</t>
        </is>
      </c>
      <c r="C1011" t="inlineStr">
        <is>
          <t>REF. A MOV TIT COB DISP 21/05S</t>
        </is>
      </c>
      <c r="D1011" s="7" t="n">
        <v>2699.85</v>
      </c>
      <c r="E1011" t="inlineStr">
        <is>
          <t>504</t>
        </is>
      </c>
      <c r="F1011" t="inlineStr">
        <is>
          <t>CLIENTES DIVERSOS</t>
        </is>
      </c>
      <c r="G1011" s="2" t="inlineStr">
        <is>
          <t>504</t>
        </is>
      </c>
      <c r="H1011">
        <f>IFERROR(VLOOKUP(G1011&amp;"",PLANO!A:B,2,FALSE),"CONTA NAO EXISTE NO PLANO")</f>
        <v/>
      </c>
      <c r="I1011" t="inlineStr">
        <is>
          <t>504</t>
        </is>
      </c>
      <c r="J1011" t="inlineStr">
        <is>
          <t>SEM COSMOS</t>
        </is>
      </c>
      <c r="K1011" t="inlineStr"/>
      <c r="L1011" t="inlineStr"/>
      <c r="M1011" t="inlineStr">
        <is>
          <t>MOV TIT COB DISP 21/05S</t>
        </is>
      </c>
    </row>
    <row r="1012">
      <c r="A1012" t="n">
        <v>1011</v>
      </c>
      <c r="B1012" t="inlineStr">
        <is>
          <t>21/05/2026</t>
        </is>
      </c>
      <c r="C1012" t="inlineStr">
        <is>
          <t>REF. A REDE ELO AT0081996543</t>
        </is>
      </c>
      <c r="D1012" s="7" t="n">
        <v>5441.85</v>
      </c>
      <c r="E1012" t="inlineStr">
        <is>
          <t>504</t>
        </is>
      </c>
      <c r="F1012" t="inlineStr">
        <is>
          <t>CLIENTES DIVERSOS</t>
        </is>
      </c>
      <c r="G1012" s="2" t="inlineStr">
        <is>
          <t>504</t>
        </is>
      </c>
      <c r="H1012">
        <f>IFERROR(VLOOKUP(G1012&amp;"",PLANO!A:B,2,FALSE),"CONTA NAO EXISTE NO PLANO")</f>
        <v/>
      </c>
      <c r="I1012" t="inlineStr">
        <is>
          <t>504</t>
        </is>
      </c>
      <c r="J1012" t="inlineStr">
        <is>
          <t>SEM COSMOS</t>
        </is>
      </c>
      <c r="K1012" t="inlineStr"/>
      <c r="L1012" t="inlineStr"/>
      <c r="M1012" t="inlineStr">
        <is>
          <t>REDE ELO AT0081996543</t>
        </is>
      </c>
    </row>
    <row r="1013">
      <c r="A1013" t="n">
        <v>1012</v>
      </c>
      <c r="B1013" t="inlineStr">
        <is>
          <t>21/05/2026</t>
        </is>
      </c>
      <c r="C1013" t="inlineStr">
        <is>
          <t>REF. A REDE VISA AT0081996543</t>
        </is>
      </c>
      <c r="D1013" s="7" t="n">
        <v>659.97</v>
      </c>
      <c r="E1013" t="inlineStr">
        <is>
          <t>504</t>
        </is>
      </c>
      <c r="F1013" t="inlineStr">
        <is>
          <t>CLIENTES DIVERSOS</t>
        </is>
      </c>
      <c r="G1013" s="2" t="inlineStr">
        <is>
          <t>504</t>
        </is>
      </c>
      <c r="H1013">
        <f>IFERROR(VLOOKUP(G1013&amp;"",PLANO!A:B,2,FALSE),"CONTA NAO EXISTE NO PLANO")</f>
        <v/>
      </c>
      <c r="I1013" t="inlineStr">
        <is>
          <t>504</t>
        </is>
      </c>
      <c r="J1013" t="inlineStr">
        <is>
          <t>SEM COSMOS</t>
        </is>
      </c>
      <c r="K1013" t="inlineStr"/>
      <c r="L1013" t="inlineStr"/>
      <c r="M1013" t="inlineStr">
        <is>
          <t>REDE VISA AT0081996543</t>
        </is>
      </c>
    </row>
    <row r="1014">
      <c r="A1014" t="n">
        <v>1013</v>
      </c>
      <c r="B1014" t="inlineStr">
        <is>
          <t>21/05/2026</t>
        </is>
      </c>
      <c r="C1014" t="inlineStr">
        <is>
          <t>REF. A PIX TRANSF CELSO M21/05</t>
        </is>
      </c>
      <c r="D1014" s="7" t="n">
        <v>319.15</v>
      </c>
      <c r="E1014" t="inlineStr">
        <is>
          <t>504</t>
        </is>
      </c>
      <c r="F1014" t="inlineStr">
        <is>
          <t>CLIENTES DIVERSOS</t>
        </is>
      </c>
      <c r="G1014" s="2" t="inlineStr">
        <is>
          <t>504</t>
        </is>
      </c>
      <c r="H1014">
        <f>IFERROR(VLOOKUP(G1014&amp;"",PLANO!A:B,2,FALSE),"CONTA NAO EXISTE NO PLANO")</f>
        <v/>
      </c>
      <c r="I1014" t="inlineStr">
        <is>
          <t>504</t>
        </is>
      </c>
      <c r="J1014" t="inlineStr">
        <is>
          <t>SEM COSMOS</t>
        </is>
      </c>
      <c r="K1014" t="inlineStr"/>
      <c r="L1014" t="inlineStr"/>
      <c r="M1014" t="inlineStr">
        <is>
          <t>PIX TRANSF CELSO M21/05</t>
        </is>
      </c>
    </row>
    <row r="1015">
      <c r="A1015" t="n">
        <v>1014</v>
      </c>
      <c r="B1015" t="inlineStr">
        <is>
          <t>21/05/2026</t>
        </is>
      </c>
      <c r="C1015" t="inlineStr">
        <is>
          <t>REF. A PIX TRANSF SETHUR 21/05</t>
        </is>
      </c>
      <c r="D1015" s="7" t="n">
        <v>208</v>
      </c>
      <c r="E1015" t="inlineStr">
        <is>
          <t>504</t>
        </is>
      </c>
      <c r="F1015" t="inlineStr">
        <is>
          <t>CLIENTES DIVERSOS</t>
        </is>
      </c>
      <c r="G1015" s="2" t="inlineStr">
        <is>
          <t>504</t>
        </is>
      </c>
      <c r="H1015">
        <f>IFERROR(VLOOKUP(G1015&amp;"",PLANO!A:B,2,FALSE),"CONTA NAO EXISTE NO PLANO")</f>
        <v/>
      </c>
      <c r="I1015" t="inlineStr">
        <is>
          <t>504</t>
        </is>
      </c>
      <c r="J1015" t="inlineStr">
        <is>
          <t>SEM COSMOS</t>
        </is>
      </c>
      <c r="K1015" t="inlineStr"/>
      <c r="L1015" t="inlineStr"/>
      <c r="M1015" t="inlineStr">
        <is>
          <t>PIX TRANSF SETHUR 21/05</t>
        </is>
      </c>
    </row>
    <row r="1016">
      <c r="A1016" t="n">
        <v>1015</v>
      </c>
      <c r="B1016" t="inlineStr">
        <is>
          <t>21/05/2026</t>
        </is>
      </c>
      <c r="C1016" t="inlineStr">
        <is>
          <t>REF. A SISPAG COPEL DISTRIBUICAO S.A. PGTO REF. DISTRIBUIÇÃO E CONSUMO DE ENERGIA</t>
        </is>
      </c>
      <c r="D1016" s="7" t="n">
        <v>-4305.03</v>
      </c>
      <c r="E1016" t="inlineStr">
        <is>
          <t>354</t>
        </is>
      </c>
      <c r="F1016" t="inlineStr">
        <is>
          <t>ENERGIA ELÉTRICA</t>
        </is>
      </c>
      <c r="G1016" s="2" t="inlineStr">
        <is>
          <t>354</t>
        </is>
      </c>
      <c r="H1016">
        <f>IFERROR(VLOOKUP(G1016&amp;"",PLANO!A:B,2,FALSE),"CONTA NAO EXISTE NO PLANO")</f>
        <v/>
      </c>
      <c r="I1016" t="inlineStr">
        <is>
          <t>354</t>
        </is>
      </c>
      <c r="J1016" t="inlineStr">
        <is>
          <t>OK</t>
        </is>
      </c>
      <c r="K1016" t="inlineStr">
        <is>
          <t>categoria Cosmos 13</t>
        </is>
      </c>
      <c r="L1016" t="inlineStr">
        <is>
          <t>COPEL DISTRIBUICAO S.A. | 115/13 | PGTO REF. DISTRIBUIÇÃO E CONSUMO DE ENERGIA</t>
        </is>
      </c>
      <c r="M1016" t="inlineStr">
        <is>
          <t>COPEL DISTRIBUICAO S.A. - PGTO REF. DISTRIBUIÇÃO E CONSUMO DE ENERGIA</t>
        </is>
      </c>
    </row>
    <row r="1017">
      <c r="A1017" t="n">
        <v>1016</v>
      </c>
      <c r="B1017" t="inlineStr">
        <is>
          <t>21/05/2026</t>
        </is>
      </c>
      <c r="C1017" t="inlineStr">
        <is>
          <t>REF. A PIX ENVIADO NOVA PIRAMIDAL THERMOPLASTICS S.A.</t>
        </is>
      </c>
      <c r="D1017" s="7" t="n">
        <v>-3895.11</v>
      </c>
      <c r="E1017" t="inlineStr">
        <is>
          <t>506</t>
        </is>
      </c>
      <c r="F1017" t="inlineStr">
        <is>
          <t>FORNECEDORES DIVERSOS</t>
        </is>
      </c>
      <c r="G1017" s="2" t="inlineStr">
        <is>
          <t>506</t>
        </is>
      </c>
      <c r="H1017">
        <f>IFERROR(VLOOKUP(G1017&amp;"",PLANO!A:B,2,FALSE),"CONTA NAO EXISTE NO PLANO")</f>
        <v/>
      </c>
      <c r="I1017" t="inlineStr">
        <is>
          <t>506</t>
        </is>
      </c>
      <c r="J1017" t="inlineStr">
        <is>
          <t>OK</t>
        </is>
      </c>
      <c r="K1017" t="inlineStr">
        <is>
          <t>fornecedor com NF</t>
        </is>
      </c>
      <c r="L1017" t="inlineStr">
        <is>
          <t xml:space="preserve">NOVA PIRAMIDAL THERMOPLASTICS S.A. | 113/78 | </t>
        </is>
      </c>
      <c r="M1017" t="inlineStr">
        <is>
          <t>NOVA PIRAMIDAL THERMOPLASTICS S.A.</t>
        </is>
      </c>
    </row>
    <row r="1018">
      <c r="A1018" t="n">
        <v>1017</v>
      </c>
      <c r="B1018" t="inlineStr">
        <is>
          <t>21/05/2026</t>
        </is>
      </c>
      <c r="C1018" t="inlineStr">
        <is>
          <t>REF. A PIX ENVIADO RODONAVES TRANSPORTES E ENCOMENDAS LTDA PAGTO REF.FRETE S/NFE</t>
        </is>
      </c>
      <c r="D1018" s="7" t="n">
        <v>-250.42</v>
      </c>
      <c r="E1018" t="inlineStr">
        <is>
          <t>312</t>
        </is>
      </c>
      <c r="F1018" t="inlineStr">
        <is>
          <t>FRETES E CARRETOS</t>
        </is>
      </c>
      <c r="G1018" s="2" t="inlineStr">
        <is>
          <t>312</t>
        </is>
      </c>
      <c r="H1018">
        <f>IFERROR(VLOOKUP(G1018&amp;"",PLANO!A:B,2,FALSE),"CONTA NAO EXISTE NO PLANO")</f>
        <v/>
      </c>
      <c r="I1018" t="inlineStr">
        <is>
          <t>312</t>
        </is>
      </c>
      <c r="J1018" t="inlineStr">
        <is>
          <t>OK</t>
        </is>
      </c>
      <c r="K1018" t="inlineStr">
        <is>
          <t>categoria Cosmos 97</t>
        </is>
      </c>
      <c r="L1018" t="inlineStr">
        <is>
          <t>RODONAVES TRANSPORTES E ENCOMENDAS LTDA | 115/97 | PAGTO REF.FRETE S/NFE</t>
        </is>
      </c>
      <c r="M1018" t="inlineStr">
        <is>
          <t>RODONAVES TRANSPORTES E ENCOMENDAS LTDA - PAGTO REF.FRETE S/NFE</t>
        </is>
      </c>
    </row>
    <row r="1019">
      <c r="A1019" s="4" t="n">
        <v>1018</v>
      </c>
      <c r="B1019" s="4" t="inlineStr">
        <is>
          <t>21/05/2026</t>
        </is>
      </c>
      <c r="C1019" s="4" t="inlineStr">
        <is>
          <t>REF. A BOLETO PAGO PLUS SANTE PGTO REF.SERVIÇOS PRESTADOS DE ATENDIMENTO EENCAMINHAMENTO CONF.CONTRATO</t>
        </is>
      </c>
      <c r="D1019" s="5" t="n">
        <v>-358.57</v>
      </c>
      <c r="E1019" s="4" t="inlineStr">
        <is>
          <t>653</t>
        </is>
      </c>
      <c r="F1019" s="4" t="inlineStr">
        <is>
          <t>PLANO DE SAÚDE EMPREGADO</t>
        </is>
      </c>
      <c r="G1019" s="6" t="inlineStr">
        <is>
          <t>653</t>
        </is>
      </c>
      <c r="H1019" s="4">
        <f>IFERROR(VLOOKUP(G1019&amp;"",PLANO!A:B,2,FALSE),"CONTA NAO EXISTE NO PLANO")</f>
        <v/>
      </c>
      <c r="I1019" s="4" t="inlineStr">
        <is>
          <t>653</t>
        </is>
      </c>
      <c r="J1019" s="4" t="inlineStr">
        <is>
          <t>AJUSTADO</t>
        </is>
      </c>
      <c r="K1019" s="4" t="inlineStr">
        <is>
          <t>atendimento medico empregados</t>
        </is>
      </c>
      <c r="L1019" s="4" t="inlineStr">
        <is>
          <t>PLUS SANTE | 115/45 | PGTO REF.SERVIÇOS PRESTADOS DE ATENDIMENTO E ENCAMINHAMENTO CONF.CONTRATO</t>
        </is>
      </c>
      <c r="M1019" s="4" t="inlineStr">
        <is>
          <t>PLUS SANTE - PGTO REF.SERVIÇOS PRESTADOS DE ATENDIMENTO E ENCAMINHAMENTO CONF.CONTRATO</t>
        </is>
      </c>
    </row>
    <row r="1020">
      <c r="A1020" t="n">
        <v>1019</v>
      </c>
      <c r="B1020" t="inlineStr">
        <is>
          <t>21/05/2026</t>
        </is>
      </c>
      <c r="C1020" t="inlineStr">
        <is>
          <t>REF. A BOLETO PAGO SINDICATO IND PROD HIG PESSOAL COMS PERF PR PGTO REF.MENSALIDADE SINDICATO PATRONALCONF.CLAUSULA DE ASSOCIAÇÃO</t>
        </is>
      </c>
      <c r="D1020" s="7" t="n">
        <v>-389.12</v>
      </c>
      <c r="E1020" t="inlineStr">
        <is>
          <t>350</t>
        </is>
      </c>
      <c r="F1020" t="inlineStr">
        <is>
          <t>TAXAS DIVERSAS</t>
        </is>
      </c>
      <c r="G1020" s="2" t="inlineStr">
        <is>
          <t>350</t>
        </is>
      </c>
      <c r="H1020">
        <f>IFERROR(VLOOKUP(G1020&amp;"",PLANO!A:B,2,FALSE),"CONTA NAO EXISTE NO PLANO")</f>
        <v/>
      </c>
      <c r="I1020" t="inlineStr">
        <is>
          <t>350</t>
        </is>
      </c>
      <c r="J1020" t="inlineStr">
        <is>
          <t>OK</t>
        </is>
      </c>
      <c r="K1020" t="inlineStr">
        <is>
          <t>categoria Cosmos 124</t>
        </is>
      </c>
      <c r="L1020" t="inlineStr">
        <is>
          <t>SINDICATO IND PROD HIG PESSOAL COMS PERF PR | 115/124 | PGTO REF.MENSALIDADE SINDICATO PATRONAL CONF.CLAUSULA DE ASSOCIAÇÃO</t>
        </is>
      </c>
      <c r="M1020" t="inlineStr">
        <is>
          <t>SINDICATO IND PROD HIG PESSOAL COMS PERF PR - PGTO REF.MENSALIDADE SINDICATO PATRONAL CONF.CLAUSULA DE ASSOCIAÇÃO</t>
        </is>
      </c>
    </row>
    <row r="1021">
      <c r="A1021" t="n">
        <v>1020</v>
      </c>
      <c r="B1021" t="inlineStr">
        <is>
          <t>21/05/2026</t>
        </is>
      </c>
      <c r="C1021" t="inlineStr">
        <is>
          <t>REF. A BOLETO PAGO YAHWEH PRINT BRASIL LTDA PAGAMENTO REFERENTE A COMPRA DE ETIQUETAS E RIBONSPARA ZEBRA</t>
        </is>
      </c>
      <c r="D1021" s="7" t="n">
        <v>-581.85</v>
      </c>
      <c r="E1021" t="inlineStr">
        <is>
          <t>506</t>
        </is>
      </c>
      <c r="F1021" t="inlineStr">
        <is>
          <t>FORNECEDORES DIVERSOS</t>
        </is>
      </c>
      <c r="G1021" s="2" t="inlineStr">
        <is>
          <t>506</t>
        </is>
      </c>
      <c r="H1021">
        <f>IFERROR(VLOOKUP(G1021&amp;"",PLANO!A:B,2,FALSE),"CONTA NAO EXISTE NO PLANO")</f>
        <v/>
      </c>
      <c r="I1021" t="inlineStr">
        <is>
          <t>506</t>
        </is>
      </c>
      <c r="J1021" t="inlineStr">
        <is>
          <t>OK</t>
        </is>
      </c>
      <c r="K1021" t="inlineStr">
        <is>
          <t>fornecedor com NF</t>
        </is>
      </c>
      <c r="L1021" t="inlineStr">
        <is>
          <t>YAHWEH PRINT BRASIL LTDA | 115/9 | PAGAMENTO REFERENTE A COMPRA DE ETIQUETAS E RIBONS PARA ZEBRA</t>
        </is>
      </c>
      <c r="M1021" t="inlineStr">
        <is>
          <t>YAHWEH PRINT BRASIL LTDA - PAGAMENTO REFERENTE A COMPRA DE ETIQUETAS E RIBONS PARA ZEBRA</t>
        </is>
      </c>
    </row>
    <row r="1022">
      <c r="A1022" t="n">
        <v>1021</v>
      </c>
      <c r="B1022" t="inlineStr">
        <is>
          <t>22/05/2026</t>
        </is>
      </c>
      <c r="C1022" t="inlineStr">
        <is>
          <t>REF. A REDE ELO AT0081996543</t>
        </is>
      </c>
      <c r="D1022" s="7" t="n">
        <v>1989.45</v>
      </c>
      <c r="E1022" t="inlineStr">
        <is>
          <t>504</t>
        </is>
      </c>
      <c r="F1022" t="inlineStr">
        <is>
          <t>CLIENTES DIVERSOS</t>
        </is>
      </c>
      <c r="G1022" s="2" t="inlineStr">
        <is>
          <t>504</t>
        </is>
      </c>
      <c r="H1022">
        <f>IFERROR(VLOOKUP(G1022&amp;"",PLANO!A:B,2,FALSE),"CONTA NAO EXISTE NO PLANO")</f>
        <v/>
      </c>
      <c r="I1022" t="inlineStr">
        <is>
          <t>504</t>
        </is>
      </c>
      <c r="J1022" t="inlineStr">
        <is>
          <t>SEM COSMOS</t>
        </is>
      </c>
      <c r="K1022" t="inlineStr"/>
      <c r="L1022" t="inlineStr"/>
      <c r="M1022" t="inlineStr">
        <is>
          <t>REDE ELO AT0081996543</t>
        </is>
      </c>
    </row>
    <row r="1023">
      <c r="A1023" t="n">
        <v>1022</v>
      </c>
      <c r="B1023" t="inlineStr">
        <is>
          <t>22/05/2026</t>
        </is>
      </c>
      <c r="C1023" t="inlineStr">
        <is>
          <t>REF. A REDE MAST AT0081996543</t>
        </is>
      </c>
      <c r="D1023" s="7" t="n">
        <v>232.94</v>
      </c>
      <c r="E1023" t="inlineStr">
        <is>
          <t>504</t>
        </is>
      </c>
      <c r="F1023" t="inlineStr">
        <is>
          <t>CLIENTES DIVERSOS</t>
        </is>
      </c>
      <c r="G1023" s="2" t="inlineStr">
        <is>
          <t>504</t>
        </is>
      </c>
      <c r="H1023">
        <f>IFERROR(VLOOKUP(G1023&amp;"",PLANO!A:B,2,FALSE),"CONTA NAO EXISTE NO PLANO")</f>
        <v/>
      </c>
      <c r="I1023" t="inlineStr">
        <is>
          <t>504</t>
        </is>
      </c>
      <c r="J1023" t="inlineStr">
        <is>
          <t>SEM COSMOS</t>
        </is>
      </c>
      <c r="K1023" t="inlineStr"/>
      <c r="L1023" t="inlineStr"/>
      <c r="M1023" t="inlineStr">
        <is>
          <t>REDE MAST AT0081996543</t>
        </is>
      </c>
    </row>
    <row r="1024">
      <c r="A1024" t="n">
        <v>1023</v>
      </c>
      <c r="B1024" t="inlineStr">
        <is>
          <t>22/05/2026</t>
        </is>
      </c>
      <c r="C1024" t="inlineStr">
        <is>
          <t>REF. A PIX TRANSF NEIVA M22/05</t>
        </is>
      </c>
      <c r="D1024" s="7" t="n">
        <v>351.53</v>
      </c>
      <c r="E1024" t="inlineStr">
        <is>
          <t>504</t>
        </is>
      </c>
      <c r="F1024" t="inlineStr">
        <is>
          <t>CLIENTES DIVERSOS</t>
        </is>
      </c>
      <c r="G1024" s="2" t="inlineStr">
        <is>
          <t>504</t>
        </is>
      </c>
      <c r="H1024">
        <f>IFERROR(VLOOKUP(G1024&amp;"",PLANO!A:B,2,FALSE),"CONTA NAO EXISTE NO PLANO")</f>
        <v/>
      </c>
      <c r="I1024" t="inlineStr">
        <is>
          <t>504</t>
        </is>
      </c>
      <c r="J1024" t="inlineStr">
        <is>
          <t>SEM COSMOS</t>
        </is>
      </c>
      <c r="K1024" t="inlineStr"/>
      <c r="L1024" t="inlineStr"/>
      <c r="M1024" t="inlineStr">
        <is>
          <t>PIX TRANSF NEIVA M22/05</t>
        </is>
      </c>
    </row>
    <row r="1025">
      <c r="A1025" t="n">
        <v>1024</v>
      </c>
      <c r="B1025" t="inlineStr">
        <is>
          <t>22/05/2026</t>
        </is>
      </c>
      <c r="C1025" t="inlineStr">
        <is>
          <t>REF. A PIX TRANSF REJANE 22/05</t>
        </is>
      </c>
      <c r="D1025" s="7" t="n">
        <v>547.2</v>
      </c>
      <c r="E1025" t="inlineStr">
        <is>
          <t>504</t>
        </is>
      </c>
      <c r="F1025" t="inlineStr">
        <is>
          <t>CLIENTES DIVERSOS</t>
        </is>
      </c>
      <c r="G1025" s="2" t="inlineStr">
        <is>
          <t>504</t>
        </is>
      </c>
      <c r="H1025">
        <f>IFERROR(VLOOKUP(G1025&amp;"",PLANO!A:B,2,FALSE),"CONTA NAO EXISTE NO PLANO")</f>
        <v/>
      </c>
      <c r="I1025" t="inlineStr">
        <is>
          <t>504</t>
        </is>
      </c>
      <c r="J1025" t="inlineStr">
        <is>
          <t>SEM COSMOS</t>
        </is>
      </c>
      <c r="K1025" t="inlineStr"/>
      <c r="L1025" t="inlineStr"/>
      <c r="M1025" t="inlineStr">
        <is>
          <t>PIX TRANSF REJANE 22/05</t>
        </is>
      </c>
    </row>
    <row r="1026">
      <c r="A1026" t="n">
        <v>1025</v>
      </c>
      <c r="B1026" t="inlineStr">
        <is>
          <t>22/05/2026</t>
        </is>
      </c>
      <c r="C1026" t="inlineStr">
        <is>
          <t>REF. A REND PAGO APLIC AUT MAIS</t>
        </is>
      </c>
      <c r="D1026" s="7" t="n">
        <v>0.02</v>
      </c>
      <c r="E1026" t="inlineStr">
        <is>
          <t>432</t>
        </is>
      </c>
      <c r="F1026" t="inlineStr">
        <is>
          <t>RENDIMENTOS DE APLICAÇÕES</t>
        </is>
      </c>
      <c r="G1026" s="2" t="inlineStr">
        <is>
          <t>432</t>
        </is>
      </c>
      <c r="H1026">
        <f>IFERROR(VLOOKUP(G1026&amp;"",PLANO!A:B,2,FALSE),"CONTA NAO EXISTE NO PLANO")</f>
        <v/>
      </c>
      <c r="I1026" t="inlineStr">
        <is>
          <t>432</t>
        </is>
      </c>
      <c r="J1026" t="inlineStr">
        <is>
          <t>SEM COSMOS</t>
        </is>
      </c>
      <c r="K1026" t="inlineStr"/>
      <c r="L1026" t="inlineStr"/>
      <c r="M1026" t="inlineStr">
        <is>
          <t>REND PAGO APLIC AUT MAIS</t>
        </is>
      </c>
    </row>
    <row r="1027">
      <c r="A1027" t="n">
        <v>1026</v>
      </c>
      <c r="B1027" t="inlineStr">
        <is>
          <t>22/05/2026</t>
        </is>
      </c>
      <c r="C1027" t="inlineStr">
        <is>
          <t>REF. A PIX ENVIADO AQIA QUIMICA INOVATIVA LTDA</t>
        </is>
      </c>
      <c r="D1027" s="7" t="n">
        <v>-2149.23</v>
      </c>
      <c r="E1027" t="inlineStr">
        <is>
          <t>506</t>
        </is>
      </c>
      <c r="F1027" t="inlineStr">
        <is>
          <t>FORNECEDORES DIVERSOS</t>
        </is>
      </c>
      <c r="G1027" s="2" t="inlineStr">
        <is>
          <t>506</t>
        </is>
      </c>
      <c r="H1027">
        <f>IFERROR(VLOOKUP(G1027&amp;"",PLANO!A:B,2,FALSE),"CONTA NAO EXISTE NO PLANO")</f>
        <v/>
      </c>
      <c r="I1027" t="inlineStr">
        <is>
          <t>506</t>
        </is>
      </c>
      <c r="J1027" t="inlineStr">
        <is>
          <t>OK</t>
        </is>
      </c>
      <c r="K1027" t="inlineStr">
        <is>
          <t>fornecedor com NF</t>
        </is>
      </c>
      <c r="L1027" t="inlineStr">
        <is>
          <t xml:space="preserve">AQIA QUIMICA INOVATIVA LTDA | 113/78 | </t>
        </is>
      </c>
      <c r="M1027" t="inlineStr">
        <is>
          <t>AQIA QUIMICA INOVATIVA LTDA</t>
        </is>
      </c>
    </row>
    <row r="1028">
      <c r="A1028" s="11" t="n">
        <v>1027</v>
      </c>
      <c r="B1028" s="11" t="inlineStr">
        <is>
          <t>22/05/2026</t>
        </is>
      </c>
      <c r="C1028" s="11" t="inlineStr">
        <is>
          <t>REF. A PIX ENVIADO CARLOS ALEXANDRE MAZZONI 115 33 107 0,00 500,00 -1.194.310,31PGTO REF.PRO-LABORE</t>
        </is>
      </c>
      <c r="D1028" s="12" t="n">
        <v>-500</v>
      </c>
      <c r="E1028" s="11" t="inlineStr">
        <is>
          <t>362</t>
        </is>
      </c>
      <c r="F1028" s="11" t="inlineStr">
        <is>
          <t>SERVIÇOS PRESTADOS POR TERCEIROS</t>
        </is>
      </c>
      <c r="G1028" s="13" t="inlineStr">
        <is>
          <t>362</t>
        </is>
      </c>
      <c r="H1028" s="11">
        <f>IFERROR(VLOOKUP(G1028&amp;"",PLANO!A:B,2,FALSE),"CONTA NAO EXISTE NO PLANO")</f>
        <v/>
      </c>
      <c r="I1028" s="11" t="inlineStr">
        <is>
          <t>362</t>
        </is>
      </c>
      <c r="J1028" s="11" t="inlineStr">
        <is>
          <t>MANTIDO</t>
        </is>
      </c>
      <c r="K1028" s="11" t="inlineStr">
        <is>
          <t>socios Mazzoni (fora do contrato social) - mantido como estava</t>
        </is>
      </c>
      <c r="L1028" s="11" t="inlineStr">
        <is>
          <t>CARLOS ALEXANDRE MAZZONI | 115/33 | PGTO REF.PRO-LABORE</t>
        </is>
      </c>
      <c r="M1028" s="11" t="inlineStr">
        <is>
          <t>CARLOS ALEXANDRE MAZZONI - PGTO REF.PRO-LABORE</t>
        </is>
      </c>
    </row>
    <row r="1029">
      <c r="A1029" t="n">
        <v>1028</v>
      </c>
      <c r="B1029" t="inlineStr">
        <is>
          <t>22/05/2026</t>
        </is>
      </c>
      <c r="C1029" t="inlineStr">
        <is>
          <t>REF A PIX ENVIADO VEDAPACK EMBALAGENS INDUSTRIAIS LTDA</t>
        </is>
      </c>
      <c r="D1029" s="7" t="n">
        <v>-4956.72</v>
      </c>
      <c r="E1029" t="inlineStr">
        <is>
          <t>506</t>
        </is>
      </c>
      <c r="F1029" t="inlineStr">
        <is>
          <t>FORNECEDORES DIVERSOS</t>
        </is>
      </c>
      <c r="G1029" s="2" t="inlineStr">
        <is>
          <t>506</t>
        </is>
      </c>
      <c r="H1029">
        <f>IFERROR(VLOOKUP(G1029&amp;"",PLANO!A:B,2,FALSE),"CONTA NAO EXISTE NO PLANO")</f>
        <v/>
      </c>
      <c r="I1029" t="inlineStr">
        <is>
          <t>506</t>
        </is>
      </c>
      <c r="J1029" t="inlineStr">
        <is>
          <t>OK</t>
        </is>
      </c>
      <c r="K1029" t="inlineStr">
        <is>
          <t>fornecedor com NF</t>
        </is>
      </c>
      <c r="L1029" t="inlineStr">
        <is>
          <t xml:space="preserve">VEDAPACK EMBALAGENS INDUSTRIAIS LTDA | 113/78 | </t>
        </is>
      </c>
      <c r="M1029" t="inlineStr">
        <is>
          <t>VEDAPACK EMBALAGENS INDUSTRIAIS LTDA</t>
        </is>
      </c>
    </row>
    <row r="1030">
      <c r="A1030" s="4" t="n">
        <v>1029</v>
      </c>
      <c r="B1030" s="4" t="inlineStr">
        <is>
          <t>22/05/2026</t>
        </is>
      </c>
      <c r="C1030" s="4" t="inlineStr">
        <is>
          <t>REF A PIX ENVIADO BEAUTY FAIR EVENTOS E PROMOCOES LTDA PGTO REF.ACORDO</t>
        </is>
      </c>
      <c r="D1030" s="5" t="n">
        <v>-13040.3</v>
      </c>
      <c r="E1030" s="4" t="inlineStr">
        <is>
          <t>506</t>
        </is>
      </c>
      <c r="F1030" s="4" t="inlineStr">
        <is>
          <t>FORNECEDORES DIVERSOS</t>
        </is>
      </c>
      <c r="G1030" s="6" t="inlineStr">
        <is>
          <t>688</t>
        </is>
      </c>
      <c r="H1030" s="4">
        <f>IFERROR(VLOOKUP(G1030&amp;"",PLANO!A:B,2,FALSE),"CONTA NAO EXISTE NO PLANO")</f>
        <v/>
      </c>
      <c r="I1030" s="4" t="inlineStr">
        <is>
          <t>506</t>
        </is>
      </c>
      <c r="J1030" s="4" t="inlineStr">
        <is>
          <t>AJUSTADO</t>
        </is>
      </c>
      <c r="K1030" s="4" t="inlineStr">
        <is>
          <t>Beauty Fair -&gt; 688 FEIRAS E EVENTOS</t>
        </is>
      </c>
      <c r="L1030" s="4" t="inlineStr">
        <is>
          <t>BEAUTY FAIR EVENTOS E PROMOCOES LTDA | 115/184 | PGTO REF.ACORDO</t>
        </is>
      </c>
      <c r="M1030" s="4" t="inlineStr">
        <is>
          <t>BEAUTY FAIR EVENTOS E PROMOCOES LTDA - PGTO REF.ACORDO</t>
        </is>
      </c>
    </row>
    <row r="1031">
      <c r="A1031" s="8" t="n">
        <v>1030</v>
      </c>
      <c r="B1031" s="8" t="inlineStr">
        <is>
          <t>22/05/2026</t>
        </is>
      </c>
      <c r="C1031" s="8" t="inlineStr">
        <is>
          <t>BRASPRESS TRANSPORTES URGENTES LTDA PAG REF A FRETE SOBRE VENDAS NF8073, 8017, 8083,8070 E 8005</t>
        </is>
      </c>
      <c r="D1031" s="9" t="n">
        <v>-2256.19</v>
      </c>
      <c r="E1031" s="8" t="inlineStr">
        <is>
          <t>350</t>
        </is>
      </c>
      <c r="F1031" s="8" t="inlineStr">
        <is>
          <t>TAXAS DIVERSAS</t>
        </is>
      </c>
      <c r="G1031" s="10" t="inlineStr">
        <is>
          <t>312</t>
        </is>
      </c>
      <c r="H1031" s="8">
        <f>IFERROR(VLOOKUP(G1031&amp;"",PLANO!A:B,2,FALSE),"CONTA NAO EXISTE NO PLANO")</f>
        <v/>
      </c>
      <c r="I1031" s="8" t="inlineStr">
        <is>
          <t>312</t>
        </is>
      </c>
      <c r="J1031" s="8" t="inlineStr">
        <is>
          <t>CORRIGIR</t>
        </is>
      </c>
      <c r="K1031" s="8" t="inlineStr">
        <is>
          <t>categoria Cosmos 97</t>
        </is>
      </c>
      <c r="L1031" s="8" t="inlineStr">
        <is>
          <t>BRASPRESS TRANSPORTES URGENTES LTDA | 115/97 | PAG REF A FRETE SOBRE VENDAS NF8073, 8017, 8083, 8070 E 8005</t>
        </is>
      </c>
      <c r="M1031" s="8" t="inlineStr">
        <is>
          <t>BRASPRESS TRANSPORTES URGENTES LTDA - PAG REF A FRETE SOBRE VENDAS NF8073, 8017, 8083, 8070 E 8005</t>
        </is>
      </c>
    </row>
    <row r="1032">
      <c r="A1032" t="n">
        <v>1031</v>
      </c>
      <c r="B1032" t="inlineStr">
        <is>
          <t>22/05/2026</t>
        </is>
      </c>
      <c r="C1032" t="inlineStr">
        <is>
          <t>REF. A BOLETO PAGO DINACO IMPOR</t>
        </is>
      </c>
      <c r="D1032" s="7" t="n">
        <v>-2510.35</v>
      </c>
      <c r="E1032" t="inlineStr">
        <is>
          <t>506</t>
        </is>
      </c>
      <c r="F1032" t="inlineStr">
        <is>
          <t>FORNECEDORES DIVERSOS</t>
        </is>
      </c>
      <c r="G1032" s="2" t="inlineStr">
        <is>
          <t>506</t>
        </is>
      </c>
      <c r="H1032">
        <f>IFERROR(VLOOKUP(G1032&amp;"",PLANO!A:B,2,FALSE),"CONTA NAO EXISTE NO PLANO")</f>
        <v/>
      </c>
      <c r="I1032" t="inlineStr">
        <is>
          <t>506</t>
        </is>
      </c>
      <c r="J1032" t="inlineStr">
        <is>
          <t>SEM COSMOS</t>
        </is>
      </c>
      <c r="K1032" t="inlineStr"/>
      <c r="L1032" t="inlineStr"/>
      <c r="M1032" t="inlineStr">
        <is>
          <t>BOLETO PAGO DINACO IMPOR</t>
        </is>
      </c>
    </row>
    <row r="1033">
      <c r="A1033" t="n">
        <v>1032</v>
      </c>
      <c r="B1033" t="inlineStr">
        <is>
          <t>22/05/2026</t>
        </is>
      </c>
      <c r="C1033" t="inlineStr">
        <is>
          <t>REF. A BOLETO TRANS TOMAZ - TRANSPORTES RODOVIARIOS DE CARGAS EIRELI PAGAMENTO REFERENTE A FRETE SOBRE COMPRA</t>
        </is>
      </c>
      <c r="D1033" s="7" t="n">
        <v>-135.35</v>
      </c>
      <c r="E1033" t="inlineStr">
        <is>
          <t>312</t>
        </is>
      </c>
      <c r="F1033" t="inlineStr">
        <is>
          <t>FRETES E CARRETOS</t>
        </is>
      </c>
      <c r="G1033" s="2" t="inlineStr">
        <is>
          <t>312</t>
        </is>
      </c>
      <c r="H1033">
        <f>IFERROR(VLOOKUP(G1033&amp;"",PLANO!A:B,2,FALSE),"CONTA NAO EXISTE NO PLANO")</f>
        <v/>
      </c>
      <c r="I1033" t="inlineStr">
        <is>
          <t>312</t>
        </is>
      </c>
      <c r="J1033" t="inlineStr">
        <is>
          <t>OK</t>
        </is>
      </c>
      <c r="K1033" t="inlineStr">
        <is>
          <t>categoria Cosmos 4</t>
        </is>
      </c>
      <c r="L1033" t="inlineStr">
        <is>
          <t>TRANS TOMAZ TRANSPORTES RODOVIARIOS DE CARGAS EIRELI | 115/4 | PAGAMENTO REFERENTE A FRETE SOBRE COMPRA</t>
        </is>
      </c>
      <c r="M1033" t="inlineStr">
        <is>
          <t>TRANS TOMAZ TRANSPORTES RODOVIARIOS DE CARGAS EIRELI - PAGAMENTO REFERENTE A FRETE SOBRE COMPRA</t>
        </is>
      </c>
    </row>
    <row r="1034">
      <c r="A1034" t="n">
        <v>1033</v>
      </c>
      <c r="B1034" t="inlineStr">
        <is>
          <t>25/05/2026</t>
        </is>
      </c>
      <c r="C1034" t="inlineStr">
        <is>
          <t>REF. A MOV TIT COB DISP 25/05S</t>
        </is>
      </c>
      <c r="D1034" s="7" t="n">
        <v>1354.4</v>
      </c>
      <c r="E1034" t="inlineStr">
        <is>
          <t>504</t>
        </is>
      </c>
      <c r="F1034" t="inlineStr">
        <is>
          <t>CLIENTES DIVERSOS</t>
        </is>
      </c>
      <c r="G1034" s="2" t="inlineStr">
        <is>
          <t>504</t>
        </is>
      </c>
      <c r="H1034">
        <f>IFERROR(VLOOKUP(G1034&amp;"",PLANO!A:B,2,FALSE),"CONTA NAO EXISTE NO PLANO")</f>
        <v/>
      </c>
      <c r="I1034" t="inlineStr">
        <is>
          <t>504</t>
        </is>
      </c>
      <c r="J1034" t="inlineStr">
        <is>
          <t>SEM COSMOS</t>
        </is>
      </c>
      <c r="K1034" t="inlineStr"/>
      <c r="L1034" t="inlineStr"/>
      <c r="M1034" t="inlineStr">
        <is>
          <t>MOV TIT COB DISP 25/05S</t>
        </is>
      </c>
    </row>
    <row r="1035">
      <c r="A1035" t="n">
        <v>1034</v>
      </c>
      <c r="B1035" t="inlineStr">
        <is>
          <t>25/05/2026</t>
        </is>
      </c>
      <c r="C1035" t="inlineStr">
        <is>
          <t>REF. A PIX TRANSF ESSENDA25/05</t>
        </is>
      </c>
      <c r="D1035" s="7" t="n">
        <v>2000</v>
      </c>
      <c r="E1035" t="inlineStr">
        <is>
          <t>504</t>
        </is>
      </c>
      <c r="F1035" t="inlineStr">
        <is>
          <t>CLIENTES DIVERSOS</t>
        </is>
      </c>
      <c r="G1035" s="2" t="inlineStr">
        <is>
          <t>504</t>
        </is>
      </c>
      <c r="H1035">
        <f>IFERROR(VLOOKUP(G1035&amp;"",PLANO!A:B,2,FALSE),"CONTA NAO EXISTE NO PLANO")</f>
        <v/>
      </c>
      <c r="I1035" t="inlineStr">
        <is>
          <t>504</t>
        </is>
      </c>
      <c r="J1035" t="inlineStr">
        <is>
          <t>SEM COSMOS</t>
        </is>
      </c>
      <c r="K1035" t="inlineStr"/>
      <c r="L1035" t="inlineStr"/>
      <c r="M1035" t="inlineStr">
        <is>
          <t>PIX TRANSF ESSENDA25/05</t>
        </is>
      </c>
    </row>
    <row r="1036">
      <c r="A1036" t="n">
        <v>1035</v>
      </c>
      <c r="B1036" t="inlineStr">
        <is>
          <t>25/05/2026</t>
        </is>
      </c>
      <c r="C1036" t="inlineStr">
        <is>
          <t>REF. A PIX TRANSF IRANI A25/05</t>
        </is>
      </c>
      <c r="D1036" s="7" t="n">
        <v>403.3</v>
      </c>
      <c r="E1036" t="inlineStr">
        <is>
          <t>504</t>
        </is>
      </c>
      <c r="F1036" t="inlineStr">
        <is>
          <t>CLIENTES DIVERSOS</t>
        </is>
      </c>
      <c r="G1036" s="2" t="inlineStr">
        <is>
          <t>504</t>
        </is>
      </c>
      <c r="H1036">
        <f>IFERROR(VLOOKUP(G1036&amp;"",PLANO!A:B,2,FALSE),"CONTA NAO EXISTE NO PLANO")</f>
        <v/>
      </c>
      <c r="I1036" t="inlineStr">
        <is>
          <t>504</t>
        </is>
      </c>
      <c r="J1036" t="inlineStr">
        <is>
          <t>SEM COSMOS</t>
        </is>
      </c>
      <c r="K1036" t="inlineStr"/>
      <c r="L1036" t="inlineStr"/>
      <c r="M1036" t="inlineStr">
        <is>
          <t>PIX TRANSF IRANI A25/05</t>
        </is>
      </c>
    </row>
    <row r="1037">
      <c r="A1037" t="n">
        <v>1036</v>
      </c>
      <c r="B1037" t="inlineStr">
        <is>
          <t>25/05/2026</t>
        </is>
      </c>
      <c r="C1037" t="inlineStr">
        <is>
          <t>REF. A PIX TRANSF MIRIAM 25/05</t>
        </is>
      </c>
      <c r="D1037" s="7" t="n">
        <v>133.76</v>
      </c>
      <c r="E1037" t="inlineStr">
        <is>
          <t>504</t>
        </is>
      </c>
      <c r="F1037" t="inlineStr">
        <is>
          <t>CLIENTES DIVERSOS</t>
        </is>
      </c>
      <c r="G1037" s="2" t="inlineStr">
        <is>
          <t>504</t>
        </is>
      </c>
      <c r="H1037">
        <f>IFERROR(VLOOKUP(G1037&amp;"",PLANO!A:B,2,FALSE),"CONTA NAO EXISTE NO PLANO")</f>
        <v/>
      </c>
      <c r="I1037" t="inlineStr">
        <is>
          <t>504</t>
        </is>
      </c>
      <c r="J1037" t="inlineStr">
        <is>
          <t>SEM COSMOS</t>
        </is>
      </c>
      <c r="K1037" t="inlineStr"/>
      <c r="L1037" t="inlineStr"/>
      <c r="M1037" t="inlineStr">
        <is>
          <t>PIX TRANSF MIRIAM 25/05</t>
        </is>
      </c>
    </row>
    <row r="1038">
      <c r="A1038" t="n">
        <v>1037</v>
      </c>
      <c r="B1038" t="inlineStr">
        <is>
          <t>25/05/2026</t>
        </is>
      </c>
      <c r="C1038" t="inlineStr">
        <is>
          <t>REF. A PIX TRANSF VALTERL25/05</t>
        </is>
      </c>
      <c r="D1038" s="7" t="n">
        <v>618.3</v>
      </c>
      <c r="E1038" t="inlineStr">
        <is>
          <t>504</t>
        </is>
      </c>
      <c r="F1038" t="inlineStr">
        <is>
          <t>CLIENTES DIVERSOS</t>
        </is>
      </c>
      <c r="G1038" s="2" t="inlineStr">
        <is>
          <t>504</t>
        </is>
      </c>
      <c r="H1038">
        <f>IFERROR(VLOOKUP(G1038&amp;"",PLANO!A:B,2,FALSE),"CONTA NAO EXISTE NO PLANO")</f>
        <v/>
      </c>
      <c r="I1038" t="inlineStr">
        <is>
          <t>504</t>
        </is>
      </c>
      <c r="J1038" t="inlineStr">
        <is>
          <t>SEM COSMOS</t>
        </is>
      </c>
      <c r="K1038" t="inlineStr"/>
      <c r="L1038" t="inlineStr"/>
      <c r="M1038" t="inlineStr">
        <is>
          <t>PIX TRANSF VALTERL25/05</t>
        </is>
      </c>
    </row>
    <row r="1039">
      <c r="A1039" s="4" t="n">
        <v>1038</v>
      </c>
      <c r="B1039" s="4" t="inlineStr">
        <is>
          <t>25/05/2026</t>
        </is>
      </c>
      <c r="C1039" s="4" t="inlineStr">
        <is>
          <t>REF. A PIX ENVIADO GULA COSMETI</t>
        </is>
      </c>
      <c r="D1039" s="5" t="n">
        <v>-1000</v>
      </c>
      <c r="E1039" s="4" t="inlineStr">
        <is>
          <t>506</t>
        </is>
      </c>
      <c r="F1039" s="4" t="inlineStr">
        <is>
          <t>FORNECEDORES DIVERSOS</t>
        </is>
      </c>
      <c r="G1039" s="6" t="inlineStr">
        <is>
          <t>366</t>
        </is>
      </c>
      <c r="H1039" s="4">
        <f>IFERROR(VLOOKUP(G1039&amp;"",PLANO!A:B,2,FALSE),"CONTA NAO EXISTE NO PLANO")</f>
        <v/>
      </c>
      <c r="I1039" s="4" t="inlineStr">
        <is>
          <t>672</t>
        </is>
      </c>
      <c r="J1039" s="4" t="inlineStr">
        <is>
          <t>AJUSTADO</t>
        </is>
      </c>
      <c r="K1039" s="4" t="inlineStr">
        <is>
          <t>GULA/FIQUE BEM (mesmo CNPJ, empresa do grupo) - mutuo em EMPRESTIMOS A TERCEIROS (366); nao e fornecedor</t>
        </is>
      </c>
      <c r="L1039" s="4" t="inlineStr"/>
      <c r="M1039" s="4" t="inlineStr">
        <is>
          <t>PIX ENVIADO GULA COSMETI</t>
        </is>
      </c>
    </row>
    <row r="1040">
      <c r="A1040" t="n">
        <v>1039</v>
      </c>
      <c r="B1040" t="inlineStr">
        <is>
          <t>25/05/2026</t>
        </is>
      </c>
      <c r="C1040" t="inlineStr">
        <is>
          <t>REF. A BOLETO PAGO SAVATEC COME</t>
        </is>
      </c>
      <c r="D1040" s="7" t="n">
        <v>-638.66</v>
      </c>
      <c r="E1040" t="inlineStr">
        <is>
          <t>359</t>
        </is>
      </c>
      <c r="F1040" t="inlineStr">
        <is>
          <t>MATERIAL DE ESCRITÓRIO</t>
        </is>
      </c>
      <c r="G1040" s="2" t="inlineStr">
        <is>
          <t>359</t>
        </is>
      </c>
      <c r="H1040">
        <f>IFERROR(VLOOKUP(G1040&amp;"",PLANO!A:B,2,FALSE),"CONTA NAO EXISTE NO PLANO")</f>
        <v/>
      </c>
      <c r="I1040" t="inlineStr">
        <is>
          <t>359</t>
        </is>
      </c>
      <c r="J1040" t="inlineStr">
        <is>
          <t>SEM COSMOS</t>
        </is>
      </c>
      <c r="K1040" t="inlineStr"/>
      <c r="L1040" t="inlineStr"/>
      <c r="M1040" t="inlineStr">
        <is>
          <t>BOLETO PAGO SAVATEC COME</t>
        </is>
      </c>
    </row>
    <row r="1041">
      <c r="A1041" t="n">
        <v>1040</v>
      </c>
      <c r="B1041" t="inlineStr">
        <is>
          <t>25/05/2026</t>
        </is>
      </c>
      <c r="C1041" t="inlineStr">
        <is>
          <t>REF. A BOLETO PAGO PENSU EXACTU</t>
        </is>
      </c>
      <c r="D1041" s="7" t="n">
        <v>-612.25</v>
      </c>
      <c r="E1041" t="inlineStr">
        <is>
          <t>506</t>
        </is>
      </c>
      <c r="F1041" t="inlineStr">
        <is>
          <t>FORNECEDORES DIVERSOS</t>
        </is>
      </c>
      <c r="G1041" s="2" t="inlineStr">
        <is>
          <t>506</t>
        </is>
      </c>
      <c r="H1041">
        <f>IFERROR(VLOOKUP(G1041&amp;"",PLANO!A:B,2,FALSE),"CONTA NAO EXISTE NO PLANO")</f>
        <v/>
      </c>
      <c r="I1041" t="inlineStr">
        <is>
          <t>506</t>
        </is>
      </c>
      <c r="J1041" t="inlineStr">
        <is>
          <t>SEM COSMOS</t>
        </is>
      </c>
      <c r="K1041" t="inlineStr"/>
      <c r="L1041" t="inlineStr"/>
      <c r="M1041" t="inlineStr">
        <is>
          <t>BOLETO PAGO PENSU EXACTU</t>
        </is>
      </c>
    </row>
    <row r="1042">
      <c r="A1042" t="n">
        <v>1041</v>
      </c>
      <c r="B1042" t="inlineStr">
        <is>
          <t>26/05/2026</t>
        </is>
      </c>
      <c r="C1042" t="inlineStr">
        <is>
          <t>REF. A MOV TIT COB DISP 26/05S</t>
        </is>
      </c>
      <c r="D1042" s="7" t="n">
        <v>171.09</v>
      </c>
      <c r="E1042" t="inlineStr">
        <is>
          <t>504</t>
        </is>
      </c>
      <c r="F1042" t="inlineStr">
        <is>
          <t>CLIENTES DIVERSOS</t>
        </is>
      </c>
      <c r="G1042" s="2" t="inlineStr">
        <is>
          <t>504</t>
        </is>
      </c>
      <c r="H1042">
        <f>IFERROR(VLOOKUP(G1042&amp;"",PLANO!A:B,2,FALSE),"CONTA NAO EXISTE NO PLANO")</f>
        <v/>
      </c>
      <c r="I1042" t="inlineStr">
        <is>
          <t>504</t>
        </is>
      </c>
      <c r="J1042" t="inlineStr">
        <is>
          <t>SEM COSMOS</t>
        </is>
      </c>
      <c r="K1042" t="inlineStr"/>
      <c r="L1042" t="inlineStr"/>
      <c r="M1042" t="inlineStr">
        <is>
          <t>MOV TIT COB DISP 26/05S</t>
        </is>
      </c>
    </row>
    <row r="1043">
      <c r="A1043" t="n">
        <v>1042</v>
      </c>
      <c r="B1043" t="inlineStr">
        <is>
          <t>26/05/2026</t>
        </is>
      </c>
      <c r="C1043" t="inlineStr">
        <is>
          <t>REF. A PIX TRANSF ROSALIN26/05</t>
        </is>
      </c>
      <c r="D1043" s="7" t="n">
        <v>62.43</v>
      </c>
      <c r="E1043" t="inlineStr">
        <is>
          <t>504</t>
        </is>
      </c>
      <c r="F1043" t="inlineStr">
        <is>
          <t>CLIENTES DIVERSOS</t>
        </is>
      </c>
      <c r="G1043" s="2" t="inlineStr">
        <is>
          <t>504</t>
        </is>
      </c>
      <c r="H1043">
        <f>IFERROR(VLOOKUP(G1043&amp;"",PLANO!A:B,2,FALSE),"CONTA NAO EXISTE NO PLANO")</f>
        <v/>
      </c>
      <c r="I1043" t="inlineStr">
        <is>
          <t>504</t>
        </is>
      </c>
      <c r="J1043" t="inlineStr">
        <is>
          <t>SEM COSMOS</t>
        </is>
      </c>
      <c r="K1043" t="inlineStr"/>
      <c r="L1043" t="inlineStr"/>
      <c r="M1043" t="inlineStr">
        <is>
          <t>PIX TRANSF ROSALIN26/05</t>
        </is>
      </c>
    </row>
    <row r="1044">
      <c r="A1044" t="n">
        <v>1043</v>
      </c>
      <c r="B1044" t="inlineStr">
        <is>
          <t>26/05/2026</t>
        </is>
      </c>
      <c r="C1044" t="inlineStr">
        <is>
          <t>REF. A PIX TRANSF TIVOLLI26/05</t>
        </is>
      </c>
      <c r="D1044" s="7" t="n">
        <v>768</v>
      </c>
      <c r="E1044" t="inlineStr">
        <is>
          <t>504</t>
        </is>
      </c>
      <c r="F1044" t="inlineStr">
        <is>
          <t>CLIENTES DIVERSOS</t>
        </is>
      </c>
      <c r="G1044" s="2" t="inlineStr">
        <is>
          <t>504</t>
        </is>
      </c>
      <c r="H1044">
        <f>IFERROR(VLOOKUP(G1044&amp;"",PLANO!A:B,2,FALSE),"CONTA NAO EXISTE NO PLANO")</f>
        <v/>
      </c>
      <c r="I1044" t="inlineStr">
        <is>
          <t>504</t>
        </is>
      </c>
      <c r="J1044" t="inlineStr">
        <is>
          <t>SEM COSMOS</t>
        </is>
      </c>
      <c r="K1044" t="inlineStr"/>
      <c r="L1044" t="inlineStr"/>
      <c r="M1044" t="inlineStr">
        <is>
          <t>PIX TRANSF TIVOLLI26/05</t>
        </is>
      </c>
    </row>
    <row r="1045">
      <c r="A1045" t="n">
        <v>1044</v>
      </c>
      <c r="B1045" t="inlineStr">
        <is>
          <t>26/05/2026</t>
        </is>
      </c>
      <c r="C1045" t="inlineStr">
        <is>
          <t>REF. A JUROS 8613.52508-1</t>
        </is>
      </c>
      <c r="D1045" s="7" t="n">
        <v>-4086.5</v>
      </c>
      <c r="E1045" t="inlineStr">
        <is>
          <t>375</t>
        </is>
      </c>
      <c r="F1045" t="inlineStr">
        <is>
          <t>JUROS SOBRE EMPRÉSTIMOS E FINANCIAMENTOS</t>
        </is>
      </c>
      <c r="G1045" s="2" t="inlineStr">
        <is>
          <t>375</t>
        </is>
      </c>
      <c r="H1045">
        <f>IFERROR(VLOOKUP(G1045&amp;"",PLANO!A:B,2,FALSE),"CONTA NAO EXISTE NO PLANO")</f>
        <v/>
      </c>
      <c r="I1045" t="inlineStr">
        <is>
          <t>375</t>
        </is>
      </c>
      <c r="J1045" t="inlineStr">
        <is>
          <t>SEM COSMOS</t>
        </is>
      </c>
      <c r="K1045" t="inlineStr"/>
      <c r="L1045" t="inlineStr"/>
      <c r="M1045" t="inlineStr">
        <is>
          <t>JUROS 8613.52508-1</t>
        </is>
      </c>
    </row>
    <row r="1046">
      <c r="A1046" t="n">
        <v>1045</v>
      </c>
      <c r="B1046" t="inlineStr">
        <is>
          <t>27/05/2026</t>
        </is>
      </c>
      <c r="C1046" t="inlineStr">
        <is>
          <t>REF. A MOV TIT COB DISP 27/05S</t>
        </is>
      </c>
      <c r="D1046" s="7" t="n">
        <v>5154.2</v>
      </c>
      <c r="E1046" t="inlineStr">
        <is>
          <t>504</t>
        </is>
      </c>
      <c r="F1046" t="inlineStr">
        <is>
          <t>CLIENTES DIVERSOS</t>
        </is>
      </c>
      <c r="G1046" s="2" t="inlineStr">
        <is>
          <t>504</t>
        </is>
      </c>
      <c r="H1046">
        <f>IFERROR(VLOOKUP(G1046&amp;"",PLANO!A:B,2,FALSE),"CONTA NAO EXISTE NO PLANO")</f>
        <v/>
      </c>
      <c r="I1046" t="inlineStr">
        <is>
          <t>504</t>
        </is>
      </c>
      <c r="J1046" t="inlineStr">
        <is>
          <t>SEM COSMOS</t>
        </is>
      </c>
      <c r="K1046" t="inlineStr"/>
      <c r="L1046" t="inlineStr"/>
      <c r="M1046" t="inlineStr">
        <is>
          <t>MOV TIT COB DISP 27/05S</t>
        </is>
      </c>
    </row>
    <row r="1047">
      <c r="A1047" t="n">
        <v>1046</v>
      </c>
      <c r="B1047" t="inlineStr">
        <is>
          <t>27/05/2026</t>
        </is>
      </c>
      <c r="C1047" t="inlineStr">
        <is>
          <t>REF. A REDE VISA AT0081996543</t>
        </is>
      </c>
      <c r="D1047" s="7" t="n">
        <v>1686.67</v>
      </c>
      <c r="E1047" t="inlineStr">
        <is>
          <t>504</t>
        </is>
      </c>
      <c r="F1047" t="inlineStr">
        <is>
          <t>CLIENTES DIVERSOS</t>
        </is>
      </c>
      <c r="G1047" s="2" t="inlineStr">
        <is>
          <t>504</t>
        </is>
      </c>
      <c r="H1047">
        <f>IFERROR(VLOOKUP(G1047&amp;"",PLANO!A:B,2,FALSE),"CONTA NAO EXISTE NO PLANO")</f>
        <v/>
      </c>
      <c r="I1047" t="inlineStr">
        <is>
          <t>504</t>
        </is>
      </c>
      <c r="J1047" t="inlineStr">
        <is>
          <t>SEM COSMOS</t>
        </is>
      </c>
      <c r="K1047" t="inlineStr"/>
      <c r="L1047" t="inlineStr"/>
      <c r="M1047" t="inlineStr">
        <is>
          <t>REDE VISA AT0081996543</t>
        </is>
      </c>
    </row>
    <row r="1048">
      <c r="A1048" t="n">
        <v>1047</v>
      </c>
      <c r="B1048" t="inlineStr">
        <is>
          <t>27/05/2026</t>
        </is>
      </c>
      <c r="C1048" t="inlineStr">
        <is>
          <t>REF. A PIX TRANSF CARLOS 27/05</t>
        </is>
      </c>
      <c r="D1048" s="7" t="n">
        <v>14000</v>
      </c>
      <c r="E1048" t="inlineStr">
        <is>
          <t>504</t>
        </is>
      </c>
      <c r="F1048" t="inlineStr">
        <is>
          <t>CLIENTES DIVERSOS</t>
        </is>
      </c>
      <c r="G1048" s="2" t="inlineStr">
        <is>
          <t>504</t>
        </is>
      </c>
      <c r="H1048">
        <f>IFERROR(VLOOKUP(G1048&amp;"",PLANO!A:B,2,FALSE),"CONTA NAO EXISTE NO PLANO")</f>
        <v/>
      </c>
      <c r="I1048" t="inlineStr">
        <is>
          <t>504</t>
        </is>
      </c>
      <c r="J1048" t="inlineStr">
        <is>
          <t>SEM COSMOS</t>
        </is>
      </c>
      <c r="K1048" t="inlineStr"/>
      <c r="L1048" t="inlineStr"/>
      <c r="M1048" t="inlineStr">
        <is>
          <t>PIX TRANSF CARLOS 27/05</t>
        </is>
      </c>
    </row>
    <row r="1049">
      <c r="A1049" t="n">
        <v>1048</v>
      </c>
      <c r="B1049" t="inlineStr">
        <is>
          <t>27/05/2026</t>
        </is>
      </c>
      <c r="C1049" t="inlineStr">
        <is>
          <t>REF. A PIX TRANSF J O RIO27/05</t>
        </is>
      </c>
      <c r="D1049" s="7" t="n">
        <v>1422</v>
      </c>
      <c r="E1049" t="inlineStr">
        <is>
          <t>504</t>
        </is>
      </c>
      <c r="F1049" t="inlineStr">
        <is>
          <t>CLIENTES DIVERSOS</t>
        </is>
      </c>
      <c r="G1049" s="2" t="inlineStr">
        <is>
          <t>504</t>
        </is>
      </c>
      <c r="H1049">
        <f>IFERROR(VLOOKUP(G1049&amp;"",PLANO!A:B,2,FALSE),"CONTA NAO EXISTE NO PLANO")</f>
        <v/>
      </c>
      <c r="I1049" t="inlineStr">
        <is>
          <t>504</t>
        </is>
      </c>
      <c r="J1049" t="inlineStr">
        <is>
          <t>SEM COSMOS</t>
        </is>
      </c>
      <c r="K1049" t="inlineStr"/>
      <c r="L1049" t="inlineStr"/>
      <c r="M1049" t="inlineStr">
        <is>
          <t>PIX TRANSF J O RIO27/05</t>
        </is>
      </c>
    </row>
    <row r="1050">
      <c r="A1050" t="n">
        <v>1049</v>
      </c>
      <c r="B1050" t="inlineStr">
        <is>
          <t>27/05/2026</t>
        </is>
      </c>
      <c r="C1050" t="inlineStr">
        <is>
          <t>REF A PIX ENVIADO GAMBOA INDUS</t>
        </is>
      </c>
      <c r="D1050" s="7" t="n">
        <v>-125</v>
      </c>
      <c r="E1050" t="inlineStr">
        <is>
          <t>506</t>
        </is>
      </c>
      <c r="F1050" t="inlineStr">
        <is>
          <t>FORNECEDORES DIVERSOS</t>
        </is>
      </c>
      <c r="G1050" s="2" t="inlineStr">
        <is>
          <t>506</t>
        </is>
      </c>
      <c r="H1050">
        <f>IFERROR(VLOOKUP(G1050&amp;"",PLANO!A:B,2,FALSE),"CONTA NAO EXISTE NO PLANO")</f>
        <v/>
      </c>
      <c r="I1050" t="inlineStr">
        <is>
          <t>506</t>
        </is>
      </c>
      <c r="J1050" t="inlineStr">
        <is>
          <t>SEM COSMOS</t>
        </is>
      </c>
      <c r="K1050" t="inlineStr"/>
      <c r="L1050" t="inlineStr"/>
      <c r="M1050" t="inlineStr">
        <is>
          <t>PIX ENVIADO GAMBOA INDUS</t>
        </is>
      </c>
    </row>
    <row r="1051">
      <c r="A1051" t="n">
        <v>1050</v>
      </c>
      <c r="B1051" t="inlineStr">
        <is>
          <t>27/05/2026</t>
        </is>
      </c>
      <c r="C1051" t="inlineStr">
        <is>
          <t>REF. A BOLETO PAGO RAPIDO ABC TRANSPORTES LTDAPAGAMENTO REFERENTE A FRETE SOBRE COMPRA</t>
        </is>
      </c>
      <c r="D1051" s="7" t="n">
        <v>-121</v>
      </c>
      <c r="E1051" t="inlineStr">
        <is>
          <t>312</t>
        </is>
      </c>
      <c r="F1051" t="inlineStr">
        <is>
          <t>FRETES E CARRETOS</t>
        </is>
      </c>
      <c r="G1051" s="2" t="inlineStr">
        <is>
          <t>312</t>
        </is>
      </c>
      <c r="H1051">
        <f>IFERROR(VLOOKUP(G1051&amp;"",PLANO!A:B,2,FALSE),"CONTA NAO EXISTE NO PLANO")</f>
        <v/>
      </c>
      <c r="I1051" t="inlineStr">
        <is>
          <t>312</t>
        </is>
      </c>
      <c r="J1051" t="inlineStr">
        <is>
          <t>OK</t>
        </is>
      </c>
      <c r="K1051" t="inlineStr">
        <is>
          <t>categoria Cosmos 4</t>
        </is>
      </c>
      <c r="L1051" t="inlineStr">
        <is>
          <t>RAPIDO ABC TRANSPORTES LTDA | 115/4 | PAGAMENTO REFERENTE A FRETE SOBRE COMPRA</t>
        </is>
      </c>
      <c r="M1051" t="inlineStr">
        <is>
          <t>RAPIDO ABC TRANSPORTES LTDA - PAGAMENTO REFERENTE A FRETE SOBRE COMPRA</t>
        </is>
      </c>
    </row>
    <row r="1052">
      <c r="A1052" t="n">
        <v>1051</v>
      </c>
      <c r="B1052" t="inlineStr">
        <is>
          <t>27/05/2026</t>
        </is>
      </c>
      <c r="C1052" t="inlineStr">
        <is>
          <t>REF A BOLETO PAGO ASSOCIAÇÃO METROCARD PGTO REF. 21 DIAS DE VALE TRANSPORTE 06-2026</t>
        </is>
      </c>
      <c r="D1052" s="7" t="n">
        <v>-1135.29</v>
      </c>
      <c r="E1052" t="inlineStr">
        <is>
          <t>492</t>
        </is>
      </c>
      <c r="F1052" t="inlineStr">
        <is>
          <t>VALE TRANSPORTE</t>
        </is>
      </c>
      <c r="G1052" s="2" t="inlineStr">
        <is>
          <t>492</t>
        </is>
      </c>
      <c r="H1052">
        <f>IFERROR(VLOOKUP(G1052&amp;"",PLANO!A:B,2,FALSE),"CONTA NAO EXISTE NO PLANO")</f>
        <v/>
      </c>
      <c r="I1052" t="inlineStr">
        <is>
          <t>492</t>
        </is>
      </c>
      <c r="J1052" t="inlineStr">
        <is>
          <t>SEM COSMOS</t>
        </is>
      </c>
      <c r="K1052" t="inlineStr"/>
      <c r="L1052" t="inlineStr"/>
      <c r="M1052" t="inlineStr">
        <is>
          <t>BOLETO PAGO ASSOCIAÇÃO METROCARD PGTO REF. 21 DIAS DE VALE TRANSPORTE 06-2026</t>
        </is>
      </c>
    </row>
    <row r="1053">
      <c r="A1053" t="n">
        <v>1052</v>
      </c>
      <c r="B1053" t="inlineStr">
        <is>
          <t>27/05/2026</t>
        </is>
      </c>
      <c r="C1053" t="inlineStr">
        <is>
          <t>ITAU SEG VIDA GLOB - PGTO REF.SEGURO DE VIDA EMPREGADOS CONF.ART 7 - CF1988</t>
        </is>
      </c>
      <c r="D1053" s="7" t="n">
        <v>-295.51</v>
      </c>
      <c r="E1053" t="inlineStr">
        <is>
          <t>642</t>
        </is>
      </c>
      <c r="F1053" t="inlineStr">
        <is>
          <t>SEGURO DE VIDA EMPRESARIAL</t>
        </is>
      </c>
      <c r="G1053" s="2" t="inlineStr">
        <is>
          <t>642</t>
        </is>
      </c>
      <c r="H1053">
        <f>IFERROR(VLOOKUP(G1053&amp;"",PLANO!A:B,2,FALSE),"CONTA NAO EXISTE NO PLANO")</f>
        <v/>
      </c>
      <c r="I1053" t="inlineStr">
        <is>
          <t>642</t>
        </is>
      </c>
      <c r="J1053" t="inlineStr">
        <is>
          <t>OK</t>
        </is>
      </c>
      <c r="K1053" t="inlineStr">
        <is>
          <t>categoria Cosmos 86</t>
        </is>
      </c>
      <c r="L1053" t="inlineStr">
        <is>
          <t>BANCO ITAU UNIBANCO | 115/86 | PGTO REF.SEGURO DE VIDA EMPREGADOS CONF.ART 7 - CF 1988</t>
        </is>
      </c>
      <c r="M1053" t="inlineStr">
        <is>
          <t>BANCO ITAU UNIBANCO - PGTO REF.SEGURO DE VIDA EMPREGADOS CONF.ART 7 - CF 1988</t>
        </is>
      </c>
    </row>
    <row r="1054">
      <c r="A1054" t="n">
        <v>1053</v>
      </c>
      <c r="B1054" t="inlineStr">
        <is>
          <t>28/05/2026</t>
        </is>
      </c>
      <c r="C1054" t="inlineStr">
        <is>
          <t>REF. A SISPAG M. K. COSMETICOS</t>
        </is>
      </c>
      <c r="D1054" s="7" t="n">
        <v>316.52</v>
      </c>
      <c r="E1054" t="inlineStr">
        <is>
          <t>506</t>
        </is>
      </c>
      <c r="F1054" t="inlineStr">
        <is>
          <t>FORNECEDORES DIVERSOS</t>
        </is>
      </c>
      <c r="G1054" s="2" t="inlineStr">
        <is>
          <t>506</t>
        </is>
      </c>
      <c r="H1054">
        <f>IFERROR(VLOOKUP(G1054&amp;"",PLANO!A:B,2,FALSE),"CONTA NAO EXISTE NO PLANO")</f>
        <v/>
      </c>
      <c r="I1054" t="inlineStr">
        <is>
          <t>506</t>
        </is>
      </c>
      <c r="J1054" t="inlineStr">
        <is>
          <t>SEM COSMOS</t>
        </is>
      </c>
      <c r="K1054" t="inlineStr"/>
      <c r="L1054" t="inlineStr"/>
      <c r="M1054" t="inlineStr">
        <is>
          <t>SISPAG M. K. COSMETICOS</t>
        </is>
      </c>
    </row>
    <row r="1055">
      <c r="A1055" t="n">
        <v>1054</v>
      </c>
      <c r="B1055" t="inlineStr">
        <is>
          <t>28/05/2026</t>
        </is>
      </c>
      <c r="C1055" t="inlineStr">
        <is>
          <t>REF. A SISPAG VENUS COMERCIO V</t>
        </is>
      </c>
      <c r="D1055" s="7" t="n">
        <v>550</v>
      </c>
      <c r="E1055" t="inlineStr">
        <is>
          <t>504</t>
        </is>
      </c>
      <c r="F1055" t="inlineStr">
        <is>
          <t>CLIENTES DIVERSOS</t>
        </is>
      </c>
      <c r="G1055" s="2" t="inlineStr">
        <is>
          <t>504</t>
        </is>
      </c>
      <c r="H1055">
        <f>IFERROR(VLOOKUP(G1055&amp;"",PLANO!A:B,2,FALSE),"CONTA NAO EXISTE NO PLANO")</f>
        <v/>
      </c>
      <c r="I1055" t="inlineStr">
        <is>
          <t>504</t>
        </is>
      </c>
      <c r="J1055" t="inlineStr">
        <is>
          <t>SEM COSMOS</t>
        </is>
      </c>
      <c r="K1055" t="inlineStr"/>
      <c r="L1055" t="inlineStr"/>
      <c r="M1055" t="inlineStr">
        <is>
          <t>SISPAG VENUS COMERCIO V</t>
        </is>
      </c>
    </row>
    <row r="1056">
      <c r="A1056" t="n">
        <v>1055</v>
      </c>
      <c r="B1056" t="inlineStr">
        <is>
          <t>28/05/2026</t>
        </is>
      </c>
      <c r="C1056" t="inlineStr">
        <is>
          <t>REF. A MOV TIT COB DISP 28/05S</t>
        </is>
      </c>
      <c r="D1056" s="7" t="n">
        <v>2473.95</v>
      </c>
      <c r="E1056" t="inlineStr">
        <is>
          <t>504</t>
        </is>
      </c>
      <c r="F1056" t="inlineStr">
        <is>
          <t>CLIENTES DIVERSOS</t>
        </is>
      </c>
      <c r="G1056" s="2" t="inlineStr">
        <is>
          <t>504</t>
        </is>
      </c>
      <c r="H1056">
        <f>IFERROR(VLOOKUP(G1056&amp;"",PLANO!A:B,2,FALSE),"CONTA NAO EXISTE NO PLANO")</f>
        <v/>
      </c>
      <c r="I1056" t="inlineStr">
        <is>
          <t>504</t>
        </is>
      </c>
      <c r="J1056" t="inlineStr">
        <is>
          <t>SEM COSMOS</t>
        </is>
      </c>
      <c r="K1056" t="inlineStr"/>
      <c r="L1056" t="inlineStr"/>
      <c r="M1056" t="inlineStr">
        <is>
          <t>MOV TIT COB DISP 28/05S</t>
        </is>
      </c>
    </row>
    <row r="1057">
      <c r="A1057" t="n">
        <v>1056</v>
      </c>
      <c r="B1057" t="inlineStr">
        <is>
          <t>28/05/2026</t>
        </is>
      </c>
      <c r="C1057" t="inlineStr">
        <is>
          <t>REF. A REND PAGO APLIC AUT MAIS</t>
        </is>
      </c>
      <c r="D1057" s="7" t="n">
        <v>0.01</v>
      </c>
      <c r="E1057" t="inlineStr">
        <is>
          <t>432</t>
        </is>
      </c>
      <c r="F1057" t="inlineStr">
        <is>
          <t>RENDIMENTOS DE APLICAÇÕES</t>
        </is>
      </c>
      <c r="G1057" s="2" t="inlineStr">
        <is>
          <t>432</t>
        </is>
      </c>
      <c r="H1057">
        <f>IFERROR(VLOOKUP(G1057&amp;"",PLANO!A:B,2,FALSE),"CONTA NAO EXISTE NO PLANO")</f>
        <v/>
      </c>
      <c r="I1057" t="inlineStr">
        <is>
          <t>432</t>
        </is>
      </c>
      <c r="J1057" t="inlineStr">
        <is>
          <t>SEM COSMOS</t>
        </is>
      </c>
      <c r="K1057" t="inlineStr"/>
      <c r="L1057" t="inlineStr"/>
      <c r="M1057" t="inlineStr">
        <is>
          <t>REND PAGO APLIC AUT MAIS</t>
        </is>
      </c>
    </row>
    <row r="1058">
      <c r="A1058" t="n">
        <v>1057</v>
      </c>
      <c r="B1058" t="inlineStr">
        <is>
          <t>28/05/2026</t>
        </is>
      </c>
      <c r="C1058" t="inlineStr">
        <is>
          <t>REF. A RENDIMENTO BRUTO PAGO</t>
        </is>
      </c>
      <c r="D1058" s="7" t="n">
        <v>0.39</v>
      </c>
      <c r="E1058" t="inlineStr">
        <is>
          <t>432</t>
        </is>
      </c>
      <c r="F1058" t="inlineStr">
        <is>
          <t>RENDIMENTOS DE APLICAÇÕES</t>
        </is>
      </c>
      <c r="G1058" s="2" t="inlineStr">
        <is>
          <t>432</t>
        </is>
      </c>
      <c r="H1058">
        <f>IFERROR(VLOOKUP(G1058&amp;"",PLANO!A:B,2,FALSE),"CONTA NAO EXISTE NO PLANO")</f>
        <v/>
      </c>
      <c r="I1058" t="inlineStr">
        <is>
          <t>432</t>
        </is>
      </c>
      <c r="J1058" t="inlineStr">
        <is>
          <t>SEM COSMOS</t>
        </is>
      </c>
      <c r="K1058" t="inlineStr"/>
      <c r="L1058" t="inlineStr"/>
      <c r="M1058" t="inlineStr">
        <is>
          <t>RENDIMENTO BRUTO PAGO</t>
        </is>
      </c>
    </row>
    <row r="1059">
      <c r="A1059" s="4" t="n">
        <v>1058</v>
      </c>
      <c r="B1059" s="4" t="inlineStr">
        <is>
          <t>28/05/2026</t>
        </is>
      </c>
      <c r="C1059" s="4" t="inlineStr">
        <is>
          <t>REF. A PIX ENVIADO COSMETICON C</t>
        </is>
      </c>
      <c r="D1059" s="5" t="n">
        <v>-5200</v>
      </c>
      <c r="E1059" s="4" t="inlineStr">
        <is>
          <t>664</t>
        </is>
      </c>
      <c r="F1059" s="4" t="inlineStr">
        <is>
          <t>COSMETICON COMERCIO DE COSMETICOS LTDA</t>
        </is>
      </c>
      <c r="G1059" s="6" t="inlineStr">
        <is>
          <t>663</t>
        </is>
      </c>
      <c r="H1059" s="4">
        <f>IFERROR(VLOOKUP(G1059&amp;"",PLANO!A:B,2,FALSE),"CONTA NAO EXISTE NO PLANO")</f>
        <v/>
      </c>
      <c r="I1059" s="4" t="inlineStr">
        <is>
          <t>663</t>
        </is>
      </c>
      <c r="J1059" s="4" t="inlineStr">
        <is>
          <t>AJUSTADO</t>
        </is>
      </c>
      <c r="K1059" s="4" t="inlineStr">
        <is>
          <t>COSMETICON - conta-corrente unica de mutuo (663)</t>
        </is>
      </c>
      <c r="L1059" s="4" t="inlineStr"/>
      <c r="M1059" s="4" t="inlineStr">
        <is>
          <t>PIX ENVIADO COSMETICON C</t>
        </is>
      </c>
    </row>
    <row r="1060">
      <c r="A1060" t="n">
        <v>1059</v>
      </c>
      <c r="B1060" t="inlineStr">
        <is>
          <t>28/05/2026</t>
        </is>
      </c>
      <c r="C1060" t="inlineStr">
        <is>
          <t>REF. A PIX ENVIADO 50.370.136 A</t>
        </is>
      </c>
      <c r="D1060" s="7" t="n">
        <v>-6480</v>
      </c>
      <c r="E1060" t="inlineStr">
        <is>
          <t>493</t>
        </is>
      </c>
      <c r="F1060" t="inlineStr">
        <is>
          <t>DESPESAS DIVERSAS</t>
        </is>
      </c>
      <c r="G1060" s="2" t="inlineStr">
        <is>
          <t>493</t>
        </is>
      </c>
      <c r="H1060">
        <f>IFERROR(VLOOKUP(G1060&amp;"",PLANO!A:B,2,FALSE),"CONTA NAO EXISTE NO PLANO")</f>
        <v/>
      </c>
      <c r="I1060" t="inlineStr">
        <is>
          <t>493</t>
        </is>
      </c>
      <c r="J1060" t="inlineStr">
        <is>
          <t>SEM COSMOS</t>
        </is>
      </c>
      <c r="K1060" t="inlineStr"/>
      <c r="L1060" t="inlineStr"/>
      <c r="M1060" t="inlineStr">
        <is>
          <t>PIX ENVIADO 50.370.136 A</t>
        </is>
      </c>
    </row>
    <row r="1061">
      <c r="A1061" s="4" t="n">
        <v>1060</v>
      </c>
      <c r="B1061" s="4" t="inlineStr">
        <is>
          <t>28/05/2026</t>
        </is>
      </c>
      <c r="C1061" s="4" t="inlineStr">
        <is>
          <t>REF. A PIX ENVIADO COSMETICON C</t>
        </is>
      </c>
      <c r="D1061" s="5" t="n">
        <v>-6500</v>
      </c>
      <c r="E1061" s="4" t="inlineStr">
        <is>
          <t>664</t>
        </is>
      </c>
      <c r="F1061" s="4" t="inlineStr">
        <is>
          <t>COSMETICON COMERCIO DE COSMETICOS LTDA</t>
        </is>
      </c>
      <c r="G1061" s="6" t="inlineStr">
        <is>
          <t>663</t>
        </is>
      </c>
      <c r="H1061" s="4">
        <f>IFERROR(VLOOKUP(G1061&amp;"",PLANO!A:B,2,FALSE),"CONTA NAO EXISTE NO PLANO")</f>
        <v/>
      </c>
      <c r="I1061" s="4" t="inlineStr">
        <is>
          <t>663</t>
        </is>
      </c>
      <c r="J1061" s="4" t="inlineStr">
        <is>
          <t>AJUSTADO</t>
        </is>
      </c>
      <c r="K1061" s="4" t="inlineStr">
        <is>
          <t>COSMETICON - conta-corrente unica de mutuo (663)</t>
        </is>
      </c>
      <c r="L1061" s="4" t="inlineStr"/>
      <c r="M1061" s="4" t="inlineStr">
        <is>
          <t>PIX ENVIADO COSMETICON C</t>
        </is>
      </c>
    </row>
    <row r="1062">
      <c r="A1062" t="n">
        <v>1061</v>
      </c>
      <c r="B1062" t="inlineStr">
        <is>
          <t>28/05/2026</t>
        </is>
      </c>
      <c r="C1062" t="inlineStr">
        <is>
          <t>REF. A BOLETO PAGO INSETCONTROL</t>
        </is>
      </c>
      <c r="D1062" s="7" t="n">
        <v>-673.2</v>
      </c>
      <c r="E1062" t="inlineStr">
        <is>
          <t>506</t>
        </is>
      </c>
      <c r="F1062" t="inlineStr">
        <is>
          <t>FORNECEDORES DIVERSOS</t>
        </is>
      </c>
      <c r="G1062" s="2" t="inlineStr">
        <is>
          <t>506</t>
        </is>
      </c>
      <c r="H1062">
        <f>IFERROR(VLOOKUP(G1062&amp;"",PLANO!A:B,2,FALSE),"CONTA NAO EXISTE NO PLANO")</f>
        <v/>
      </c>
      <c r="I1062" t="inlineStr">
        <is>
          <t>506</t>
        </is>
      </c>
      <c r="J1062" t="inlineStr">
        <is>
          <t>SEM COSMOS</t>
        </is>
      </c>
      <c r="K1062" t="inlineStr"/>
      <c r="L1062" t="inlineStr"/>
      <c r="M1062" t="inlineStr">
        <is>
          <t>BOLETO PAGO INSETCONTROL</t>
        </is>
      </c>
    </row>
    <row r="1063">
      <c r="A1063" t="n">
        <v>1062</v>
      </c>
      <c r="B1063" t="inlineStr">
        <is>
          <t>28/05/2026</t>
        </is>
      </c>
      <c r="C1063" t="inlineStr">
        <is>
          <t>REF. A BOLETO PAGO SINDICATO DA</t>
        </is>
      </c>
      <c r="D1063" s="7" t="n">
        <v>-376.01</v>
      </c>
      <c r="E1063" t="inlineStr">
        <is>
          <t>350</t>
        </is>
      </c>
      <c r="F1063" t="inlineStr">
        <is>
          <t>TAXAS DIVERSAS</t>
        </is>
      </c>
      <c r="G1063" s="2" t="inlineStr">
        <is>
          <t>350</t>
        </is>
      </c>
      <c r="H1063">
        <f>IFERROR(VLOOKUP(G1063&amp;"",PLANO!A:B,2,FALSE),"CONTA NAO EXISTE NO PLANO")</f>
        <v/>
      </c>
      <c r="I1063" t="inlineStr">
        <is>
          <t>350</t>
        </is>
      </c>
      <c r="J1063" t="inlineStr">
        <is>
          <t>SEM COSMOS</t>
        </is>
      </c>
      <c r="K1063" t="inlineStr"/>
      <c r="L1063" t="inlineStr"/>
      <c r="M1063" t="inlineStr">
        <is>
          <t>BOLETO PAGO SINDICATO DA</t>
        </is>
      </c>
    </row>
    <row r="1064">
      <c r="A1064" t="n">
        <v>1063</v>
      </c>
      <c r="B1064" t="inlineStr">
        <is>
          <t>28/05/2026</t>
        </is>
      </c>
      <c r="C1064" t="inlineStr">
        <is>
          <t>REF. A BOLETO PAGO MHLOG LOGIST</t>
        </is>
      </c>
      <c r="D1064" s="7" t="n">
        <v>-385.24</v>
      </c>
      <c r="E1064" t="inlineStr">
        <is>
          <t>312</t>
        </is>
      </c>
      <c r="F1064" t="inlineStr">
        <is>
          <t>FRETES E CARRETOS</t>
        </is>
      </c>
      <c r="G1064" s="2" t="inlineStr">
        <is>
          <t>312</t>
        </is>
      </c>
      <c r="H1064">
        <f>IFERROR(VLOOKUP(G1064&amp;"",PLANO!A:B,2,FALSE),"CONTA NAO EXISTE NO PLANO")</f>
        <v/>
      </c>
      <c r="I1064" t="inlineStr">
        <is>
          <t>312</t>
        </is>
      </c>
      <c r="J1064" t="inlineStr">
        <is>
          <t>SEM COSMOS</t>
        </is>
      </c>
      <c r="K1064" t="inlineStr"/>
      <c r="L1064" t="inlineStr"/>
      <c r="M1064" t="inlineStr">
        <is>
          <t>BOLETO PAGO MHLOG LOGIST</t>
        </is>
      </c>
    </row>
    <row r="1065">
      <c r="A1065" t="n">
        <v>1064</v>
      </c>
      <c r="B1065" t="inlineStr">
        <is>
          <t>28/05/2026</t>
        </is>
      </c>
      <c r="C1065" t="inlineStr">
        <is>
          <t>REF. A BOLETO PAGO CMS CONS EM</t>
        </is>
      </c>
      <c r="D1065" s="7" t="n">
        <v>-742.95</v>
      </c>
      <c r="E1065" t="inlineStr">
        <is>
          <t>493</t>
        </is>
      </c>
      <c r="F1065" t="inlineStr">
        <is>
          <t>DESPESAS DIVERSAS</t>
        </is>
      </c>
      <c r="G1065" s="2" t="inlineStr">
        <is>
          <t>493</t>
        </is>
      </c>
      <c r="H1065">
        <f>IFERROR(VLOOKUP(G1065&amp;"",PLANO!A:B,2,FALSE),"CONTA NAO EXISTE NO PLANO")</f>
        <v/>
      </c>
      <c r="I1065" t="inlineStr">
        <is>
          <t>493</t>
        </is>
      </c>
      <c r="J1065" t="inlineStr">
        <is>
          <t>SEM COSMOS</t>
        </is>
      </c>
      <c r="K1065" t="inlineStr"/>
      <c r="L1065" t="inlineStr"/>
      <c r="M1065" t="inlineStr">
        <is>
          <t>BOLETO PAGO CMS CONS EM</t>
        </is>
      </c>
    </row>
    <row r="1066">
      <c r="A1066" t="n">
        <v>1065</v>
      </c>
      <c r="B1066" t="inlineStr">
        <is>
          <t>28/05/2026</t>
        </is>
      </c>
      <c r="C1066" t="inlineStr">
        <is>
          <t>IOF RETIDO</t>
        </is>
      </c>
      <c r="D1066" s="7" t="n">
        <v>-0.32</v>
      </c>
      <c r="E1066" t="inlineStr">
        <is>
          <t>625</t>
        </is>
      </c>
      <c r="F1066" t="inlineStr">
        <is>
          <t>IOF</t>
        </is>
      </c>
      <c r="G1066" s="2" t="inlineStr">
        <is>
          <t>625</t>
        </is>
      </c>
      <c r="H1066">
        <f>IFERROR(VLOOKUP(G1066&amp;"",PLANO!A:B,2,FALSE),"CONTA NAO EXISTE NO PLANO")</f>
        <v/>
      </c>
      <c r="I1066" t="inlineStr">
        <is>
          <t>625</t>
        </is>
      </c>
      <c r="J1066" t="inlineStr">
        <is>
          <t>SEM COSMOS</t>
        </is>
      </c>
      <c r="K1066" t="inlineStr"/>
      <c r="L1066" t="inlineStr"/>
      <c r="M1066" t="inlineStr">
        <is>
          <t>IOF RETIDO</t>
        </is>
      </c>
    </row>
    <row r="1067">
      <c r="A1067" t="n">
        <v>1066</v>
      </c>
      <c r="B1067" t="inlineStr">
        <is>
          <t>28/05/2026</t>
        </is>
      </c>
      <c r="C1067" t="inlineStr">
        <is>
          <t>REF. A REND PAGO APLIC AUT MAIS</t>
        </is>
      </c>
      <c r="D1067" s="7" t="n">
        <v>-0.07000000000000001</v>
      </c>
      <c r="E1067" t="inlineStr">
        <is>
          <t>432</t>
        </is>
      </c>
      <c r="F1067" t="inlineStr">
        <is>
          <t>RENDIMENTOS DE APLICAÇÕES</t>
        </is>
      </c>
      <c r="G1067" s="2" t="inlineStr">
        <is>
          <t>432</t>
        </is>
      </c>
      <c r="H1067">
        <f>IFERROR(VLOOKUP(G1067&amp;"",PLANO!A:B,2,FALSE),"CONTA NAO EXISTE NO PLANO")</f>
        <v/>
      </c>
      <c r="I1067" t="inlineStr">
        <is>
          <t>432</t>
        </is>
      </c>
      <c r="J1067" t="inlineStr">
        <is>
          <t>SEM COSMOS</t>
        </is>
      </c>
      <c r="K1067" t="inlineStr"/>
      <c r="L1067" t="inlineStr"/>
      <c r="M1067" t="inlineStr">
        <is>
          <t>REND PAGO APLIC AUT MAIS</t>
        </is>
      </c>
    </row>
    <row r="1068">
      <c r="A1068" t="n">
        <v>1067</v>
      </c>
      <c r="B1068" t="inlineStr">
        <is>
          <t>29/05/2026</t>
        </is>
      </c>
      <c r="C1068" t="inlineStr">
        <is>
          <t>REF A SISPAG O.S. SECURITIZAD</t>
        </is>
      </c>
      <c r="D1068" s="7" t="n">
        <v>5972.38</v>
      </c>
      <c r="E1068" t="inlineStr">
        <is>
          <t>504</t>
        </is>
      </c>
      <c r="F1068" t="inlineStr">
        <is>
          <t>CLIENTES DIVERSOS</t>
        </is>
      </c>
      <c r="G1068" s="2" t="inlineStr">
        <is>
          <t>504</t>
        </is>
      </c>
      <c r="H1068">
        <f>IFERROR(VLOOKUP(G1068&amp;"",PLANO!A:B,2,FALSE),"CONTA NAO EXISTE NO PLANO")</f>
        <v/>
      </c>
      <c r="I1068" t="inlineStr">
        <is>
          <t>504</t>
        </is>
      </c>
      <c r="J1068" t="inlineStr">
        <is>
          <t>SEM COSMOS</t>
        </is>
      </c>
      <c r="K1068" t="inlineStr"/>
      <c r="L1068" t="inlineStr"/>
      <c r="M1068" t="inlineStr">
        <is>
          <t>SISPAG O.S. SECURITIZAD</t>
        </is>
      </c>
    </row>
    <row r="1069">
      <c r="A1069" t="n">
        <v>1068</v>
      </c>
      <c r="B1069" t="inlineStr">
        <is>
          <t>29/05/2026</t>
        </is>
      </c>
      <c r="C1069" t="inlineStr">
        <is>
          <t>REF. A MOV TIT COB DISP 29/05S</t>
        </is>
      </c>
      <c r="D1069" s="7" t="n">
        <v>2231.74</v>
      </c>
      <c r="E1069" t="inlineStr">
        <is>
          <t>504</t>
        </is>
      </c>
      <c r="F1069" t="inlineStr">
        <is>
          <t>CLIENTES DIVERSOS</t>
        </is>
      </c>
      <c r="G1069" s="2" t="inlineStr">
        <is>
          <t>504</t>
        </is>
      </c>
      <c r="H1069">
        <f>IFERROR(VLOOKUP(G1069&amp;"",PLANO!A:B,2,FALSE),"CONTA NAO EXISTE NO PLANO")</f>
        <v/>
      </c>
      <c r="I1069" t="inlineStr">
        <is>
          <t>504</t>
        </is>
      </c>
      <c r="J1069" t="inlineStr">
        <is>
          <t>SEM COSMOS</t>
        </is>
      </c>
      <c r="K1069" t="inlineStr"/>
      <c r="L1069" t="inlineStr"/>
      <c r="M1069" t="inlineStr">
        <is>
          <t>MOV TIT COB DISP 29/05S</t>
        </is>
      </c>
    </row>
    <row r="1070">
      <c r="A1070" t="n">
        <v>1069</v>
      </c>
      <c r="B1070" t="inlineStr">
        <is>
          <t>29/05/2026</t>
        </is>
      </c>
      <c r="C1070" t="inlineStr">
        <is>
          <t>REF. A PIX TRANSF ELIZIAN29/05</t>
        </is>
      </c>
      <c r="D1070" s="7" t="n">
        <v>216.32</v>
      </c>
      <c r="E1070" t="inlineStr">
        <is>
          <t>504</t>
        </is>
      </c>
      <c r="F1070" t="inlineStr">
        <is>
          <t>CLIENTES DIVERSOS</t>
        </is>
      </c>
      <c r="G1070" s="2" t="inlineStr">
        <is>
          <t>504</t>
        </is>
      </c>
      <c r="H1070">
        <f>IFERROR(VLOOKUP(G1070&amp;"",PLANO!A:B,2,FALSE),"CONTA NAO EXISTE NO PLANO")</f>
        <v/>
      </c>
      <c r="I1070" t="inlineStr">
        <is>
          <t>504</t>
        </is>
      </c>
      <c r="J1070" t="inlineStr">
        <is>
          <t>SEM COSMOS</t>
        </is>
      </c>
      <c r="K1070" t="inlineStr"/>
      <c r="L1070" t="inlineStr"/>
      <c r="M1070" t="inlineStr">
        <is>
          <t>PIX TRANSF ELIZIAN29/05</t>
        </is>
      </c>
    </row>
    <row r="1071">
      <c r="A1071" t="n">
        <v>1070</v>
      </c>
      <c r="B1071" t="inlineStr">
        <is>
          <t>29/05/2026</t>
        </is>
      </c>
      <c r="C1071" t="inlineStr">
        <is>
          <t>REF. A PIX TRANSF ECLAIR 29/05</t>
        </is>
      </c>
      <c r="D1071" s="7" t="n">
        <v>89.31999999999999</v>
      </c>
      <c r="E1071" t="inlineStr">
        <is>
          <t>504</t>
        </is>
      </c>
      <c r="F1071" t="inlineStr">
        <is>
          <t>CLIENTES DIVERSOS</t>
        </is>
      </c>
      <c r="G1071" s="2" t="inlineStr">
        <is>
          <t>504</t>
        </is>
      </c>
      <c r="H1071">
        <f>IFERROR(VLOOKUP(G1071&amp;"",PLANO!A:B,2,FALSE),"CONTA NAO EXISTE NO PLANO")</f>
        <v/>
      </c>
      <c r="I1071" t="inlineStr">
        <is>
          <t>504</t>
        </is>
      </c>
      <c r="J1071" t="inlineStr">
        <is>
          <t>SEM COSMOS</t>
        </is>
      </c>
      <c r="K1071" t="inlineStr"/>
      <c r="L1071" t="inlineStr"/>
      <c r="M1071" t="inlineStr">
        <is>
          <t>PIX TRANSF ECLAIR 29/05</t>
        </is>
      </c>
    </row>
    <row r="1072">
      <c r="A1072" t="n">
        <v>1071</v>
      </c>
      <c r="B1072" t="inlineStr">
        <is>
          <t>29/05/2026</t>
        </is>
      </c>
      <c r="C1072" t="inlineStr">
        <is>
          <t>REF. A PIX TRANSF GILSON 29/05</t>
        </is>
      </c>
      <c r="D1072" s="7" t="n">
        <v>118.72</v>
      </c>
      <c r="E1072" t="inlineStr">
        <is>
          <t>504</t>
        </is>
      </c>
      <c r="F1072" t="inlineStr">
        <is>
          <t>CLIENTES DIVERSOS</t>
        </is>
      </c>
      <c r="G1072" s="2" t="inlineStr">
        <is>
          <t>504</t>
        </is>
      </c>
      <c r="H1072">
        <f>IFERROR(VLOOKUP(G1072&amp;"",PLANO!A:B,2,FALSE),"CONTA NAO EXISTE NO PLANO")</f>
        <v/>
      </c>
      <c r="I1072" t="inlineStr">
        <is>
          <t>504</t>
        </is>
      </c>
      <c r="J1072" t="inlineStr">
        <is>
          <t>SEM COSMOS</t>
        </is>
      </c>
      <c r="K1072" t="inlineStr"/>
      <c r="L1072" t="inlineStr"/>
      <c r="M1072" t="inlineStr">
        <is>
          <t>PIX TRANSF GILSON 29/05</t>
        </is>
      </c>
    </row>
    <row r="1073">
      <c r="A1073" t="n">
        <v>1072</v>
      </c>
      <c r="B1073" t="inlineStr">
        <is>
          <t>29/05/2026</t>
        </is>
      </c>
      <c r="C1073" t="inlineStr">
        <is>
          <t>REF. A PIX TRANSF NARA LU29/05</t>
        </is>
      </c>
      <c r="D1073" s="7" t="n">
        <v>298.77</v>
      </c>
      <c r="E1073" t="inlineStr">
        <is>
          <t>504</t>
        </is>
      </c>
      <c r="F1073" t="inlineStr">
        <is>
          <t>CLIENTES DIVERSOS</t>
        </is>
      </c>
      <c r="G1073" s="2" t="inlineStr">
        <is>
          <t>504</t>
        </is>
      </c>
      <c r="H1073">
        <f>IFERROR(VLOOKUP(G1073&amp;"",PLANO!A:B,2,FALSE),"CONTA NAO EXISTE NO PLANO")</f>
        <v/>
      </c>
      <c r="I1073" t="inlineStr">
        <is>
          <t>504</t>
        </is>
      </c>
      <c r="J1073" t="inlineStr">
        <is>
          <t>SEM COSMOS</t>
        </is>
      </c>
      <c r="K1073" t="inlineStr"/>
      <c r="L1073" t="inlineStr"/>
      <c r="M1073" t="inlineStr">
        <is>
          <t>PIX TRANSF NARA LU29/05</t>
        </is>
      </c>
    </row>
    <row r="1074">
      <c r="A1074" s="4" t="n">
        <v>1073</v>
      </c>
      <c r="B1074" s="4" t="inlineStr">
        <is>
          <t>29/05/2026</t>
        </is>
      </c>
      <c r="C1074" s="4" t="inlineStr">
        <is>
          <t>REF. A PIX ENVIADO GULA COSMETI</t>
        </is>
      </c>
      <c r="D1074" s="5" t="n">
        <v>-550</v>
      </c>
      <c r="E1074" s="4" t="inlineStr">
        <is>
          <t>506</t>
        </is>
      </c>
      <c r="F1074" s="4" t="inlineStr">
        <is>
          <t>FORNECEDORES DIVERSOS</t>
        </is>
      </c>
      <c r="G1074" s="6" t="inlineStr">
        <is>
          <t>366</t>
        </is>
      </c>
      <c r="H1074" s="4">
        <f>IFERROR(VLOOKUP(G1074&amp;"",PLANO!A:B,2,FALSE),"CONTA NAO EXISTE NO PLANO")</f>
        <v/>
      </c>
      <c r="I1074" s="4" t="inlineStr">
        <is>
          <t>672</t>
        </is>
      </c>
      <c r="J1074" s="4" t="inlineStr">
        <is>
          <t>AJUSTADO</t>
        </is>
      </c>
      <c r="K1074" s="4" t="inlineStr">
        <is>
          <t>GULA/FIQUE BEM (mesmo CNPJ, empresa do grupo) - mutuo em EMPRESTIMOS A TERCEIROS (366); nao e fornecedor</t>
        </is>
      </c>
      <c r="L1074" s="4" t="inlineStr"/>
      <c r="M1074" s="4" t="inlineStr">
        <is>
          <t>PIX ENVIADO GULA COSMETI</t>
        </is>
      </c>
    </row>
    <row r="1075">
      <c r="A1075" t="n">
        <v>1074</v>
      </c>
      <c r="B1075" t="inlineStr">
        <is>
          <t>29/05/2026</t>
        </is>
      </c>
      <c r="C1075" t="inlineStr">
        <is>
          <t>REF. A PIX ENVIADO 50.370.136 A</t>
        </is>
      </c>
      <c r="D1075" s="7" t="n">
        <v>-4966.28</v>
      </c>
      <c r="E1075" t="inlineStr">
        <is>
          <t>493</t>
        </is>
      </c>
      <c r="F1075" t="inlineStr">
        <is>
          <t>DESPESAS DIVERSAS</t>
        </is>
      </c>
      <c r="G1075" s="2" t="inlineStr">
        <is>
          <t>493</t>
        </is>
      </c>
      <c r="H1075">
        <f>IFERROR(VLOOKUP(G1075&amp;"",PLANO!A:B,2,FALSE),"CONTA NAO EXISTE NO PLANO")</f>
        <v/>
      </c>
      <c r="I1075" t="inlineStr">
        <is>
          <t>493</t>
        </is>
      </c>
      <c r="J1075" t="inlineStr">
        <is>
          <t>SEM COSMOS</t>
        </is>
      </c>
      <c r="K1075" t="inlineStr"/>
      <c r="L1075" t="inlineStr"/>
      <c r="M1075" t="inlineStr">
        <is>
          <t>PIX ENVIADO 50.370.136 A</t>
        </is>
      </c>
    </row>
    <row r="1076">
      <c r="A1076" t="n">
        <v>1075</v>
      </c>
      <c r="B1076" t="inlineStr">
        <is>
          <t>29/05/2026</t>
        </is>
      </c>
      <c r="C1076" t="inlineStr">
        <is>
          <t>REF. A PIX ENVIADO CARLOS ALEXA</t>
        </is>
      </c>
      <c r="D1076" s="7" t="n">
        <v>-500</v>
      </c>
      <c r="E1076" t="inlineStr">
        <is>
          <t>362</t>
        </is>
      </c>
      <c r="F1076" t="inlineStr">
        <is>
          <t>SERVIÇOS PRESTADOS POR TERCEIROS</t>
        </is>
      </c>
      <c r="G1076" s="2" t="inlineStr">
        <is>
          <t>362</t>
        </is>
      </c>
      <c r="H1076">
        <f>IFERROR(VLOOKUP(G1076&amp;"",PLANO!A:B,2,FALSE),"CONTA NAO EXISTE NO PLANO")</f>
        <v/>
      </c>
      <c r="I1076" t="inlineStr">
        <is>
          <t>362</t>
        </is>
      </c>
      <c r="J1076" t="inlineStr">
        <is>
          <t>SEM COSMOS</t>
        </is>
      </c>
      <c r="K1076" t="inlineStr"/>
      <c r="L1076" t="inlineStr"/>
      <c r="M1076" t="inlineStr">
        <is>
          <t>PIX ENVIADO CARLOS ALEXA</t>
        </is>
      </c>
    </row>
    <row r="1077">
      <c r="A1077" t="n">
        <v>1076</v>
      </c>
      <c r="B1077" t="inlineStr">
        <is>
          <t>29/05/2026</t>
        </is>
      </c>
      <c r="C1077" t="inlineStr">
        <is>
          <t>REF. A BOLETO PAGO URBANO SA SO</t>
        </is>
      </c>
      <c r="D1077" s="7" t="n">
        <v>-1744.13</v>
      </c>
      <c r="E1077" t="inlineStr">
        <is>
          <t>350</t>
        </is>
      </c>
      <c r="F1077" t="inlineStr">
        <is>
          <t>TAXAS DIVERSAS</t>
        </is>
      </c>
      <c r="G1077" s="2" t="inlineStr">
        <is>
          <t>350</t>
        </is>
      </c>
      <c r="H1077">
        <f>IFERROR(VLOOKUP(G1077&amp;"",PLANO!A:B,2,FALSE),"CONTA NAO EXISTE NO PLANO")</f>
        <v/>
      </c>
      <c r="I1077" t="inlineStr">
        <is>
          <t>350</t>
        </is>
      </c>
      <c r="J1077" t="inlineStr">
        <is>
          <t>SEM COSMOS</t>
        </is>
      </c>
      <c r="K1077" t="inlineStr"/>
      <c r="L1077" t="inlineStr"/>
      <c r="M1077" t="inlineStr">
        <is>
          <t>BOLETO PAGO URBANO SA SO</t>
        </is>
      </c>
    </row>
    <row r="1078">
      <c r="A1078" t="n">
        <v>1077</v>
      </c>
      <c r="B1078" t="inlineStr">
        <is>
          <t>01/06/2026</t>
        </is>
      </c>
      <c r="C1078" t="inlineStr">
        <is>
          <t>MOV TÍT COB DISP 30/05S</t>
        </is>
      </c>
      <c r="D1078" s="7" t="n">
        <v>439.07</v>
      </c>
      <c r="E1078" t="inlineStr">
        <is>
          <t>504</t>
        </is>
      </c>
      <c r="F1078" t="inlineStr">
        <is>
          <t>CLIENTES DIVERSOS</t>
        </is>
      </c>
      <c r="G1078" s="2" t="inlineStr">
        <is>
          <t>504</t>
        </is>
      </c>
      <c r="H1078">
        <f>IFERROR(VLOOKUP(G1078&amp;"",PLANO!A:B,2,FALSE),"CONTA NAO EXISTE NO PLANO")</f>
        <v/>
      </c>
      <c r="I1078" t="inlineStr">
        <is>
          <t>504</t>
        </is>
      </c>
      <c r="J1078" t="inlineStr">
        <is>
          <t>SEM COSMOS</t>
        </is>
      </c>
      <c r="K1078" t="inlineStr"/>
      <c r="L1078" t="inlineStr"/>
      <c r="M1078" t="inlineStr">
        <is>
          <t>MOV TÍT COB DISP 30/05S</t>
        </is>
      </c>
    </row>
    <row r="1079">
      <c r="A1079" t="n">
        <v>1078</v>
      </c>
      <c r="B1079" t="inlineStr">
        <is>
          <t>01/06/2026</t>
        </is>
      </c>
      <c r="C1079" t="inlineStr">
        <is>
          <t>REDE ELO AT0081996543</t>
        </is>
      </c>
      <c r="D1079" s="7" t="n">
        <v>23.45</v>
      </c>
      <c r="E1079" t="inlineStr">
        <is>
          <t>504</t>
        </is>
      </c>
      <c r="F1079" t="inlineStr">
        <is>
          <t>CLIENTES DIVERSOS</t>
        </is>
      </c>
      <c r="G1079" s="2" t="inlineStr">
        <is>
          <t>504</t>
        </is>
      </c>
      <c r="H1079">
        <f>IFERROR(VLOOKUP(G1079&amp;"",PLANO!A:B,2,FALSE),"CONTA NAO EXISTE NO PLANO")</f>
        <v/>
      </c>
      <c r="I1079" t="inlineStr">
        <is>
          <t>504</t>
        </is>
      </c>
      <c r="J1079" t="inlineStr">
        <is>
          <t>SEM COSMOS</t>
        </is>
      </c>
      <c r="K1079" t="inlineStr"/>
      <c r="L1079" t="inlineStr"/>
      <c r="M1079" t="inlineStr">
        <is>
          <t>REDE ELO AT0081996543</t>
        </is>
      </c>
    </row>
    <row r="1080">
      <c r="A1080" t="n">
        <v>1079</v>
      </c>
      <c r="B1080" t="inlineStr">
        <is>
          <t>01/06/2026</t>
        </is>
      </c>
      <c r="C1080" t="inlineStr">
        <is>
          <t>REDE MAST DB0081996543</t>
        </is>
      </c>
      <c r="D1080" s="7" t="n">
        <v>231.81</v>
      </c>
      <c r="E1080" t="inlineStr">
        <is>
          <t>504</t>
        </is>
      </c>
      <c r="F1080" t="inlineStr">
        <is>
          <t>CLIENTES DIVERSOS</t>
        </is>
      </c>
      <c r="G1080" s="2" t="inlineStr">
        <is>
          <t>504</t>
        </is>
      </c>
      <c r="H1080">
        <f>IFERROR(VLOOKUP(G1080&amp;"",PLANO!A:B,2,FALSE),"CONTA NAO EXISTE NO PLANO")</f>
        <v/>
      </c>
      <c r="I1080" t="inlineStr">
        <is>
          <t>504</t>
        </is>
      </c>
      <c r="J1080" t="inlineStr">
        <is>
          <t>SEM COSMOS</t>
        </is>
      </c>
      <c r="K1080" t="inlineStr"/>
      <c r="L1080" t="inlineStr"/>
      <c r="M1080" t="inlineStr">
        <is>
          <t>REDE MAST DB0081996543</t>
        </is>
      </c>
    </row>
    <row r="1081">
      <c r="A1081" t="n">
        <v>1080</v>
      </c>
      <c r="B1081" t="inlineStr">
        <is>
          <t>01/06/2026</t>
        </is>
      </c>
      <c r="C1081" t="inlineStr">
        <is>
          <t>REDE MAST AT0081996543</t>
        </is>
      </c>
      <c r="D1081" s="7" t="n">
        <v>7712.82</v>
      </c>
      <c r="E1081" t="inlineStr">
        <is>
          <t>504</t>
        </is>
      </c>
      <c r="F1081" t="inlineStr">
        <is>
          <t>CLIENTES DIVERSOS</t>
        </is>
      </c>
      <c r="G1081" s="2" t="inlineStr">
        <is>
          <t>504</t>
        </is>
      </c>
      <c r="H1081">
        <f>IFERROR(VLOOKUP(G1081&amp;"",PLANO!A:B,2,FALSE),"CONTA NAO EXISTE NO PLANO")</f>
        <v/>
      </c>
      <c r="I1081" t="inlineStr">
        <is>
          <t>504</t>
        </is>
      </c>
      <c r="J1081" t="inlineStr">
        <is>
          <t>SEM COSMOS</t>
        </is>
      </c>
      <c r="K1081" t="inlineStr"/>
      <c r="L1081" t="inlineStr"/>
      <c r="M1081" t="inlineStr">
        <is>
          <t>REDE MAST AT0081996543</t>
        </is>
      </c>
    </row>
    <row r="1082">
      <c r="A1082" t="n">
        <v>1081</v>
      </c>
      <c r="B1082" t="inlineStr">
        <is>
          <t>01/06/2026</t>
        </is>
      </c>
      <c r="C1082" t="inlineStr">
        <is>
          <t>REDE VISA AT0081996543</t>
        </is>
      </c>
      <c r="D1082" s="7" t="n">
        <v>954.1900000000001</v>
      </c>
      <c r="E1082" t="inlineStr">
        <is>
          <t>504</t>
        </is>
      </c>
      <c r="F1082" t="inlineStr">
        <is>
          <t>CLIENTES DIVERSOS</t>
        </is>
      </c>
      <c r="G1082" s="2" t="inlineStr">
        <is>
          <t>504</t>
        </is>
      </c>
      <c r="H1082">
        <f>IFERROR(VLOOKUP(G1082&amp;"",PLANO!A:B,2,FALSE),"CONTA NAO EXISTE NO PLANO")</f>
        <v/>
      </c>
      <c r="I1082" t="inlineStr">
        <is>
          <t>504</t>
        </is>
      </c>
      <c r="J1082" t="inlineStr">
        <is>
          <t>SEM COSMOS</t>
        </is>
      </c>
      <c r="K1082" t="inlineStr"/>
      <c r="L1082" t="inlineStr"/>
      <c r="M1082" t="inlineStr">
        <is>
          <t>REDE VISA AT0081996543</t>
        </is>
      </c>
    </row>
    <row r="1083">
      <c r="A1083" t="n">
        <v>1082</v>
      </c>
      <c r="B1083" t="inlineStr">
        <is>
          <t>01/06/2026</t>
        </is>
      </c>
      <c r="C1083" t="inlineStr">
        <is>
          <t>REDE VISA DB0081996543</t>
        </is>
      </c>
      <c r="D1083" s="7" t="n">
        <v>453.69</v>
      </c>
      <c r="E1083" t="inlineStr">
        <is>
          <t>504</t>
        </is>
      </c>
      <c r="F1083" t="inlineStr">
        <is>
          <t>CLIENTES DIVERSOS</t>
        </is>
      </c>
      <c r="G1083" s="2" t="inlineStr">
        <is>
          <t>504</t>
        </is>
      </c>
      <c r="H1083">
        <f>IFERROR(VLOOKUP(G1083&amp;"",PLANO!A:B,2,FALSE),"CONTA NAO EXISTE NO PLANO")</f>
        <v/>
      </c>
      <c r="I1083" t="inlineStr">
        <is>
          <t>504</t>
        </is>
      </c>
      <c r="J1083" t="inlineStr">
        <is>
          <t>SEM COSMOS</t>
        </is>
      </c>
      <c r="K1083" t="inlineStr"/>
      <c r="L1083" t="inlineStr"/>
      <c r="M1083" t="inlineStr">
        <is>
          <t>REDE VISA DB0081996543</t>
        </is>
      </c>
    </row>
    <row r="1084">
      <c r="A1084" t="n">
        <v>1083</v>
      </c>
      <c r="B1084" t="inlineStr">
        <is>
          <t>01/06/2026</t>
        </is>
      </c>
      <c r="C1084" t="inlineStr">
        <is>
          <t>PIX QRS ARLAN DOS S31/05</t>
        </is>
      </c>
      <c r="D1084" s="7" t="n">
        <v>140</v>
      </c>
      <c r="E1084" t="inlineStr">
        <is>
          <t>504</t>
        </is>
      </c>
      <c r="F1084" t="inlineStr">
        <is>
          <t>CLIENTES DIVERSOS</t>
        </is>
      </c>
      <c r="G1084" s="2" t="inlineStr">
        <is>
          <t>504</t>
        </is>
      </c>
      <c r="H1084">
        <f>IFERROR(VLOOKUP(G1084&amp;"",PLANO!A:B,2,FALSE),"CONTA NAO EXISTE NO PLANO")</f>
        <v/>
      </c>
      <c r="I1084" t="inlineStr">
        <is>
          <t>504</t>
        </is>
      </c>
      <c r="J1084" t="inlineStr">
        <is>
          <t>SEM COSMOS</t>
        </is>
      </c>
      <c r="K1084" t="inlineStr"/>
      <c r="L1084" t="inlineStr"/>
      <c r="M1084" t="inlineStr">
        <is>
          <t>PIX QRS ARLAN DOS S31/05</t>
        </is>
      </c>
    </row>
    <row r="1085">
      <c r="A1085" t="n">
        <v>1084</v>
      </c>
      <c r="B1085" t="inlineStr">
        <is>
          <t>01/06/2026</t>
        </is>
      </c>
      <c r="C1085" t="inlineStr">
        <is>
          <t>PIX QRS CAMILA GABR31/05</t>
        </is>
      </c>
      <c r="D1085" s="7" t="n">
        <v>100</v>
      </c>
      <c r="E1085" t="inlineStr">
        <is>
          <t>504</t>
        </is>
      </c>
      <c r="F1085" t="inlineStr">
        <is>
          <t>CLIENTES DIVERSOS</t>
        </is>
      </c>
      <c r="G1085" s="2" t="inlineStr">
        <is>
          <t>504</t>
        </is>
      </c>
      <c r="H1085">
        <f>IFERROR(VLOOKUP(G1085&amp;"",PLANO!A:B,2,FALSE),"CONTA NAO EXISTE NO PLANO")</f>
        <v/>
      </c>
      <c r="I1085" t="inlineStr">
        <is>
          <t>504</t>
        </is>
      </c>
      <c r="J1085" t="inlineStr">
        <is>
          <t>SEM COSMOS</t>
        </is>
      </c>
      <c r="K1085" t="inlineStr"/>
      <c r="L1085" t="inlineStr"/>
      <c r="M1085" t="inlineStr">
        <is>
          <t>PIX QRS CAMILA GABR31/05</t>
        </is>
      </c>
    </row>
    <row r="1086">
      <c r="A1086" t="n">
        <v>1085</v>
      </c>
      <c r="B1086" t="inlineStr">
        <is>
          <t>01/06/2026</t>
        </is>
      </c>
      <c r="C1086" t="inlineStr">
        <is>
          <t>PIX QRS ERIK MATHEU31/05</t>
        </is>
      </c>
      <c r="D1086" s="7" t="n">
        <v>78</v>
      </c>
      <c r="E1086" t="inlineStr">
        <is>
          <t>504</t>
        </is>
      </c>
      <c r="F1086" t="inlineStr">
        <is>
          <t>CLIENTES DIVERSOS</t>
        </is>
      </c>
      <c r="G1086" s="2" t="inlineStr">
        <is>
          <t>504</t>
        </is>
      </c>
      <c r="H1086">
        <f>IFERROR(VLOOKUP(G1086&amp;"",PLANO!A:B,2,FALSE),"CONTA NAO EXISTE NO PLANO")</f>
        <v/>
      </c>
      <c r="I1086" t="inlineStr">
        <is>
          <t>504</t>
        </is>
      </c>
      <c r="J1086" t="inlineStr">
        <is>
          <t>SEM COSMOS</t>
        </is>
      </c>
      <c r="K1086" t="inlineStr"/>
      <c r="L1086" t="inlineStr"/>
      <c r="M1086" t="inlineStr">
        <is>
          <t>PIX QRS ERIK MATHEU31/05</t>
        </is>
      </c>
    </row>
    <row r="1087">
      <c r="A1087" t="n">
        <v>1086</v>
      </c>
      <c r="B1087" t="inlineStr">
        <is>
          <t>01/06/2026</t>
        </is>
      </c>
      <c r="C1087" t="inlineStr">
        <is>
          <t>PIX QRS EDILANE GOM31/05</t>
        </is>
      </c>
      <c r="D1087" s="7" t="n">
        <v>25</v>
      </c>
      <c r="E1087" t="inlineStr">
        <is>
          <t>504</t>
        </is>
      </c>
      <c r="F1087" t="inlineStr">
        <is>
          <t>CLIENTES DIVERSOS</t>
        </is>
      </c>
      <c r="G1087" s="2" t="inlineStr">
        <is>
          <t>504</t>
        </is>
      </c>
      <c r="H1087">
        <f>IFERROR(VLOOKUP(G1087&amp;"",PLANO!A:B,2,FALSE),"CONTA NAO EXISTE NO PLANO")</f>
        <v/>
      </c>
      <c r="I1087" t="inlineStr">
        <is>
          <t>504</t>
        </is>
      </c>
      <c r="J1087" t="inlineStr">
        <is>
          <t>SEM COSMOS</t>
        </is>
      </c>
      <c r="K1087" t="inlineStr"/>
      <c r="L1087" t="inlineStr"/>
      <c r="M1087" t="inlineStr">
        <is>
          <t>PIX QRS EDILANE GOM31/05</t>
        </is>
      </c>
    </row>
    <row r="1088">
      <c r="A1088" t="n">
        <v>1087</v>
      </c>
      <c r="B1088" t="inlineStr">
        <is>
          <t>01/06/2026</t>
        </is>
      </c>
      <c r="C1088" t="inlineStr">
        <is>
          <t>PIX QRS ERIVALDO FE31/05</t>
        </is>
      </c>
      <c r="D1088" s="7" t="n">
        <v>1080</v>
      </c>
      <c r="E1088" t="inlineStr">
        <is>
          <t>504</t>
        </is>
      </c>
      <c r="F1088" t="inlineStr">
        <is>
          <t>CLIENTES DIVERSOS</t>
        </is>
      </c>
      <c r="G1088" s="2" t="inlineStr">
        <is>
          <t>504</t>
        </is>
      </c>
      <c r="H1088">
        <f>IFERROR(VLOOKUP(G1088&amp;"",PLANO!A:B,2,FALSE),"CONTA NAO EXISTE NO PLANO")</f>
        <v/>
      </c>
      <c r="I1088" t="inlineStr">
        <is>
          <t>504</t>
        </is>
      </c>
      <c r="J1088" t="inlineStr">
        <is>
          <t>SEM COSMOS</t>
        </is>
      </c>
      <c r="K1088" t="inlineStr"/>
      <c r="L1088" t="inlineStr"/>
      <c r="M1088" t="inlineStr">
        <is>
          <t>PIX QRS ERIVALDO FE31/05</t>
        </is>
      </c>
    </row>
    <row r="1089">
      <c r="A1089" t="n">
        <v>1088</v>
      </c>
      <c r="B1089" t="inlineStr">
        <is>
          <t>01/06/2026</t>
        </is>
      </c>
      <c r="C1089" t="inlineStr">
        <is>
          <t>PIX QRS ERIVONEIDE 01/06</t>
        </is>
      </c>
      <c r="D1089" s="7" t="n">
        <v>100</v>
      </c>
      <c r="E1089" t="inlineStr">
        <is>
          <t>504</t>
        </is>
      </c>
      <c r="F1089" t="inlineStr">
        <is>
          <t>CLIENTES DIVERSOS</t>
        </is>
      </c>
      <c r="G1089" s="2" t="inlineStr">
        <is>
          <t>504</t>
        </is>
      </c>
      <c r="H1089">
        <f>IFERROR(VLOOKUP(G1089&amp;"",PLANO!A:B,2,FALSE),"CONTA NAO EXISTE NO PLANO")</f>
        <v/>
      </c>
      <c r="I1089" t="inlineStr">
        <is>
          <t>504</t>
        </is>
      </c>
      <c r="J1089" t="inlineStr">
        <is>
          <t>SEM COSMOS</t>
        </is>
      </c>
      <c r="K1089" t="inlineStr"/>
      <c r="L1089" t="inlineStr"/>
      <c r="M1089" t="inlineStr">
        <is>
          <t>PIX QRS ERIVONEIDE 01/06</t>
        </is>
      </c>
    </row>
    <row r="1090">
      <c r="A1090" t="n">
        <v>1089</v>
      </c>
      <c r="B1090" t="inlineStr">
        <is>
          <t>01/06/2026</t>
        </is>
      </c>
      <c r="C1090" t="inlineStr">
        <is>
          <t>PIX QRS GIRLEIDE MA31/05</t>
        </is>
      </c>
      <c r="D1090" s="7" t="n">
        <v>25</v>
      </c>
      <c r="E1090" t="inlineStr">
        <is>
          <t>504</t>
        </is>
      </c>
      <c r="F1090" t="inlineStr">
        <is>
          <t>CLIENTES DIVERSOS</t>
        </is>
      </c>
      <c r="G1090" s="2" t="inlineStr">
        <is>
          <t>504</t>
        </is>
      </c>
      <c r="H1090">
        <f>IFERROR(VLOOKUP(G1090&amp;"",PLANO!A:B,2,FALSE),"CONTA NAO EXISTE NO PLANO")</f>
        <v/>
      </c>
      <c r="I1090" t="inlineStr">
        <is>
          <t>504</t>
        </is>
      </c>
      <c r="J1090" t="inlineStr">
        <is>
          <t>SEM COSMOS</t>
        </is>
      </c>
      <c r="K1090" t="inlineStr"/>
      <c r="L1090" t="inlineStr"/>
      <c r="M1090" t="inlineStr">
        <is>
          <t>PIX QRS GIRLEIDE MA31/05</t>
        </is>
      </c>
    </row>
    <row r="1091">
      <c r="A1091" t="n">
        <v>1090</v>
      </c>
      <c r="B1091" t="inlineStr">
        <is>
          <t>01/06/2026</t>
        </is>
      </c>
      <c r="C1091" t="inlineStr">
        <is>
          <t>PIX QRS JOEMAR MOUR31/05</t>
        </is>
      </c>
      <c r="D1091" s="7" t="n">
        <v>28</v>
      </c>
      <c r="E1091" t="inlineStr">
        <is>
          <t>504</t>
        </is>
      </c>
      <c r="F1091" t="inlineStr">
        <is>
          <t>CLIENTES DIVERSOS</t>
        </is>
      </c>
      <c r="G1091" s="2" t="inlineStr">
        <is>
          <t>504</t>
        </is>
      </c>
      <c r="H1091">
        <f>IFERROR(VLOOKUP(G1091&amp;"",PLANO!A:B,2,FALSE),"CONTA NAO EXISTE NO PLANO")</f>
        <v/>
      </c>
      <c r="I1091" t="inlineStr">
        <is>
          <t>504</t>
        </is>
      </c>
      <c r="J1091" t="inlineStr">
        <is>
          <t>SEM COSMOS</t>
        </is>
      </c>
      <c r="K1091" t="inlineStr"/>
      <c r="L1091" t="inlineStr"/>
      <c r="M1091" t="inlineStr">
        <is>
          <t>PIX QRS JOEMAR MOUR31/05</t>
        </is>
      </c>
    </row>
    <row r="1092">
      <c r="A1092" t="n">
        <v>1091</v>
      </c>
      <c r="B1092" t="inlineStr">
        <is>
          <t>01/06/2026</t>
        </is>
      </c>
      <c r="C1092" t="inlineStr">
        <is>
          <t>PIX QRS JOSILENE DE31/05</t>
        </is>
      </c>
      <c r="D1092" s="7" t="n">
        <v>200</v>
      </c>
      <c r="E1092" t="inlineStr">
        <is>
          <t>504</t>
        </is>
      </c>
      <c r="F1092" t="inlineStr">
        <is>
          <t>CLIENTES DIVERSOS</t>
        </is>
      </c>
      <c r="G1092" s="2" t="inlineStr">
        <is>
          <t>504</t>
        </is>
      </c>
      <c r="H1092">
        <f>IFERROR(VLOOKUP(G1092&amp;"",PLANO!A:B,2,FALSE),"CONTA NAO EXISTE NO PLANO")</f>
        <v/>
      </c>
      <c r="I1092" t="inlineStr">
        <is>
          <t>504</t>
        </is>
      </c>
      <c r="J1092" t="inlineStr">
        <is>
          <t>SEM COSMOS</t>
        </is>
      </c>
      <c r="K1092" t="inlineStr"/>
      <c r="L1092" t="inlineStr"/>
      <c r="M1092" t="inlineStr">
        <is>
          <t>PIX QRS JOSILENE DE31/05</t>
        </is>
      </c>
    </row>
    <row r="1093">
      <c r="A1093" t="n">
        <v>1092</v>
      </c>
      <c r="B1093" t="inlineStr">
        <is>
          <t>01/06/2026</t>
        </is>
      </c>
      <c r="C1093" t="inlineStr">
        <is>
          <t>PIX QRS KACIA FRANC31/05</t>
        </is>
      </c>
      <c r="D1093" s="7" t="n">
        <v>45</v>
      </c>
      <c r="E1093" t="inlineStr">
        <is>
          <t>504</t>
        </is>
      </c>
      <c r="F1093" t="inlineStr">
        <is>
          <t>CLIENTES DIVERSOS</t>
        </is>
      </c>
      <c r="G1093" s="2" t="inlineStr">
        <is>
          <t>504</t>
        </is>
      </c>
      <c r="H1093">
        <f>IFERROR(VLOOKUP(G1093&amp;"",PLANO!A:B,2,FALSE),"CONTA NAO EXISTE NO PLANO")</f>
        <v/>
      </c>
      <c r="I1093" t="inlineStr">
        <is>
          <t>504</t>
        </is>
      </c>
      <c r="J1093" t="inlineStr">
        <is>
          <t>SEM COSMOS</t>
        </is>
      </c>
      <c r="K1093" t="inlineStr"/>
      <c r="L1093" t="inlineStr"/>
      <c r="M1093" t="inlineStr">
        <is>
          <t>PIX QRS KACIA FRANC31/05</t>
        </is>
      </c>
    </row>
    <row r="1094">
      <c r="A1094" t="n">
        <v>1093</v>
      </c>
      <c r="B1094" t="inlineStr">
        <is>
          <t>01/06/2026</t>
        </is>
      </c>
      <c r="C1094" t="inlineStr">
        <is>
          <t>PIX QRS LUIZ CARLOS31/05</t>
        </is>
      </c>
      <c r="D1094" s="7" t="n">
        <v>25</v>
      </c>
      <c r="E1094" t="inlineStr">
        <is>
          <t>504</t>
        </is>
      </c>
      <c r="F1094" t="inlineStr">
        <is>
          <t>CLIENTES DIVERSOS</t>
        </is>
      </c>
      <c r="G1094" s="2" t="inlineStr">
        <is>
          <t>504</t>
        </is>
      </c>
      <c r="H1094">
        <f>IFERROR(VLOOKUP(G1094&amp;"",PLANO!A:B,2,FALSE),"CONTA NAO EXISTE NO PLANO")</f>
        <v/>
      </c>
      <c r="I1094" t="inlineStr">
        <is>
          <t>504</t>
        </is>
      </c>
      <c r="J1094" t="inlineStr">
        <is>
          <t>SEM COSMOS</t>
        </is>
      </c>
      <c r="K1094" t="inlineStr"/>
      <c r="L1094" t="inlineStr"/>
      <c r="M1094" t="inlineStr">
        <is>
          <t>PIX QRS LUIZ CARLOS31/05</t>
        </is>
      </c>
    </row>
    <row r="1095">
      <c r="A1095" t="n">
        <v>1094</v>
      </c>
      <c r="B1095" t="inlineStr">
        <is>
          <t>01/06/2026</t>
        </is>
      </c>
      <c r="C1095" t="inlineStr">
        <is>
          <t>PIX QRS MARGARETE M31/05</t>
        </is>
      </c>
      <c r="D1095" s="7" t="n">
        <v>120</v>
      </c>
      <c r="E1095" t="inlineStr">
        <is>
          <t>504</t>
        </is>
      </c>
      <c r="F1095" t="inlineStr">
        <is>
          <t>CLIENTES DIVERSOS</t>
        </is>
      </c>
      <c r="G1095" s="2" t="inlineStr">
        <is>
          <t>504</t>
        </is>
      </c>
      <c r="H1095">
        <f>IFERROR(VLOOKUP(G1095&amp;"",PLANO!A:B,2,FALSE),"CONTA NAO EXISTE NO PLANO")</f>
        <v/>
      </c>
      <c r="I1095" t="inlineStr">
        <is>
          <t>504</t>
        </is>
      </c>
      <c r="J1095" t="inlineStr">
        <is>
          <t>SEM COSMOS</t>
        </is>
      </c>
      <c r="K1095" t="inlineStr"/>
      <c r="L1095" t="inlineStr"/>
      <c r="M1095" t="inlineStr">
        <is>
          <t>PIX QRS MARGARETE M31/05</t>
        </is>
      </c>
    </row>
    <row r="1096">
      <c r="A1096" t="n">
        <v>1095</v>
      </c>
      <c r="B1096" t="inlineStr">
        <is>
          <t>01/06/2026</t>
        </is>
      </c>
      <c r="C1096" t="inlineStr">
        <is>
          <t>PIX QRS MARIA DA CO31/05</t>
        </is>
      </c>
      <c r="D1096" s="7" t="n">
        <v>330</v>
      </c>
      <c r="E1096" t="inlineStr">
        <is>
          <t>504</t>
        </is>
      </c>
      <c r="F1096" t="inlineStr">
        <is>
          <t>CLIENTES DIVERSOS</t>
        </is>
      </c>
      <c r="G1096" s="2" t="inlineStr">
        <is>
          <t>504</t>
        </is>
      </c>
      <c r="H1096">
        <f>IFERROR(VLOOKUP(G1096&amp;"",PLANO!A:B,2,FALSE),"CONTA NAO EXISTE NO PLANO")</f>
        <v/>
      </c>
      <c r="I1096" t="inlineStr">
        <is>
          <t>504</t>
        </is>
      </c>
      <c r="J1096" t="inlineStr">
        <is>
          <t>SEM COSMOS</t>
        </is>
      </c>
      <c r="K1096" t="inlineStr"/>
      <c r="L1096" t="inlineStr"/>
      <c r="M1096" t="inlineStr">
        <is>
          <t>PIX QRS MARIA DA CO31/05</t>
        </is>
      </c>
    </row>
    <row r="1097">
      <c r="A1097" t="n">
        <v>1096</v>
      </c>
      <c r="B1097" t="inlineStr">
        <is>
          <t>01/06/2026</t>
        </is>
      </c>
      <c r="C1097" t="inlineStr">
        <is>
          <t>PIX QRS MARIA ROSIN31/05</t>
        </is>
      </c>
      <c r="D1097" s="7" t="n">
        <v>30</v>
      </c>
      <c r="E1097" t="inlineStr">
        <is>
          <t>504</t>
        </is>
      </c>
      <c r="F1097" t="inlineStr">
        <is>
          <t>CLIENTES DIVERSOS</t>
        </is>
      </c>
      <c r="G1097" s="2" t="inlineStr">
        <is>
          <t>504</t>
        </is>
      </c>
      <c r="H1097">
        <f>IFERROR(VLOOKUP(G1097&amp;"",PLANO!A:B,2,FALSE),"CONTA NAO EXISTE NO PLANO")</f>
        <v/>
      </c>
      <c r="I1097" t="inlineStr">
        <is>
          <t>504</t>
        </is>
      </c>
      <c r="J1097" t="inlineStr">
        <is>
          <t>SEM COSMOS</t>
        </is>
      </c>
      <c r="K1097" t="inlineStr"/>
      <c r="L1097" t="inlineStr"/>
      <c r="M1097" t="inlineStr">
        <is>
          <t>PIX QRS MARIA ROSIN31/05</t>
        </is>
      </c>
    </row>
    <row r="1098">
      <c r="A1098" t="n">
        <v>1097</v>
      </c>
      <c r="B1098" t="inlineStr">
        <is>
          <t>01/06/2026</t>
        </is>
      </c>
      <c r="C1098" t="inlineStr">
        <is>
          <t>PIX QRS MARIA DA CO31/05</t>
        </is>
      </c>
      <c r="D1098" s="7" t="n">
        <v>150</v>
      </c>
      <c r="E1098" t="inlineStr">
        <is>
          <t>504</t>
        </is>
      </c>
      <c r="F1098" t="inlineStr">
        <is>
          <t>CLIENTES DIVERSOS</t>
        </is>
      </c>
      <c r="G1098" s="2" t="inlineStr">
        <is>
          <t>504</t>
        </is>
      </c>
      <c r="H1098">
        <f>IFERROR(VLOOKUP(G1098&amp;"",PLANO!A:B,2,FALSE),"CONTA NAO EXISTE NO PLANO")</f>
        <v/>
      </c>
      <c r="I1098" t="inlineStr">
        <is>
          <t>504</t>
        </is>
      </c>
      <c r="J1098" t="inlineStr">
        <is>
          <t>SEM COSMOS</t>
        </is>
      </c>
      <c r="K1098" t="inlineStr"/>
      <c r="L1098" t="inlineStr"/>
      <c r="M1098" t="inlineStr">
        <is>
          <t>PIX QRS MARIA DA CO31/05</t>
        </is>
      </c>
    </row>
    <row r="1099">
      <c r="A1099" t="n">
        <v>1098</v>
      </c>
      <c r="B1099" t="inlineStr">
        <is>
          <t>01/06/2026</t>
        </is>
      </c>
      <c r="C1099" t="inlineStr">
        <is>
          <t>PIX QRS MARILUCE MA31/05</t>
        </is>
      </c>
      <c r="D1099" s="7" t="n">
        <v>70</v>
      </c>
      <c r="E1099" t="inlineStr">
        <is>
          <t>504</t>
        </is>
      </c>
      <c r="F1099" t="inlineStr">
        <is>
          <t>CLIENTES DIVERSOS</t>
        </is>
      </c>
      <c r="G1099" s="2" t="inlineStr">
        <is>
          <t>504</t>
        </is>
      </c>
      <c r="H1099">
        <f>IFERROR(VLOOKUP(G1099&amp;"",PLANO!A:B,2,FALSE),"CONTA NAO EXISTE NO PLANO")</f>
        <v/>
      </c>
      <c r="I1099" t="inlineStr">
        <is>
          <t>504</t>
        </is>
      </c>
      <c r="J1099" t="inlineStr">
        <is>
          <t>SEM COSMOS</t>
        </is>
      </c>
      <c r="K1099" t="inlineStr"/>
      <c r="L1099" t="inlineStr"/>
      <c r="M1099" t="inlineStr">
        <is>
          <t>PIX QRS MARILUCE MA31/05</t>
        </is>
      </c>
    </row>
    <row r="1100">
      <c r="A1100" t="n">
        <v>1099</v>
      </c>
      <c r="B1100" t="inlineStr">
        <is>
          <t>01/06/2026</t>
        </is>
      </c>
      <c r="C1100" t="inlineStr">
        <is>
          <t>PIX QRS MIKAELY TAL31/05</t>
        </is>
      </c>
      <c r="D1100" s="7" t="n">
        <v>50</v>
      </c>
      <c r="E1100" t="inlineStr">
        <is>
          <t>504</t>
        </is>
      </c>
      <c r="F1100" t="inlineStr">
        <is>
          <t>CLIENTES DIVERSOS</t>
        </is>
      </c>
      <c r="G1100" s="2" t="inlineStr">
        <is>
          <t>504</t>
        </is>
      </c>
      <c r="H1100">
        <f>IFERROR(VLOOKUP(G1100&amp;"",PLANO!A:B,2,FALSE),"CONTA NAO EXISTE NO PLANO")</f>
        <v/>
      </c>
      <c r="I1100" t="inlineStr">
        <is>
          <t>504</t>
        </is>
      </c>
      <c r="J1100" t="inlineStr">
        <is>
          <t>SEM COSMOS</t>
        </is>
      </c>
      <c r="K1100" t="inlineStr"/>
      <c r="L1100" t="inlineStr"/>
      <c r="M1100" t="inlineStr">
        <is>
          <t>PIX QRS MIKAELY TAL31/05</t>
        </is>
      </c>
    </row>
    <row r="1101">
      <c r="A1101" t="n">
        <v>1100</v>
      </c>
      <c r="B1101" t="inlineStr">
        <is>
          <t>01/06/2026</t>
        </is>
      </c>
      <c r="C1101" t="inlineStr">
        <is>
          <t>PIX QRS NATHALIA CR31/05</t>
        </is>
      </c>
      <c r="D1101" s="7" t="n">
        <v>80</v>
      </c>
      <c r="E1101" t="inlineStr">
        <is>
          <t>504</t>
        </is>
      </c>
      <c r="F1101" t="inlineStr">
        <is>
          <t>CLIENTES DIVERSOS</t>
        </is>
      </c>
      <c r="G1101" s="2" t="inlineStr">
        <is>
          <t>504</t>
        </is>
      </c>
      <c r="H1101">
        <f>IFERROR(VLOOKUP(G1101&amp;"",PLANO!A:B,2,FALSE),"CONTA NAO EXISTE NO PLANO")</f>
        <v/>
      </c>
      <c r="I1101" t="inlineStr">
        <is>
          <t>504</t>
        </is>
      </c>
      <c r="J1101" t="inlineStr">
        <is>
          <t>SEM COSMOS</t>
        </is>
      </c>
      <c r="K1101" t="inlineStr"/>
      <c r="L1101" t="inlineStr"/>
      <c r="M1101" t="inlineStr">
        <is>
          <t>PIX QRS NATHALIA CR31/05</t>
        </is>
      </c>
    </row>
    <row r="1102">
      <c r="A1102" t="n">
        <v>1101</v>
      </c>
      <c r="B1102" t="inlineStr">
        <is>
          <t>01/06/2026</t>
        </is>
      </c>
      <c r="C1102" t="inlineStr">
        <is>
          <t>PIX QRS PEDRO MANOE31/05</t>
        </is>
      </c>
      <c r="D1102" s="7" t="n">
        <v>250</v>
      </c>
      <c r="E1102" t="inlineStr">
        <is>
          <t>504</t>
        </is>
      </c>
      <c r="F1102" t="inlineStr">
        <is>
          <t>CLIENTES DIVERSOS</t>
        </is>
      </c>
      <c r="G1102" s="2" t="inlineStr">
        <is>
          <t>504</t>
        </is>
      </c>
      <c r="H1102">
        <f>IFERROR(VLOOKUP(G1102&amp;"",PLANO!A:B,2,FALSE),"CONTA NAO EXISTE NO PLANO")</f>
        <v/>
      </c>
      <c r="I1102" t="inlineStr">
        <is>
          <t>504</t>
        </is>
      </c>
      <c r="J1102" t="inlineStr">
        <is>
          <t>SEM COSMOS</t>
        </is>
      </c>
      <c r="K1102" t="inlineStr"/>
      <c r="L1102" t="inlineStr"/>
      <c r="M1102" t="inlineStr">
        <is>
          <t>PIX QRS PEDRO MANOE31/05</t>
        </is>
      </c>
    </row>
    <row r="1103">
      <c r="A1103" t="n">
        <v>1102</v>
      </c>
      <c r="B1103" t="inlineStr">
        <is>
          <t>01/06/2026</t>
        </is>
      </c>
      <c r="C1103" t="inlineStr">
        <is>
          <t>PIX QRS RAIMUNDA CA31/05</t>
        </is>
      </c>
      <c r="D1103" s="7" t="n">
        <v>35</v>
      </c>
      <c r="E1103" t="inlineStr">
        <is>
          <t>504</t>
        </is>
      </c>
      <c r="F1103" t="inlineStr">
        <is>
          <t>CLIENTES DIVERSOS</t>
        </is>
      </c>
      <c r="G1103" s="2" t="inlineStr">
        <is>
          <t>504</t>
        </is>
      </c>
      <c r="H1103">
        <f>IFERROR(VLOOKUP(G1103&amp;"",PLANO!A:B,2,FALSE),"CONTA NAO EXISTE NO PLANO")</f>
        <v/>
      </c>
      <c r="I1103" t="inlineStr">
        <is>
          <t>504</t>
        </is>
      </c>
      <c r="J1103" t="inlineStr">
        <is>
          <t>SEM COSMOS</t>
        </is>
      </c>
      <c r="K1103" t="inlineStr"/>
      <c r="L1103" t="inlineStr"/>
      <c r="M1103" t="inlineStr">
        <is>
          <t>PIX QRS RAIMUNDA CA31/05</t>
        </is>
      </c>
    </row>
    <row r="1104">
      <c r="A1104" t="n">
        <v>1103</v>
      </c>
      <c r="B1104" t="inlineStr">
        <is>
          <t>01/06/2026</t>
        </is>
      </c>
      <c r="C1104" t="inlineStr">
        <is>
          <t>PIX QRS ROSANGELA D31/05</t>
        </is>
      </c>
      <c r="D1104" s="7" t="n">
        <v>50</v>
      </c>
      <c r="E1104" t="inlineStr">
        <is>
          <t>504</t>
        </is>
      </c>
      <c r="F1104" t="inlineStr">
        <is>
          <t>CLIENTES DIVERSOS</t>
        </is>
      </c>
      <c r="G1104" s="2" t="inlineStr">
        <is>
          <t>504</t>
        </is>
      </c>
      <c r="H1104">
        <f>IFERROR(VLOOKUP(G1104&amp;"",PLANO!A:B,2,FALSE),"CONTA NAO EXISTE NO PLANO")</f>
        <v/>
      </c>
      <c r="I1104" t="inlineStr">
        <is>
          <t>504</t>
        </is>
      </c>
      <c r="J1104" t="inlineStr">
        <is>
          <t>SEM COSMOS</t>
        </is>
      </c>
      <c r="K1104" t="inlineStr"/>
      <c r="L1104" t="inlineStr"/>
      <c r="M1104" t="inlineStr">
        <is>
          <t>PIX QRS ROSANGELA D31/05</t>
        </is>
      </c>
    </row>
    <row r="1105">
      <c r="A1105" t="n">
        <v>1104</v>
      </c>
      <c r="B1105" t="inlineStr">
        <is>
          <t>01/06/2026</t>
        </is>
      </c>
      <c r="C1105" t="inlineStr">
        <is>
          <t>PIX QRS TEREZINHA O01/06</t>
        </is>
      </c>
      <c r="D1105" s="7" t="n">
        <v>240</v>
      </c>
      <c r="E1105" t="inlineStr">
        <is>
          <t>504</t>
        </is>
      </c>
      <c r="F1105" t="inlineStr">
        <is>
          <t>CLIENTES DIVERSOS</t>
        </is>
      </c>
      <c r="G1105" s="2" t="inlineStr">
        <is>
          <t>504</t>
        </is>
      </c>
      <c r="H1105">
        <f>IFERROR(VLOOKUP(G1105&amp;"",PLANO!A:B,2,FALSE),"CONTA NAO EXISTE NO PLANO")</f>
        <v/>
      </c>
      <c r="I1105" t="inlineStr">
        <is>
          <t>504</t>
        </is>
      </c>
      <c r="J1105" t="inlineStr">
        <is>
          <t>SEM COSMOS</t>
        </is>
      </c>
      <c r="K1105" t="inlineStr"/>
      <c r="L1105" t="inlineStr"/>
      <c r="M1105" t="inlineStr">
        <is>
          <t>PIX QRS TEREZINHA O01/06</t>
        </is>
      </c>
    </row>
    <row r="1106">
      <c r="A1106" t="n">
        <v>1105</v>
      </c>
      <c r="B1106" t="inlineStr">
        <is>
          <t>01/06/2026</t>
        </is>
      </c>
      <c r="C1106" t="inlineStr">
        <is>
          <t>PIX QRS VIVIANE MAR31/05</t>
        </is>
      </c>
      <c r="D1106" s="7" t="n">
        <v>175</v>
      </c>
      <c r="E1106" t="inlineStr">
        <is>
          <t>504</t>
        </is>
      </c>
      <c r="F1106" t="inlineStr">
        <is>
          <t>CLIENTES DIVERSOS</t>
        </is>
      </c>
      <c r="G1106" s="2" t="inlineStr">
        <is>
          <t>504</t>
        </is>
      </c>
      <c r="H1106">
        <f>IFERROR(VLOOKUP(G1106&amp;"",PLANO!A:B,2,FALSE),"CONTA NAO EXISTE NO PLANO")</f>
        <v/>
      </c>
      <c r="I1106" t="inlineStr">
        <is>
          <t>504</t>
        </is>
      </c>
      <c r="J1106" t="inlineStr">
        <is>
          <t>SEM COSMOS</t>
        </is>
      </c>
      <c r="K1106" t="inlineStr"/>
      <c r="L1106" t="inlineStr"/>
      <c r="M1106" t="inlineStr">
        <is>
          <t>PIX QRS VIVIANE MAR31/05</t>
        </is>
      </c>
    </row>
    <row r="1107">
      <c r="A1107" t="n">
        <v>1106</v>
      </c>
      <c r="B1107" t="inlineStr">
        <is>
          <t>01/06/2026</t>
        </is>
      </c>
      <c r="C1107" t="inlineStr">
        <is>
          <t>PIX QRS 23.302.114 31/05</t>
        </is>
      </c>
      <c r="D1107" s="7" t="n">
        <v>100</v>
      </c>
      <c r="E1107" t="inlineStr">
        <is>
          <t>504</t>
        </is>
      </c>
      <c r="F1107" t="inlineStr">
        <is>
          <t>CLIENTES DIVERSOS</t>
        </is>
      </c>
      <c r="G1107" s="2" t="inlineStr">
        <is>
          <t>504</t>
        </is>
      </c>
      <c r="H1107">
        <f>IFERROR(VLOOKUP(G1107&amp;"",PLANO!A:B,2,FALSE),"CONTA NAO EXISTE NO PLANO")</f>
        <v/>
      </c>
      <c r="I1107" t="inlineStr">
        <is>
          <t>504</t>
        </is>
      </c>
      <c r="J1107" t="inlineStr">
        <is>
          <t>SEM COSMOS</t>
        </is>
      </c>
      <c r="K1107" t="inlineStr"/>
      <c r="L1107" t="inlineStr"/>
      <c r="M1107" t="inlineStr">
        <is>
          <t>PIX QRS 23.302.114 31/05</t>
        </is>
      </c>
    </row>
    <row r="1108">
      <c r="A1108" t="n">
        <v>1107</v>
      </c>
      <c r="B1108" t="inlineStr">
        <is>
          <t>01/06/2026</t>
        </is>
      </c>
      <c r="C1108" t="inlineStr">
        <is>
          <t>PIX TRANSF 41.892.01/06</t>
        </is>
      </c>
      <c r="D1108" s="7" t="n">
        <v>299.6</v>
      </c>
      <c r="E1108" t="inlineStr">
        <is>
          <t>504</t>
        </is>
      </c>
      <c r="F1108" t="inlineStr">
        <is>
          <t>CLIENTES DIVERSOS</t>
        </is>
      </c>
      <c r="G1108" s="2" t="inlineStr">
        <is>
          <t>504</t>
        </is>
      </c>
      <c r="H1108">
        <f>IFERROR(VLOOKUP(G1108&amp;"",PLANO!A:B,2,FALSE),"CONTA NAO EXISTE NO PLANO")</f>
        <v/>
      </c>
      <c r="I1108" t="inlineStr">
        <is>
          <t>504</t>
        </is>
      </c>
      <c r="J1108" t="inlineStr">
        <is>
          <t>SEM COSMOS</t>
        </is>
      </c>
      <c r="K1108" t="inlineStr"/>
      <c r="L1108" t="inlineStr"/>
      <c r="M1108" t="inlineStr">
        <is>
          <t>PIX TRANSF 41.892.01/06</t>
        </is>
      </c>
    </row>
    <row r="1109">
      <c r="A1109" s="4" t="n">
        <v>1108</v>
      </c>
      <c r="B1109" s="4" t="inlineStr">
        <is>
          <t>01/06/2026</t>
        </is>
      </c>
      <c r="C1109" s="4" t="inlineStr">
        <is>
          <t>PIX ENVIADO GULA COSMETI</t>
        </is>
      </c>
      <c r="D1109" s="5" t="n">
        <v>-10000</v>
      </c>
      <c r="E1109" s="4" t="inlineStr">
        <is>
          <t>506</t>
        </is>
      </c>
      <c r="F1109" s="4" t="inlineStr">
        <is>
          <t>FORNECEDORES DIVERSOS</t>
        </is>
      </c>
      <c r="G1109" s="6" t="inlineStr">
        <is>
          <t>366</t>
        </is>
      </c>
      <c r="H1109" s="4">
        <f>IFERROR(VLOOKUP(G1109&amp;"",PLANO!A:B,2,FALSE),"CONTA NAO EXISTE NO PLANO")</f>
        <v/>
      </c>
      <c r="I1109" s="4" t="inlineStr">
        <is>
          <t>672</t>
        </is>
      </c>
      <c r="J1109" s="4" t="inlineStr">
        <is>
          <t>AJUSTADO</t>
        </is>
      </c>
      <c r="K1109" s="4" t="inlineStr">
        <is>
          <t>GULA/FIQUE BEM (mesmo CNPJ, empresa do grupo) - mutuo em EMPRESTIMOS A TERCEIROS (366); nao e fornecedor</t>
        </is>
      </c>
      <c r="L1109" s="4" t="inlineStr">
        <is>
          <t xml:space="preserve">OUTRAS SAIDAS | 123/71 | </t>
        </is>
      </c>
      <c r="M1109" s="4" t="inlineStr">
        <is>
          <t>PIX ENVIADO GULA COSMETI</t>
        </is>
      </c>
    </row>
    <row r="1110">
      <c r="A1110" s="11" t="n">
        <v>1109</v>
      </c>
      <c r="B1110" s="11" t="inlineStr">
        <is>
          <t>01/06/2026</t>
        </is>
      </c>
      <c r="C1110" s="11" t="inlineStr">
        <is>
          <t>MARCELO HENRIQUE MAZZONI</t>
        </is>
      </c>
      <c r="D1110" s="12" t="n">
        <v>-3105</v>
      </c>
      <c r="E1110" s="11" t="inlineStr">
        <is>
          <t>362</t>
        </is>
      </c>
      <c r="F1110" s="11" t="inlineStr">
        <is>
          <t>SERVIÇOS PRESTADOS POR TERCEIROS</t>
        </is>
      </c>
      <c r="G1110" s="13" t="inlineStr">
        <is>
          <t>362</t>
        </is>
      </c>
      <c r="H1110" s="11">
        <f>IFERROR(VLOOKUP(G1110&amp;"",PLANO!A:B,2,FALSE),"CONTA NAO EXISTE NO PLANO")</f>
        <v/>
      </c>
      <c r="I1110" s="11" t="inlineStr">
        <is>
          <t>362</t>
        </is>
      </c>
      <c r="J1110" s="11" t="inlineStr">
        <is>
          <t>MANTIDO</t>
        </is>
      </c>
      <c r="K1110" s="11" t="inlineStr">
        <is>
          <t>socios Mazzoni (fora do contrato social) - mantido como estava</t>
        </is>
      </c>
      <c r="L1110" s="11" t="inlineStr">
        <is>
          <t>MARCELO HENRIQUE MAZZONI | 115/182 | PGTO REF.COMPRA DE MARCAS ALL NATURE, TRIOX E TIMBERMAM, CONFORME CONTRATO EM 25/04/2025</t>
        </is>
      </c>
      <c r="M1110" s="11" t="inlineStr">
        <is>
          <t>MARCELO HENRIQUE MAZZONI - PGTO REF.COMPRA DE MARCAS ALL NATURE, TRIOX E TIMBERMAM, CONFORME CONTRATO EM 25</t>
        </is>
      </c>
    </row>
    <row r="1111">
      <c r="A1111" t="n">
        <v>1110</v>
      </c>
      <c r="B1111" t="inlineStr">
        <is>
          <t>01/06/2026</t>
        </is>
      </c>
      <c r="C1111" t="inlineStr">
        <is>
          <t>TEX COURIER S.A</t>
        </is>
      </c>
      <c r="D1111" s="7" t="n">
        <v>-631.14</v>
      </c>
      <c r="E1111" t="inlineStr">
        <is>
          <t>312</t>
        </is>
      </c>
      <c r="F1111" t="inlineStr">
        <is>
          <t>FRETES E CARRETOS</t>
        </is>
      </c>
      <c r="G1111" s="2" t="inlineStr">
        <is>
          <t>312</t>
        </is>
      </c>
      <c r="H1111">
        <f>IFERROR(VLOOKUP(G1111&amp;"",PLANO!A:B,2,FALSE),"CONTA NAO EXISTE NO PLANO")</f>
        <v/>
      </c>
      <c r="I1111" t="inlineStr">
        <is>
          <t>312</t>
        </is>
      </c>
      <c r="J1111" t="inlineStr">
        <is>
          <t>OK</t>
        </is>
      </c>
      <c r="K1111" t="inlineStr">
        <is>
          <t>categoria Cosmos 97</t>
        </is>
      </c>
      <c r="L1111" t="inlineStr">
        <is>
          <t>TEX COURIER S.A | 115/97 | PAG REF A FRETE SOBRE VENDAS</t>
        </is>
      </c>
      <c r="M1111" t="inlineStr">
        <is>
          <t>TEX COURIER S.A - PAG REF A FRETE SOBRE VENDAS</t>
        </is>
      </c>
    </row>
    <row r="1112">
      <c r="A1112" t="n">
        <v>1111</v>
      </c>
      <c r="B1112" t="inlineStr">
        <is>
          <t>01/06/2026</t>
        </is>
      </c>
      <c r="C1112" t="inlineStr">
        <is>
          <t>JAMEF TRANSPORTES LTDA</t>
        </is>
      </c>
      <c r="D1112" s="7" t="n">
        <v>-464.72</v>
      </c>
      <c r="E1112" t="inlineStr">
        <is>
          <t>312</t>
        </is>
      </c>
      <c r="F1112" t="inlineStr">
        <is>
          <t>FRETES E CARRETOS</t>
        </is>
      </c>
      <c r="G1112" s="2" t="inlineStr">
        <is>
          <t>312</t>
        </is>
      </c>
      <c r="H1112">
        <f>IFERROR(VLOOKUP(G1112&amp;"",PLANO!A:B,2,FALSE),"CONTA NAO EXISTE NO PLANO")</f>
        <v/>
      </c>
      <c r="I1112" t="inlineStr">
        <is>
          <t>312</t>
        </is>
      </c>
      <c r="J1112" t="inlineStr">
        <is>
          <t>OK</t>
        </is>
      </c>
      <c r="K1112" t="inlineStr">
        <is>
          <t>categoria Cosmos 97</t>
        </is>
      </c>
      <c r="L1112" t="inlineStr">
        <is>
          <t>JAMEF TRANSPORTES LTDA | 115/97 | PAG REF A FRETE SOBRE VENDAS</t>
        </is>
      </c>
      <c r="M1112" t="inlineStr">
        <is>
          <t>JAMEF TRANSPORTES LTDA - PAG REF A FRETE SOBRE VENDAS</t>
        </is>
      </c>
    </row>
    <row r="1113">
      <c r="A1113" t="n">
        <v>1112</v>
      </c>
      <c r="B1113" t="inlineStr">
        <is>
          <t>01/06/2026</t>
        </is>
      </c>
      <c r="C1113" t="inlineStr">
        <is>
          <t>CARVALIMA TRANSPORTES LTDA</t>
        </is>
      </c>
      <c r="D1113" s="7" t="n">
        <v>-482.91</v>
      </c>
      <c r="E1113" t="inlineStr">
        <is>
          <t>312</t>
        </is>
      </c>
      <c r="F1113" t="inlineStr">
        <is>
          <t>FRETES E CARRETOS</t>
        </is>
      </c>
      <c r="G1113" s="2" t="inlineStr">
        <is>
          <t>312</t>
        </is>
      </c>
      <c r="H1113">
        <f>IFERROR(VLOOKUP(G1113&amp;"",PLANO!A:B,2,FALSE),"CONTA NAO EXISTE NO PLANO")</f>
        <v/>
      </c>
      <c r="I1113" t="inlineStr">
        <is>
          <t>312</t>
        </is>
      </c>
      <c r="J1113" t="inlineStr">
        <is>
          <t>OK</t>
        </is>
      </c>
      <c r="K1113" t="inlineStr">
        <is>
          <t>categoria Cosmos 97</t>
        </is>
      </c>
      <c r="L1113" t="inlineStr">
        <is>
          <t>CARVALIMA TRANSPORTES LTDA | 115/97 | PAG REF A FRETE SOBRE VENDAS NF 8263 E 8356</t>
        </is>
      </c>
      <c r="M1113" t="inlineStr">
        <is>
          <t>CARVALIMA TRANSPORTES LTDA - PAG REF A FRETE SOBRE VENDAS NF 8263 E 8356</t>
        </is>
      </c>
    </row>
    <row r="1114">
      <c r="A1114" t="n">
        <v>1113</v>
      </c>
      <c r="B1114" t="inlineStr">
        <is>
          <t>01/06/2026</t>
        </is>
      </c>
      <c r="C1114" t="inlineStr">
        <is>
          <t>AZUL LINHAS AEREAS BRASILEIRAS S.A.</t>
        </is>
      </c>
      <c r="D1114" s="7" t="n">
        <v>-165.75</v>
      </c>
      <c r="E1114" t="inlineStr">
        <is>
          <t>312</t>
        </is>
      </c>
      <c r="F1114" t="inlineStr">
        <is>
          <t>FRETES E CARRETOS</t>
        </is>
      </c>
      <c r="G1114" s="2" t="inlineStr">
        <is>
          <t>312</t>
        </is>
      </c>
      <c r="H1114">
        <f>IFERROR(VLOOKUP(G1114&amp;"",PLANO!A:B,2,FALSE),"CONTA NAO EXISTE NO PLANO")</f>
        <v/>
      </c>
      <c r="I1114" t="inlineStr">
        <is>
          <t>312</t>
        </is>
      </c>
      <c r="J1114" t="inlineStr">
        <is>
          <t>OK</t>
        </is>
      </c>
      <c r="K1114" t="inlineStr">
        <is>
          <t>categoria Cosmos 97</t>
        </is>
      </c>
      <c r="L1114" t="inlineStr">
        <is>
          <t>AZUL LINHAS AEREAS BRASILEIRAS S.A. | 115/97 | PAG REF A FRETE SOBRE VENDAS</t>
        </is>
      </c>
      <c r="M1114" t="inlineStr">
        <is>
          <t>AZUL LINHAS AEREAS BRASILEIRAS S.A. - PAG REF A FRETE SOBRE VENDAS</t>
        </is>
      </c>
    </row>
    <row r="1115">
      <c r="A1115" t="n">
        <v>1114</v>
      </c>
      <c r="B1115" t="inlineStr">
        <is>
          <t>01/06/2026</t>
        </is>
      </c>
      <c r="C1115" t="inlineStr">
        <is>
          <t>MHLOG LOGISTICA E TRANSPORTE LTDA</t>
        </is>
      </c>
      <c r="D1115" s="7" t="n">
        <v>-555.25</v>
      </c>
      <c r="E1115" t="inlineStr">
        <is>
          <t>312</t>
        </is>
      </c>
      <c r="F1115" t="inlineStr">
        <is>
          <t>FRETES E CARRETOS</t>
        </is>
      </c>
      <c r="G1115" s="2" t="inlineStr">
        <is>
          <t>312</t>
        </is>
      </c>
      <c r="H1115">
        <f>IFERROR(VLOOKUP(G1115&amp;"",PLANO!A:B,2,FALSE),"CONTA NAO EXISTE NO PLANO")</f>
        <v/>
      </c>
      <c r="I1115" t="inlineStr">
        <is>
          <t>312</t>
        </is>
      </c>
      <c r="J1115" t="inlineStr">
        <is>
          <t>OK</t>
        </is>
      </c>
      <c r="K1115" t="inlineStr">
        <is>
          <t>categoria Cosmos 97</t>
        </is>
      </c>
      <c r="L1115" t="inlineStr">
        <is>
          <t>MHLOG LOGISTICA E TRANSPORTE LTDA | 115/97 | PAG REF A FRETE SOBRE VENDAS NF 8169</t>
        </is>
      </c>
      <c r="M1115" t="inlineStr">
        <is>
          <t>MHLOG LOGISTICA E TRANSPORTE LTDA - PAG REF A FRETE SOBRE VENDAS NF 8169</t>
        </is>
      </c>
    </row>
    <row r="1116">
      <c r="A1116" s="4" t="n">
        <v>1115</v>
      </c>
      <c r="B1116" s="4" t="inlineStr">
        <is>
          <t>01/06/2026</t>
        </is>
      </c>
      <c r="C1116" s="4" t="inlineStr">
        <is>
          <t>TECNOPONTO TEC AVAN CONT DE PONTO ACESSO LTDA</t>
        </is>
      </c>
      <c r="D1116" s="5" t="n">
        <v>-74.90000000000001</v>
      </c>
      <c r="E1116" s="4" t="inlineStr">
        <is>
          <t>506</t>
        </is>
      </c>
      <c r="F1116" s="4" t="inlineStr">
        <is>
          <t>FORNECEDORES DIVERSOS</t>
        </is>
      </c>
      <c r="G1116" s="6" t="inlineStr">
        <is>
          <t>640</t>
        </is>
      </c>
      <c r="H1116" s="4">
        <f>IFERROR(VLOOKUP(G1116&amp;"",PLANO!A:B,2,FALSE),"CONTA NAO EXISTE NO PLANO")</f>
        <v/>
      </c>
      <c r="I1116" s="4" t="inlineStr">
        <is>
          <t>506</t>
        </is>
      </c>
      <c r="J1116" s="4" t="inlineStr">
        <is>
          <t>AJUSTADO</t>
        </is>
      </c>
      <c r="K1116" s="4" t="inlineStr">
        <is>
          <t>software/sistema (Cosmos cat. 47)</t>
        </is>
      </c>
      <c r="L1116" s="4" t="inlineStr">
        <is>
          <t>TECNOPONTO TEC AVAN CONT DE PONTO ACESSO LTDA | 115/47 | PGTO REF.A MANUTENÇÃO DO PROGRAMA DE PONTO</t>
        </is>
      </c>
      <c r="M1116" s="4" t="inlineStr">
        <is>
          <t>TECNOPONTO TEC AVAN CONT DE PONTO ACESSO LTDA - PGTO REF.A MANUTENÇÃO DO PROGRAMA DE PONTO</t>
        </is>
      </c>
    </row>
    <row r="1117">
      <c r="A1117" t="n">
        <v>1116</v>
      </c>
      <c r="B1117" t="inlineStr">
        <is>
          <t>01/06/2026</t>
        </is>
      </c>
      <c r="C1117" t="inlineStr">
        <is>
          <t>BANCO ITAU UNIBANCO</t>
        </is>
      </c>
      <c r="D1117" s="7" t="n">
        <v>-7.44</v>
      </c>
      <c r="E1117" t="inlineStr">
        <is>
          <t>375</t>
        </is>
      </c>
      <c r="F1117" t="inlineStr">
        <is>
          <t>JUROS SOBRE EMPRÉSTIMOS E FINANCIAMENTOS</t>
        </is>
      </c>
      <c r="G1117" s="2" t="inlineStr">
        <is>
          <t>375</t>
        </is>
      </c>
      <c r="H1117">
        <f>IFERROR(VLOOKUP(G1117&amp;"",PLANO!A:B,2,FALSE),"CONTA NAO EXISTE NO PLANO")</f>
        <v/>
      </c>
      <c r="I1117" t="inlineStr">
        <is>
          <t>375</t>
        </is>
      </c>
      <c r="J1117" t="inlineStr">
        <is>
          <t>OK</t>
        </is>
      </c>
      <c r="K1117" t="inlineStr">
        <is>
          <t>juros limite (375/625)</t>
        </is>
      </c>
      <c r="L1117" t="inlineStr">
        <is>
          <t>BANCO ITAU UNIBANCO | 115/122 | PGTO REF.JUROS EXCESSO LIMITE DA CONTA</t>
        </is>
      </c>
      <c r="M1117" t="inlineStr">
        <is>
          <t>BANCO ITAU UNIBANCO - PGTO REF.JUROS EXCESSO LIMITE DA CONTA</t>
        </is>
      </c>
    </row>
    <row r="1118">
      <c r="A1118" t="n">
        <v>1117</v>
      </c>
      <c r="B1118" t="inlineStr">
        <is>
          <t>02/06/2026</t>
        </is>
      </c>
      <c r="C1118" t="inlineStr">
        <is>
          <t>MOV TÍT COB DISP 02/06S</t>
        </is>
      </c>
      <c r="D1118" s="7" t="n">
        <v>3385.91</v>
      </c>
      <c r="E1118" t="inlineStr">
        <is>
          <t>504</t>
        </is>
      </c>
      <c r="F1118" t="inlineStr">
        <is>
          <t>CLIENTES DIVERSOS</t>
        </is>
      </c>
      <c r="G1118" s="2" t="inlineStr">
        <is>
          <t>504</t>
        </is>
      </c>
      <c r="H1118">
        <f>IFERROR(VLOOKUP(G1118&amp;"",PLANO!A:B,2,FALSE),"CONTA NAO EXISTE NO PLANO")</f>
        <v/>
      </c>
      <c r="I1118" t="inlineStr">
        <is>
          <t>504</t>
        </is>
      </c>
      <c r="J1118" t="inlineStr">
        <is>
          <t>SEM COSMOS</t>
        </is>
      </c>
      <c r="K1118" t="inlineStr"/>
      <c r="L1118" t="inlineStr"/>
      <c r="M1118" t="inlineStr">
        <is>
          <t>MOV TÍT COB DISP 02/06S</t>
        </is>
      </c>
    </row>
    <row r="1119">
      <c r="A1119" t="n">
        <v>1118</v>
      </c>
      <c r="B1119" t="inlineStr">
        <is>
          <t>02/06/2026</t>
        </is>
      </c>
      <c r="C1119" t="inlineStr">
        <is>
          <t>REDE MAST DB0081996543</t>
        </is>
      </c>
      <c r="D1119" s="7" t="n">
        <v>24.76</v>
      </c>
      <c r="E1119" t="inlineStr">
        <is>
          <t>504</t>
        </is>
      </c>
      <c r="F1119" t="inlineStr">
        <is>
          <t>CLIENTES DIVERSOS</t>
        </is>
      </c>
      <c r="G1119" s="2" t="inlineStr">
        <is>
          <t>504</t>
        </is>
      </c>
      <c r="H1119">
        <f>IFERROR(VLOOKUP(G1119&amp;"",PLANO!A:B,2,FALSE),"CONTA NAO EXISTE NO PLANO")</f>
        <v/>
      </c>
      <c r="I1119" t="inlineStr">
        <is>
          <t>504</t>
        </is>
      </c>
      <c r="J1119" t="inlineStr">
        <is>
          <t>SEM COSMOS</t>
        </is>
      </c>
      <c r="K1119" t="inlineStr"/>
      <c r="L1119" t="inlineStr"/>
      <c r="M1119" t="inlineStr">
        <is>
          <t>REDE MAST DB0081996543</t>
        </is>
      </c>
    </row>
    <row r="1120">
      <c r="A1120" t="n">
        <v>1119</v>
      </c>
      <c r="B1120" t="inlineStr">
        <is>
          <t>02/06/2026</t>
        </is>
      </c>
      <c r="C1120" t="inlineStr">
        <is>
          <t>REDE VISA DB0081996543</t>
        </is>
      </c>
      <c r="D1120" s="7" t="n">
        <v>91.14</v>
      </c>
      <c r="E1120" t="inlineStr">
        <is>
          <t>504</t>
        </is>
      </c>
      <c r="F1120" t="inlineStr">
        <is>
          <t>CLIENTES DIVERSOS</t>
        </is>
      </c>
      <c r="G1120" s="2" t="inlineStr">
        <is>
          <t>504</t>
        </is>
      </c>
      <c r="H1120">
        <f>IFERROR(VLOOKUP(G1120&amp;"",PLANO!A:B,2,FALSE),"CONTA NAO EXISTE NO PLANO")</f>
        <v/>
      </c>
      <c r="I1120" t="inlineStr">
        <is>
          <t>504</t>
        </is>
      </c>
      <c r="J1120" t="inlineStr">
        <is>
          <t>SEM COSMOS</t>
        </is>
      </c>
      <c r="K1120" t="inlineStr"/>
      <c r="L1120" t="inlineStr"/>
      <c r="M1120" t="inlineStr">
        <is>
          <t>REDE VISA DB0081996543</t>
        </is>
      </c>
    </row>
    <row r="1121">
      <c r="A1121" t="n">
        <v>1120</v>
      </c>
      <c r="B1121" t="inlineStr">
        <is>
          <t>02/06/2026</t>
        </is>
      </c>
      <c r="C1121" t="inlineStr">
        <is>
          <t>PIX TRANSF MARIA F02/06</t>
        </is>
      </c>
      <c r="D1121" s="7" t="n">
        <v>622</v>
      </c>
      <c r="E1121" t="inlineStr">
        <is>
          <t>504</t>
        </is>
      </c>
      <c r="F1121" t="inlineStr">
        <is>
          <t>CLIENTES DIVERSOS</t>
        </is>
      </c>
      <c r="G1121" s="2" t="inlineStr">
        <is>
          <t>504</t>
        </is>
      </c>
      <c r="H1121">
        <f>IFERROR(VLOOKUP(G1121&amp;"",PLANO!A:B,2,FALSE),"CONTA NAO EXISTE NO PLANO")</f>
        <v/>
      </c>
      <c r="I1121" t="inlineStr">
        <is>
          <t>504</t>
        </is>
      </c>
      <c r="J1121" t="inlineStr">
        <is>
          <t>SEM COSMOS</t>
        </is>
      </c>
      <c r="K1121" t="inlineStr"/>
      <c r="L1121" t="inlineStr"/>
      <c r="M1121" t="inlineStr">
        <is>
          <t>PIX TRANSF MARIA F02/06</t>
        </is>
      </c>
    </row>
    <row r="1122">
      <c r="A1122" t="n">
        <v>1121</v>
      </c>
      <c r="B1122" t="inlineStr">
        <is>
          <t>02/06/2026</t>
        </is>
      </c>
      <c r="C1122" t="inlineStr">
        <is>
          <t>BANCO ITAU UNIBANCO</t>
        </is>
      </c>
      <c r="D1122" s="7" t="n">
        <v>-139.81</v>
      </c>
      <c r="E1122" t="inlineStr">
        <is>
          <t>625</t>
        </is>
      </c>
      <c r="F1122" t="inlineStr">
        <is>
          <t>IOF</t>
        </is>
      </c>
      <c r="G1122" s="2" t="inlineStr">
        <is>
          <t>625</t>
        </is>
      </c>
      <c r="H1122">
        <f>IFERROR(VLOOKUP(G1122&amp;"",PLANO!A:B,2,FALSE),"CONTA NAO EXISTE NO PLANO")</f>
        <v/>
      </c>
      <c r="I1122" t="inlineStr">
        <is>
          <t>626</t>
        </is>
      </c>
      <c r="J1122" t="inlineStr">
        <is>
          <t>OK</t>
        </is>
      </c>
      <c r="K1122" t="inlineStr">
        <is>
          <t>tarifa/IOF bancario</t>
        </is>
      </c>
      <c r="L1122" t="inlineStr">
        <is>
          <t>BANCO ITAU UNIBANCO | 115/56 | PGTO REF.TARIFAS DE COBRANÇA</t>
        </is>
      </c>
      <c r="M1122" t="inlineStr">
        <is>
          <t>BANCO ITAU UNIBANCO - PGTO REF.TARIFAS DE COBRANÇA</t>
        </is>
      </c>
    </row>
    <row r="1123">
      <c r="A1123" t="n">
        <v>1122</v>
      </c>
      <c r="B1123" t="inlineStr">
        <is>
          <t>02/06/2026</t>
        </is>
      </c>
      <c r="C1123" t="inlineStr">
        <is>
          <t>BANCO ITAU UNIBANCO</t>
        </is>
      </c>
      <c r="D1123" s="7" t="n">
        <v>-258.4</v>
      </c>
      <c r="E1123" t="inlineStr">
        <is>
          <t>625</t>
        </is>
      </c>
      <c r="F1123" t="inlineStr">
        <is>
          <t>IOF</t>
        </is>
      </c>
      <c r="G1123" s="2" t="inlineStr">
        <is>
          <t>625</t>
        </is>
      </c>
      <c r="H1123">
        <f>IFERROR(VLOOKUP(G1123&amp;"",PLANO!A:B,2,FALSE),"CONTA NAO EXISTE NO PLANO")</f>
        <v/>
      </c>
      <c r="I1123" t="inlineStr">
        <is>
          <t>626</t>
        </is>
      </c>
      <c r="J1123" t="inlineStr">
        <is>
          <t>OK</t>
        </is>
      </c>
      <c r="K1123" t="inlineStr">
        <is>
          <t>tarifa/IOF bancario</t>
        </is>
      </c>
      <c r="L1123" t="inlineStr">
        <is>
          <t>BANCO ITAU UNIBANCO | 115/56 | PGTO REF.TARIFAS DE COBRANÇA</t>
        </is>
      </c>
      <c r="M1123" t="inlineStr">
        <is>
          <t>BANCO ITAU UNIBANCO - PGTO REF.TARIFAS DE COBRANÇA</t>
        </is>
      </c>
    </row>
    <row r="1124">
      <c r="A1124" t="n">
        <v>1123</v>
      </c>
      <c r="B1124" t="inlineStr">
        <is>
          <t>02/06/2026</t>
        </is>
      </c>
      <c r="C1124" t="inlineStr">
        <is>
          <t>RODONAVES TRANSPORTES E ENCOMENDAS LTDA</t>
        </is>
      </c>
      <c r="D1124" s="7" t="n">
        <v>-284.09</v>
      </c>
      <c r="E1124" t="inlineStr">
        <is>
          <t>312</t>
        </is>
      </c>
      <c r="F1124" t="inlineStr">
        <is>
          <t>FRETES E CARRETOS</t>
        </is>
      </c>
      <c r="G1124" s="2" t="inlineStr">
        <is>
          <t>312</t>
        </is>
      </c>
      <c r="H1124">
        <f>IFERROR(VLOOKUP(G1124&amp;"",PLANO!A:B,2,FALSE),"CONTA NAO EXISTE NO PLANO")</f>
        <v/>
      </c>
      <c r="I1124" t="inlineStr">
        <is>
          <t>312</t>
        </is>
      </c>
      <c r="J1124" t="inlineStr">
        <is>
          <t>OK</t>
        </is>
      </c>
      <c r="K1124" t="inlineStr">
        <is>
          <t>categoria Cosmos 97</t>
        </is>
      </c>
      <c r="L1124" t="inlineStr">
        <is>
          <t>RODONAVES TRANSPORTES E ENCOMENDAS LTDA | 115/97 | PGTO REF.FRETE S/NFE</t>
        </is>
      </c>
      <c r="M1124" t="inlineStr">
        <is>
          <t>RODONAVES TRANSPORTES E ENCOMENDAS LTDA - PGTO REF.FRETE S/NFE</t>
        </is>
      </c>
    </row>
    <row r="1125">
      <c r="A1125" t="n">
        <v>1124</v>
      </c>
      <c r="B1125" t="inlineStr">
        <is>
          <t>02/06/2026</t>
        </is>
      </c>
      <c r="C1125" t="inlineStr">
        <is>
          <t>RODONAVES TRANSPORTES E ENCOMENDAS LTDA</t>
        </is>
      </c>
      <c r="D1125" s="7" t="n">
        <v>-208.39</v>
      </c>
      <c r="E1125" t="inlineStr">
        <is>
          <t>312</t>
        </is>
      </c>
      <c r="F1125" t="inlineStr">
        <is>
          <t>FRETES E CARRETOS</t>
        </is>
      </c>
      <c r="G1125" s="2" t="inlineStr">
        <is>
          <t>312</t>
        </is>
      </c>
      <c r="H1125">
        <f>IFERROR(VLOOKUP(G1125&amp;"",PLANO!A:B,2,FALSE),"CONTA NAO EXISTE NO PLANO")</f>
        <v/>
      </c>
      <c r="I1125" t="inlineStr">
        <is>
          <t>312</t>
        </is>
      </c>
      <c r="J1125" t="inlineStr">
        <is>
          <t>OK</t>
        </is>
      </c>
      <c r="K1125" t="inlineStr">
        <is>
          <t>categoria Cosmos 97</t>
        </is>
      </c>
      <c r="L1125" t="inlineStr">
        <is>
          <t>RODONAVES TRANSPORTES E ENCOMENDAS LTDA | 115/97 | PGTO REF.FRETE S/NFE</t>
        </is>
      </c>
      <c r="M1125" t="inlineStr">
        <is>
          <t>RODONAVES TRANSPORTES E ENCOMENDAS LTDA - PGTO REF.FRETE S/NFE</t>
        </is>
      </c>
    </row>
    <row r="1126">
      <c r="A1126" t="n">
        <v>1125</v>
      </c>
      <c r="B1126" t="inlineStr">
        <is>
          <t>02/06/2026</t>
        </is>
      </c>
      <c r="C1126" t="inlineStr">
        <is>
          <t>RODONAVES TRANSPORTES E ENCOMENDAS LTDA</t>
        </is>
      </c>
      <c r="D1126" s="7" t="n">
        <v>-90.62</v>
      </c>
      <c r="E1126" t="inlineStr">
        <is>
          <t>312</t>
        </is>
      </c>
      <c r="F1126" t="inlineStr">
        <is>
          <t>FRETES E CARRETOS</t>
        </is>
      </c>
      <c r="G1126" s="2" t="inlineStr">
        <is>
          <t>312</t>
        </is>
      </c>
      <c r="H1126">
        <f>IFERROR(VLOOKUP(G1126&amp;"",PLANO!A:B,2,FALSE),"CONTA NAO EXISTE NO PLANO")</f>
        <v/>
      </c>
      <c r="I1126" t="inlineStr">
        <is>
          <t>312</t>
        </is>
      </c>
      <c r="J1126" t="inlineStr">
        <is>
          <t>OK</t>
        </is>
      </c>
      <c r="K1126" t="inlineStr">
        <is>
          <t>categoria Cosmos 97</t>
        </is>
      </c>
      <c r="L1126" t="inlineStr">
        <is>
          <t>RODONAVES TRANSPORTES E ENCOMENDAS LTDA | 115/97 | PGTO REF.FRETE S/NFE</t>
        </is>
      </c>
      <c r="M1126" t="inlineStr">
        <is>
          <t>RODONAVES TRANSPORTES E ENCOMENDAS LTDA - PGTO REF.FRETE S/NFE</t>
        </is>
      </c>
    </row>
    <row r="1127">
      <c r="A1127" s="11" t="n">
        <v>1126</v>
      </c>
      <c r="B1127" s="11" t="inlineStr">
        <is>
          <t>02/06/2026</t>
        </is>
      </c>
      <c r="C1127" s="11" t="inlineStr">
        <is>
          <t>INTERLAB DISTRIBUIDORA DE PRODUTOS CIENTIFICOS LTDA.</t>
        </is>
      </c>
      <c r="D1127" s="12" t="n">
        <v>-349</v>
      </c>
      <c r="E1127" s="11" t="inlineStr">
        <is>
          <t>506</t>
        </is>
      </c>
      <c r="F1127" s="11" t="inlineStr">
        <is>
          <t>FORNECEDORES DIVERSOS</t>
        </is>
      </c>
      <c r="G1127" s="13" t="inlineStr">
        <is>
          <t>506</t>
        </is>
      </c>
      <c r="H1127" s="11">
        <f>IFERROR(VLOOKUP(G1127&amp;"",PLANO!A:B,2,FALSE),"CONTA NAO EXISTE NO PLANO")</f>
        <v/>
      </c>
      <c r="I1127" s="11" t="inlineStr">
        <is>
          <t>506</t>
        </is>
      </c>
      <c r="J1127" s="11" t="inlineStr">
        <is>
          <t>MANTIDO</t>
        </is>
      </c>
      <c r="K1127" s="11" t="inlineStr">
        <is>
          <t>material laboratorio | mantida a conta atual (sem informacao que justifique troca)</t>
        </is>
      </c>
      <c r="L1127" s="11" t="inlineStr">
        <is>
          <t>INTERLAB DISTRIBUIDORA DE PRODUTOS CIENTIFICOS LTDA. | 115/105 | PAGAMENTO REFERENTE A COMPRA DE MATERIAL PARA O LABORATORIO</t>
        </is>
      </c>
      <c r="M1127" s="11" t="inlineStr">
        <is>
          <t>INTERLAB DISTRIBUIDORA DE PRODUTOS CIENTIFICOS LTDA. - PAGAMENTO REFERENTE A COMPRA DE MATERIAL PARA O LABORATORIO</t>
        </is>
      </c>
    </row>
    <row r="1128">
      <c r="A1128" t="n">
        <v>1127</v>
      </c>
      <c r="B1128" t="inlineStr">
        <is>
          <t>02/06/2026</t>
        </is>
      </c>
      <c r="C1128" t="inlineStr">
        <is>
          <t>BANCO ITAU UNIBANCO</t>
        </is>
      </c>
      <c r="D1128" s="7" t="n">
        <v>-327.45</v>
      </c>
      <c r="E1128" t="inlineStr">
        <is>
          <t>626</t>
        </is>
      </c>
      <c r="F1128" t="inlineStr">
        <is>
          <t>TARIFAS BANCARIAS</t>
        </is>
      </c>
      <c r="G1128" s="2" t="inlineStr">
        <is>
          <t>626</t>
        </is>
      </c>
      <c r="H1128">
        <f>IFERROR(VLOOKUP(G1128&amp;"",PLANO!A:B,2,FALSE),"CONTA NAO EXISTE NO PLANO")</f>
        <v/>
      </c>
      <c r="I1128" t="inlineStr">
        <is>
          <t>626</t>
        </is>
      </c>
      <c r="J1128" t="inlineStr">
        <is>
          <t>OK</t>
        </is>
      </c>
      <c r="K1128" t="inlineStr">
        <is>
          <t>tarifa/IOF bancario</t>
        </is>
      </c>
      <c r="L1128" t="inlineStr">
        <is>
          <t>BANCO ITAU UNIBANCO | 115/56 | PGTO REF.TARIFAS DE COBRANÇA</t>
        </is>
      </c>
      <c r="M1128" t="inlineStr">
        <is>
          <t>BANCO ITAU UNIBANCO - PGTO REF.TARIFAS DE COBRANÇA</t>
        </is>
      </c>
    </row>
    <row r="1129">
      <c r="A1129" t="n">
        <v>1128</v>
      </c>
      <c r="B1129" t="inlineStr">
        <is>
          <t>02/06/2026</t>
        </is>
      </c>
      <c r="C1129" t="inlineStr">
        <is>
          <t>BANCO ITAU UNIBANCO</t>
        </is>
      </c>
      <c r="D1129" s="7" t="n">
        <v>-16.65</v>
      </c>
      <c r="E1129" t="inlineStr">
        <is>
          <t>626</t>
        </is>
      </c>
      <c r="F1129" t="inlineStr">
        <is>
          <t>TARIFAS BANCARIAS</t>
        </is>
      </c>
      <c r="G1129" s="2" t="inlineStr">
        <is>
          <t>626</t>
        </is>
      </c>
      <c r="H1129">
        <f>IFERROR(VLOOKUP(G1129&amp;"",PLANO!A:B,2,FALSE),"CONTA NAO EXISTE NO PLANO")</f>
        <v/>
      </c>
      <c r="I1129" t="inlineStr">
        <is>
          <t>626</t>
        </is>
      </c>
      <c r="J1129" t="inlineStr">
        <is>
          <t>OK</t>
        </is>
      </c>
      <c r="K1129" t="inlineStr">
        <is>
          <t>tarifa/IOF bancario</t>
        </is>
      </c>
      <c r="L1129" t="inlineStr">
        <is>
          <t>BANCO ITAU UNIBANCO | 115/56 | PGTO REF.TARIFAS DE COBRANÇA</t>
        </is>
      </c>
      <c r="M1129" t="inlineStr">
        <is>
          <t>BANCO ITAU UNIBANCO - PGTO REF.TARIFAS DE COBRANÇA</t>
        </is>
      </c>
    </row>
    <row r="1130">
      <c r="A1130" t="n">
        <v>1129</v>
      </c>
      <c r="B1130" t="inlineStr">
        <is>
          <t>02/06/2026</t>
        </is>
      </c>
      <c r="C1130" t="inlineStr">
        <is>
          <t>BANCO ITAU UNIBANCO</t>
        </is>
      </c>
      <c r="D1130" s="7" t="n">
        <v>-196.45</v>
      </c>
      <c r="E1130" t="inlineStr">
        <is>
          <t>626</t>
        </is>
      </c>
      <c r="F1130" t="inlineStr">
        <is>
          <t>TARIFAS BANCARIAS</t>
        </is>
      </c>
      <c r="G1130" s="2" t="inlineStr">
        <is>
          <t>626</t>
        </is>
      </c>
      <c r="H1130">
        <f>IFERROR(VLOOKUP(G1130&amp;"",PLANO!A:B,2,FALSE),"CONTA NAO EXISTE NO PLANO")</f>
        <v/>
      </c>
      <c r="I1130" t="inlineStr">
        <is>
          <t>626</t>
        </is>
      </c>
      <c r="J1130" t="inlineStr">
        <is>
          <t>OK</t>
        </is>
      </c>
      <c r="K1130" t="inlineStr">
        <is>
          <t>tarifa/IOF bancario</t>
        </is>
      </c>
      <c r="L1130" t="inlineStr">
        <is>
          <t>BANCO ITAU UNIBANCO | 115/56 | PGTO REF.TARIFAS DE COBRANÇA</t>
        </is>
      </c>
      <c r="M1130" t="inlineStr">
        <is>
          <t>BANCO ITAU UNIBANCO - PGTO REF.TARIFAS DE COBRANÇA</t>
        </is>
      </c>
    </row>
    <row r="1131">
      <c r="A1131" t="n">
        <v>1130</v>
      </c>
      <c r="B1131" t="inlineStr">
        <is>
          <t>02/06/2026</t>
        </is>
      </c>
      <c r="C1131" t="inlineStr">
        <is>
          <t>BANCO ITAU UNIBANCO</t>
        </is>
      </c>
      <c r="D1131" s="7" t="n">
        <v>-24.11</v>
      </c>
      <c r="E1131" t="inlineStr">
        <is>
          <t>626</t>
        </is>
      </c>
      <c r="F1131" t="inlineStr">
        <is>
          <t>TARIFAS BANCARIAS</t>
        </is>
      </c>
      <c r="G1131" s="2" t="inlineStr">
        <is>
          <t>626</t>
        </is>
      </c>
      <c r="H1131">
        <f>IFERROR(VLOOKUP(G1131&amp;"",PLANO!A:B,2,FALSE),"CONTA NAO EXISTE NO PLANO")</f>
        <v/>
      </c>
      <c r="I1131" t="inlineStr">
        <is>
          <t>626</t>
        </is>
      </c>
      <c r="J1131" t="inlineStr">
        <is>
          <t>OK</t>
        </is>
      </c>
      <c r="K1131" t="inlineStr">
        <is>
          <t>tarifa/IOF bancario</t>
        </is>
      </c>
      <c r="L1131" t="inlineStr">
        <is>
          <t>BANCO ITAU UNIBANCO | 115/56 | PGTO REF.TARIFAS DE COBRANÇA</t>
        </is>
      </c>
      <c r="M1131" t="inlineStr">
        <is>
          <t>BANCO ITAU UNIBANCO - PGTO REF.TARIFAS DE COBRANÇA</t>
        </is>
      </c>
    </row>
    <row r="1132">
      <c r="A1132" t="n">
        <v>1131</v>
      </c>
      <c r="B1132" t="inlineStr">
        <is>
          <t>03/06/2026</t>
        </is>
      </c>
      <c r="C1132" t="inlineStr">
        <is>
          <t>SISPAG O.S. SECURITIZAD</t>
        </is>
      </c>
      <c r="D1132" s="7" t="n">
        <v>40649.64</v>
      </c>
      <c r="E1132" t="inlineStr">
        <is>
          <t>504</t>
        </is>
      </c>
      <c r="F1132" t="inlineStr">
        <is>
          <t>CLIENTES DIVERSOS</t>
        </is>
      </c>
      <c r="G1132" s="2" t="inlineStr">
        <is>
          <t>504</t>
        </is>
      </c>
      <c r="H1132">
        <f>IFERROR(VLOOKUP(G1132&amp;"",PLANO!A:B,2,FALSE),"CONTA NAO EXISTE NO PLANO")</f>
        <v/>
      </c>
      <c r="I1132" t="inlineStr">
        <is>
          <t>504</t>
        </is>
      </c>
      <c r="J1132" t="inlineStr">
        <is>
          <t>SEM COSMOS</t>
        </is>
      </c>
      <c r="K1132" t="inlineStr"/>
      <c r="L1132" t="inlineStr"/>
      <c r="M1132" t="inlineStr">
        <is>
          <t>SISPAG O.S. SECURITIZAD</t>
        </is>
      </c>
    </row>
    <row r="1133">
      <c r="A1133" t="n">
        <v>1132</v>
      </c>
      <c r="B1133" t="inlineStr">
        <is>
          <t>03/06/2026</t>
        </is>
      </c>
      <c r="C1133" t="inlineStr">
        <is>
          <t>MOV TÍT COB DISP 03/06S</t>
        </is>
      </c>
      <c r="D1133" s="7" t="n">
        <v>4255.79</v>
      </c>
      <c r="E1133" t="inlineStr">
        <is>
          <t>504</t>
        </is>
      </c>
      <c r="F1133" t="inlineStr">
        <is>
          <t>CLIENTES DIVERSOS</t>
        </is>
      </c>
      <c r="G1133" s="2" t="inlineStr">
        <is>
          <t>504</t>
        </is>
      </c>
      <c r="H1133">
        <f>IFERROR(VLOOKUP(G1133&amp;"",PLANO!A:B,2,FALSE),"CONTA NAO EXISTE NO PLANO")</f>
        <v/>
      </c>
      <c r="I1133" t="inlineStr">
        <is>
          <t>504</t>
        </is>
      </c>
      <c r="J1133" t="inlineStr">
        <is>
          <t>SEM COSMOS</t>
        </is>
      </c>
      <c r="K1133" t="inlineStr"/>
      <c r="L1133" t="inlineStr"/>
      <c r="M1133" t="inlineStr">
        <is>
          <t>MOV TÍT COB DISP 03/06S</t>
        </is>
      </c>
    </row>
    <row r="1134">
      <c r="A1134" t="n">
        <v>1133</v>
      </c>
      <c r="B1134" t="inlineStr">
        <is>
          <t>03/06/2026</t>
        </is>
      </c>
      <c r="C1134" t="inlineStr">
        <is>
          <t>REDE MAST DB0081996543</t>
        </is>
      </c>
      <c r="D1134" s="7" t="n">
        <v>9.91</v>
      </c>
      <c r="E1134" t="inlineStr">
        <is>
          <t>504</t>
        </is>
      </c>
      <c r="F1134" t="inlineStr">
        <is>
          <t>CLIENTES DIVERSOS</t>
        </is>
      </c>
      <c r="G1134" s="2" t="inlineStr">
        <is>
          <t>504</t>
        </is>
      </c>
      <c r="H1134">
        <f>IFERROR(VLOOKUP(G1134&amp;"",PLANO!A:B,2,FALSE),"CONTA NAO EXISTE NO PLANO")</f>
        <v/>
      </c>
      <c r="I1134" t="inlineStr">
        <is>
          <t>504</t>
        </is>
      </c>
      <c r="J1134" t="inlineStr">
        <is>
          <t>SEM COSMOS</t>
        </is>
      </c>
      <c r="K1134" t="inlineStr"/>
      <c r="L1134" t="inlineStr"/>
      <c r="M1134" t="inlineStr">
        <is>
          <t>REDE MAST DB0081996543</t>
        </is>
      </c>
    </row>
    <row r="1135">
      <c r="A1135" t="n">
        <v>1134</v>
      </c>
      <c r="B1135" t="inlineStr">
        <is>
          <t>03/06/2026</t>
        </is>
      </c>
      <c r="C1135" t="inlineStr">
        <is>
          <t>REDE MAST AT0081996543</t>
        </is>
      </c>
      <c r="D1135" s="7" t="n">
        <v>5953.64</v>
      </c>
      <c r="E1135" t="inlineStr">
        <is>
          <t>504</t>
        </is>
      </c>
      <c r="F1135" t="inlineStr">
        <is>
          <t>CLIENTES DIVERSOS</t>
        </is>
      </c>
      <c r="G1135" s="2" t="inlineStr">
        <is>
          <t>504</t>
        </is>
      </c>
      <c r="H1135">
        <f>IFERROR(VLOOKUP(G1135&amp;"",PLANO!A:B,2,FALSE),"CONTA NAO EXISTE NO PLANO")</f>
        <v/>
      </c>
      <c r="I1135" t="inlineStr">
        <is>
          <t>504</t>
        </is>
      </c>
      <c r="J1135" t="inlineStr">
        <is>
          <t>SEM COSMOS</t>
        </is>
      </c>
      <c r="K1135" t="inlineStr"/>
      <c r="L1135" t="inlineStr"/>
      <c r="M1135" t="inlineStr">
        <is>
          <t>REDE MAST AT0081996543</t>
        </is>
      </c>
    </row>
    <row r="1136">
      <c r="A1136" t="n">
        <v>1135</v>
      </c>
      <c r="B1136" t="inlineStr">
        <is>
          <t>03/06/2026</t>
        </is>
      </c>
      <c r="C1136" t="inlineStr">
        <is>
          <t>REDE VISA AT0081996543</t>
        </is>
      </c>
      <c r="D1136" s="7" t="n">
        <v>801.1799999999999</v>
      </c>
      <c r="E1136" t="inlineStr">
        <is>
          <t>504</t>
        </is>
      </c>
      <c r="F1136" t="inlineStr">
        <is>
          <t>CLIENTES DIVERSOS</t>
        </is>
      </c>
      <c r="G1136" s="2" t="inlineStr">
        <is>
          <t>504</t>
        </is>
      </c>
      <c r="H1136">
        <f>IFERROR(VLOOKUP(G1136&amp;"",PLANO!A:B,2,FALSE),"CONTA NAO EXISTE NO PLANO")</f>
        <v/>
      </c>
      <c r="I1136" t="inlineStr">
        <is>
          <t>504</t>
        </is>
      </c>
      <c r="J1136" t="inlineStr">
        <is>
          <t>SEM COSMOS</t>
        </is>
      </c>
      <c r="K1136" t="inlineStr"/>
      <c r="L1136" t="inlineStr"/>
      <c r="M1136" t="inlineStr">
        <is>
          <t>REDE VISA AT0081996543</t>
        </is>
      </c>
    </row>
    <row r="1137">
      <c r="A1137" t="n">
        <v>1136</v>
      </c>
      <c r="B1137" t="inlineStr">
        <is>
          <t>03/06/2026</t>
        </is>
      </c>
      <c r="C1137" t="inlineStr">
        <is>
          <t>REDE VISA DB0081996543</t>
        </is>
      </c>
      <c r="D1137" s="7" t="n">
        <v>80.23999999999999</v>
      </c>
      <c r="E1137" t="inlineStr">
        <is>
          <t>504</t>
        </is>
      </c>
      <c r="F1137" t="inlineStr">
        <is>
          <t>CLIENTES DIVERSOS</t>
        </is>
      </c>
      <c r="G1137" s="2" t="inlineStr">
        <is>
          <t>504</t>
        </is>
      </c>
      <c r="H1137">
        <f>IFERROR(VLOOKUP(G1137&amp;"",PLANO!A:B,2,FALSE),"CONTA NAO EXISTE NO PLANO")</f>
        <v/>
      </c>
      <c r="I1137" t="inlineStr">
        <is>
          <t>504</t>
        </is>
      </c>
      <c r="J1137" t="inlineStr">
        <is>
          <t>SEM COSMOS</t>
        </is>
      </c>
      <c r="K1137" t="inlineStr"/>
      <c r="L1137" t="inlineStr"/>
      <c r="M1137" t="inlineStr">
        <is>
          <t>REDE VISA DB0081996543</t>
        </is>
      </c>
    </row>
    <row r="1138">
      <c r="A1138" t="n">
        <v>1137</v>
      </c>
      <c r="B1138" t="inlineStr">
        <is>
          <t>03/06/2026</t>
        </is>
      </c>
      <c r="C1138" t="inlineStr">
        <is>
          <t>PIX TRANSF SALAO D03/06</t>
        </is>
      </c>
      <c r="D1138" s="7" t="n">
        <v>119.76</v>
      </c>
      <c r="E1138" t="inlineStr">
        <is>
          <t>504</t>
        </is>
      </c>
      <c r="F1138" t="inlineStr">
        <is>
          <t>CLIENTES DIVERSOS</t>
        </is>
      </c>
      <c r="G1138" s="2" t="inlineStr">
        <is>
          <t>504</t>
        </is>
      </c>
      <c r="H1138">
        <f>IFERROR(VLOOKUP(G1138&amp;"",PLANO!A:B,2,FALSE),"CONTA NAO EXISTE NO PLANO")</f>
        <v/>
      </c>
      <c r="I1138" t="inlineStr">
        <is>
          <t>504</t>
        </is>
      </c>
      <c r="J1138" t="inlineStr">
        <is>
          <t>SEM COSMOS</t>
        </is>
      </c>
      <c r="K1138" t="inlineStr"/>
      <c r="L1138" t="inlineStr"/>
      <c r="M1138" t="inlineStr">
        <is>
          <t>PIX TRANSF SALAO D03/06</t>
        </is>
      </c>
    </row>
    <row r="1139">
      <c r="A1139" t="n">
        <v>1138</v>
      </c>
      <c r="B1139" t="inlineStr">
        <is>
          <t>03/06/2026</t>
        </is>
      </c>
      <c r="C1139" t="inlineStr">
        <is>
          <t>BANCO ITAU UNIBANCO</t>
        </is>
      </c>
      <c r="D1139" s="7" t="n">
        <v>-5629.85</v>
      </c>
      <c r="E1139" t="inlineStr">
        <is>
          <t>357</t>
        </is>
      </c>
      <c r="F1139" t="inlineStr">
        <is>
          <t>DESPESAS COM CARTÃO DE CREDITO</t>
        </is>
      </c>
      <c r="G1139" s="2" t="inlineStr">
        <is>
          <t>357</t>
        </is>
      </c>
      <c r="H1139">
        <f>IFERROR(VLOOKUP(G1139&amp;"",PLANO!A:B,2,FALSE),"CONTA NAO EXISTE NO PLANO")</f>
        <v/>
      </c>
      <c r="I1139" t="inlineStr">
        <is>
          <t>357</t>
        </is>
      </c>
      <c r="J1139" t="inlineStr">
        <is>
          <t>OK</t>
        </is>
      </c>
      <c r="K1139" t="inlineStr">
        <is>
          <t>categoria Cosmos 87</t>
        </is>
      </c>
      <c r="L1139" t="inlineStr">
        <is>
          <t>BANCO ITAU UNIBANCO | 115/87 | PGTO REF.CARTÃO 2941 - PARCIAL</t>
        </is>
      </c>
      <c r="M1139" t="inlineStr">
        <is>
          <t>BANCO ITAU UNIBANCO - PGTO REF.CARTÃO 2941 - PARCIAL</t>
        </is>
      </c>
    </row>
    <row r="1140">
      <c r="A1140" s="4" t="n">
        <v>1139</v>
      </c>
      <c r="B1140" s="4" t="inlineStr">
        <is>
          <t>03/06/2026</t>
        </is>
      </c>
      <c r="C1140" s="4" t="inlineStr">
        <is>
          <t>BEAUTY FAIR EVENTOS E PROMOCOES LTDA</t>
        </is>
      </c>
      <c r="D1140" s="5" t="n">
        <v>-13019.04</v>
      </c>
      <c r="E1140" s="4" t="inlineStr">
        <is>
          <t>506</t>
        </is>
      </c>
      <c r="F1140" s="4" t="inlineStr">
        <is>
          <t>FORNECEDORES DIVERSOS</t>
        </is>
      </c>
      <c r="G1140" s="6" t="inlineStr">
        <is>
          <t>688</t>
        </is>
      </c>
      <c r="H1140" s="4">
        <f>IFERROR(VLOOKUP(G1140&amp;"",PLANO!A:B,2,FALSE),"CONTA NAO EXISTE NO PLANO")</f>
        <v/>
      </c>
      <c r="I1140" s="4" t="inlineStr">
        <is>
          <t>506</t>
        </is>
      </c>
      <c r="J1140" s="4" t="inlineStr">
        <is>
          <t>AJUSTADO</t>
        </is>
      </c>
      <c r="K1140" s="4" t="inlineStr">
        <is>
          <t>Beauty Fair -&gt; 688 FEIRAS E EVENTOS</t>
        </is>
      </c>
      <c r="L1140" s="4" t="inlineStr">
        <is>
          <t>BEAUTY FAIR EVENTOS E PROMOCOES LTDA | 115/184 | PGTO REF.ACORDO EM 30/04/2026 DE PAGAMENTO DO CTR 000011343 - FIRMADO EM 15-09-2025, FOI EFETUADO PAGAMENTOS DAS PARCELA</t>
        </is>
      </c>
      <c r="M1140" s="4" t="inlineStr">
        <is>
          <t>BEAUTY FAIR EVENTOS E PROMOCOES LTDA - PGTO REF.ACORDO EM 30/04/2026 DE PAGAMENTO DO CTR 000011343 - FIRMADO EM 15-09-2</t>
        </is>
      </c>
    </row>
    <row r="1141">
      <c r="A1141" s="11" t="n">
        <v>1140</v>
      </c>
      <c r="B1141" s="11" t="inlineStr">
        <is>
          <t>03/06/2026</t>
        </is>
      </c>
      <c r="C1141" s="11" t="inlineStr">
        <is>
          <t>DECORAR COMERCIO E PRESTACAO DE SERVICOS LTDA</t>
        </is>
      </c>
      <c r="D1141" s="12" t="n">
        <v>-1950</v>
      </c>
      <c r="E1141" s="11" t="inlineStr">
        <is>
          <t>506</t>
        </is>
      </c>
      <c r="F1141" s="11" t="inlineStr">
        <is>
          <t>FORNECEDORES DIVERSOS</t>
        </is>
      </c>
      <c r="G1141" s="13" t="inlineStr">
        <is>
          <t>506</t>
        </is>
      </c>
      <c r="H1141" s="11">
        <f>IFERROR(VLOOKUP(G1141&amp;"",PLANO!A:B,2,FALSE),"CONTA NAO EXISTE NO PLANO")</f>
        <v/>
      </c>
      <c r="I1141" s="11" t="inlineStr">
        <is>
          <t>362</t>
        </is>
      </c>
      <c r="J1141" s="11" t="inlineStr">
        <is>
          <t>MANTIDO</t>
        </is>
      </c>
      <c r="K1141" s="11" t="inlineStr">
        <is>
          <t>Cosmos: servicos/comissao lancado em 506 - se houver NFS-e lancada no fiscal, 506 esta certo | mantida a conta atual (sem informacao que justifique troca)</t>
        </is>
      </c>
      <c r="L1141" s="11" t="inlineStr">
        <is>
          <t>DECORAR COMERCIO E PRESTACAO DE SERVICOS LTDA | 115/81 | PGTO REF.SERVIÇOS PRESADOS</t>
        </is>
      </c>
      <c r="M1141" s="11" t="inlineStr">
        <is>
          <t>DECORAR COMERCIO E PRESTACAO DE SERVICOS LTDA - PGTO REF.SERVIÇOS PRESADOS</t>
        </is>
      </c>
    </row>
    <row r="1142">
      <c r="A1142" s="4" t="n">
        <v>1141</v>
      </c>
      <c r="B1142" s="4" t="inlineStr">
        <is>
          <t>03/06/2026</t>
        </is>
      </c>
      <c r="C1142" s="4" t="inlineStr">
        <is>
          <t>MARCIO ANTONIO RUSSO 64538427934</t>
        </is>
      </c>
      <c r="D1142" s="5" t="n">
        <v>-3258.55</v>
      </c>
      <c r="E1142" s="4" t="inlineStr">
        <is>
          <t>506</t>
        </is>
      </c>
      <c r="F1142" s="4" t="inlineStr">
        <is>
          <t>FORNECEDORES DIVERSOS</t>
        </is>
      </c>
      <c r="G1142" s="6" t="inlineStr">
        <is>
          <t>362</t>
        </is>
      </c>
      <c r="H1142" s="4">
        <f>IFERROR(VLOOKUP(G1142&amp;"",PLANO!A:B,2,FALSE),"CONTA NAO EXISTE NO PLANO")</f>
        <v/>
      </c>
      <c r="I1142" s="4" t="inlineStr">
        <is>
          <t>362</t>
        </is>
      </c>
      <c r="J1142" s="4" t="inlineStr">
        <is>
          <t>AJUSTADO</t>
        </is>
      </c>
      <c r="K1142" s="4" t="inlineStr">
        <is>
          <t>pessoa fisica - servico/comissao sem nota no fiscal</t>
        </is>
      </c>
      <c r="L1142" s="4" t="inlineStr">
        <is>
          <t>MARCIO ANTONIO RUSSO 64538427934 | 115/81 | PGTO REF.SERVIÇOS PRESTADOS CONF.CONTRATO</t>
        </is>
      </c>
      <c r="M1142" s="4" t="inlineStr">
        <is>
          <t>MARCIO ANTONIO RUSSO 64538427934 - PGTO REF.SERVIÇOS PRESTADOS CONF.CONTRATO</t>
        </is>
      </c>
    </row>
    <row r="1143">
      <c r="A1143" s="4" t="n">
        <v>1142</v>
      </c>
      <c r="B1143" s="4" t="inlineStr">
        <is>
          <t>03/06/2026</t>
        </is>
      </c>
      <c r="C1143" s="4" t="inlineStr">
        <is>
          <t>BRUNA RAMOS LEOPOLDO DA SILVA</t>
        </is>
      </c>
      <c r="D1143" s="5" t="n">
        <v>-1000</v>
      </c>
      <c r="E1143" s="4" t="inlineStr">
        <is>
          <t>506</t>
        </is>
      </c>
      <c r="F1143" s="4" t="inlineStr">
        <is>
          <t>FORNECEDORES DIVERSOS</t>
        </is>
      </c>
      <c r="G1143" s="6" t="inlineStr">
        <is>
          <t>362</t>
        </is>
      </c>
      <c r="H1143" s="4">
        <f>IFERROR(VLOOKUP(G1143&amp;"",PLANO!A:B,2,FALSE),"CONTA NAO EXISTE NO PLANO")</f>
        <v/>
      </c>
      <c r="I1143" s="4" t="inlineStr">
        <is>
          <t>362</t>
        </is>
      </c>
      <c r="J1143" s="4" t="inlineStr">
        <is>
          <t>AJUSTADO</t>
        </is>
      </c>
      <c r="K1143" s="4" t="inlineStr">
        <is>
          <t>pessoa fisica - servico/comissao sem nota no fiscal</t>
        </is>
      </c>
      <c r="L1143" s="4" t="inlineStr">
        <is>
          <t>BRUNA RAMOS LEOPOLDO DA SILVA | 115/181 | PGTO REF.SERVIÇOS PRESTADOS DEPARTAMENTO JURÍDICO</t>
        </is>
      </c>
      <c r="M1143" s="4" t="inlineStr">
        <is>
          <t>BRUNA RAMOS LEOPOLDO DA SILVA - PGTO REF.SERVIÇOS PRESTADOS DEPARTAMENTO JURÍDICO</t>
        </is>
      </c>
    </row>
    <row r="1144">
      <c r="A1144" s="4" t="n">
        <v>1143</v>
      </c>
      <c r="B1144" s="4" t="inlineStr">
        <is>
          <t>03/06/2026</t>
        </is>
      </c>
      <c r="C1144" s="4" t="inlineStr">
        <is>
          <t>FRANCIS KODAMA</t>
        </is>
      </c>
      <c r="D1144" s="5" t="n">
        <v>-1625</v>
      </c>
      <c r="E1144" s="4" t="inlineStr">
        <is>
          <t>506</t>
        </is>
      </c>
      <c r="F1144" s="4" t="inlineStr">
        <is>
          <t>FORNECEDORES DIVERSOS</t>
        </is>
      </c>
      <c r="G1144" s="6" t="inlineStr">
        <is>
          <t>362</t>
        </is>
      </c>
      <c r="H1144" s="4">
        <f>IFERROR(VLOOKUP(G1144&amp;"",PLANO!A:B,2,FALSE),"CONTA NAO EXISTE NO PLANO")</f>
        <v/>
      </c>
      <c r="I1144" s="4" t="inlineStr">
        <is>
          <t>362</t>
        </is>
      </c>
      <c r="J1144" s="4" t="inlineStr">
        <is>
          <t>AJUSTADO</t>
        </is>
      </c>
      <c r="K1144" s="4" t="inlineStr">
        <is>
          <t>pessoa fisica - servico/comissao sem nota no fiscal</t>
        </is>
      </c>
      <c r="L1144" s="4" t="inlineStr">
        <is>
          <t>FRANCIS KODAMA | 115/170 | PGTO REF.SERVIÇOS PRESTADOS</t>
        </is>
      </c>
      <c r="M1144" s="4" t="inlineStr">
        <is>
          <t>FRANCIS KODAMA - PGTO REF.SERVIÇOS PRESTADOS</t>
        </is>
      </c>
    </row>
    <row r="1145">
      <c r="A1145" s="4" t="n">
        <v>1144</v>
      </c>
      <c r="B1145" s="4" t="inlineStr">
        <is>
          <t>03/06/2026</t>
        </is>
      </c>
      <c r="C1145" s="4" t="inlineStr">
        <is>
          <t>JOELMA APARECIDA NASCIMENTO LUDOVIC</t>
        </is>
      </c>
      <c r="D1145" s="5" t="n">
        <v>-1000</v>
      </c>
      <c r="E1145" s="4" t="inlineStr">
        <is>
          <t>506</t>
        </is>
      </c>
      <c r="F1145" s="4" t="inlineStr">
        <is>
          <t>FORNECEDORES DIVERSOS</t>
        </is>
      </c>
      <c r="G1145" s="6" t="inlineStr">
        <is>
          <t>362</t>
        </is>
      </c>
      <c r="H1145" s="4">
        <f>IFERROR(VLOOKUP(G1145&amp;"",PLANO!A:B,2,FALSE),"CONTA NAO EXISTE NO PLANO")</f>
        <v/>
      </c>
      <c r="I1145" s="4" t="inlineStr">
        <is>
          <t>362</t>
        </is>
      </c>
      <c r="J1145" s="4" t="inlineStr">
        <is>
          <t>AJUSTADO</t>
        </is>
      </c>
      <c r="K1145" s="4" t="inlineStr">
        <is>
          <t>pessoa fisica - servico/comissao sem nota no fiscal</t>
        </is>
      </c>
      <c r="L1145" s="4" t="inlineStr">
        <is>
          <t>JOELMA APARECIDA NASCIMENTO LUDOVIC | 115/171 | PGTO REF.SERVIÇOS PRESTADO CONF.CONTRATO 02-2026</t>
        </is>
      </c>
      <c r="M1145" s="4" t="inlineStr">
        <is>
          <t>JOELMA APARECIDA NASCIMENTO LUDOVIC - PGTO REF.SERVIÇOS PRESTADO CONF.CONTRATO 02-2026</t>
        </is>
      </c>
    </row>
    <row r="1146">
      <c r="A1146" s="4" t="n">
        <v>1145</v>
      </c>
      <c r="B1146" s="4" t="inlineStr">
        <is>
          <t>03/06/2026</t>
        </is>
      </c>
      <c r="C1146" s="4" t="inlineStr">
        <is>
          <t>PROTECTION ASSESSORIA EMPRESARIAL LTDA</t>
        </is>
      </c>
      <c r="D1146" s="5" t="n">
        <v>-3000</v>
      </c>
      <c r="E1146" s="4" t="inlineStr">
        <is>
          <t>361</t>
        </is>
      </c>
      <c r="F1146" s="4" t="inlineStr">
        <is>
          <t>ASSISTÊNCIA CONTÁBIL</t>
        </is>
      </c>
      <c r="G1146" s="6" t="inlineStr">
        <is>
          <t>361</t>
        </is>
      </c>
      <c r="H1146" s="4">
        <f>IFERROR(VLOOKUP(G1146&amp;"",PLANO!A:B,2,FALSE),"CONTA NAO EXISTE NO PLANO")</f>
        <v/>
      </c>
      <c r="I1146" s="4" t="inlineStr">
        <is>
          <t>361</t>
        </is>
      </c>
      <c r="J1146" s="4" t="inlineStr">
        <is>
          <t>AJUSTADO</t>
        </is>
      </c>
      <c r="K1146" s="4" t="inlineStr">
        <is>
          <t>honorarios contabeis (Protection)</t>
        </is>
      </c>
      <c r="L1146" s="4" t="inlineStr">
        <is>
          <t>PROTECTION ASSESSORIA EMPRESARIAL LTDA | 115/45 | PGTO REF.SERVIÇOS PRESTADOS DE CONTABILIDADE DAS EMPRESAS: COSMETICI, COSMETICON, FVS E GULA</t>
        </is>
      </c>
      <c r="M1146" s="4" t="inlineStr">
        <is>
          <t>PROTECTION ASSESSORIA EMPRESARIAL LTDA - PGTO REF.SERVIÇOS PRESTADOS DE CONTABILIDADE DAS EMPRESAS: COSMETICI, COSMETICON</t>
        </is>
      </c>
    </row>
    <row r="1147">
      <c r="A1147" s="4" t="n">
        <v>1146</v>
      </c>
      <c r="B1147" s="4" t="inlineStr">
        <is>
          <t>03/06/2026</t>
        </is>
      </c>
      <c r="C1147" s="4" t="inlineStr">
        <is>
          <t>RICARDO RICCI</t>
        </is>
      </c>
      <c r="D1147" s="5" t="n">
        <v>-2000</v>
      </c>
      <c r="E1147" s="4" t="inlineStr">
        <is>
          <t>506</t>
        </is>
      </c>
      <c r="F1147" s="4" t="inlineStr">
        <is>
          <t>FORNECEDORES DIVERSOS</t>
        </is>
      </c>
      <c r="G1147" s="6" t="inlineStr">
        <is>
          <t>308</t>
        </is>
      </c>
      <c r="H1147" s="4">
        <f>IFERROR(VLOOKUP(G1147&amp;"",PLANO!A:B,2,FALSE),"CONTA NAO EXISTE NO PLANO")</f>
        <v/>
      </c>
      <c r="I1147" s="4" t="inlineStr">
        <is>
          <t>362</t>
        </is>
      </c>
      <c r="J1147" s="4" t="inlineStr">
        <is>
          <t>AJUSTADO</t>
        </is>
      </c>
      <c r="K1147" s="4" t="inlineStr">
        <is>
          <t>comissao sobre vendas -&gt; 308 COMISSOES (conta existente no plano)</t>
        </is>
      </c>
      <c r="L1147" s="4" t="inlineStr">
        <is>
          <t>RICARDO RICCI | 115/53 | PGTO REF.COMISSÃO S/VENDAS</t>
        </is>
      </c>
      <c r="M1147" s="4" t="inlineStr">
        <is>
          <t>RICARDO RICCI - PGTO REF.COMISSÃO S/VENDAS</t>
        </is>
      </c>
    </row>
    <row r="1148">
      <c r="A1148" t="n">
        <v>1147</v>
      </c>
      <c r="B1148" t="inlineStr">
        <is>
          <t>03/06/2026</t>
        </is>
      </c>
      <c r="C1148" t="inlineStr">
        <is>
          <t>SUZAN CRISTINA ROSSI</t>
        </is>
      </c>
      <c r="D1148" s="7" t="n">
        <v>-2000</v>
      </c>
      <c r="E1148" t="inlineStr">
        <is>
          <t>362</t>
        </is>
      </c>
      <c r="F1148" t="inlineStr">
        <is>
          <t>SERVIÇOS PRESTADOS POR TERCEIROS</t>
        </is>
      </c>
      <c r="G1148" s="2" t="inlineStr">
        <is>
          <t>362</t>
        </is>
      </c>
      <c r="H1148">
        <f>IFERROR(VLOOKUP(G1148&amp;"",PLANO!A:B,2,FALSE),"CONTA NAO EXISTE NO PLANO")</f>
        <v/>
      </c>
      <c r="I1148" t="inlineStr">
        <is>
          <t>362</t>
        </is>
      </c>
      <c r="J1148" t="inlineStr">
        <is>
          <t>OK</t>
        </is>
      </c>
      <c r="K1148" t="inlineStr">
        <is>
          <t>servico prestado</t>
        </is>
      </c>
      <c r="L1148" t="inlineStr">
        <is>
          <t>SUZAN CRISTINA ROSSI | 115/81 | PGTO REF.SERVIÇOS PRESTADOS CONF.CONTRATO</t>
        </is>
      </c>
      <c r="M1148" t="inlineStr">
        <is>
          <t>SUZAN CRISTINA ROSSI - PGTO REF.SERVIÇOS PRESTADOS CONF.CONTRATO</t>
        </is>
      </c>
    </row>
    <row r="1149">
      <c r="A1149" s="8" t="n">
        <v>1148</v>
      </c>
      <c r="B1149" s="8" t="inlineStr">
        <is>
          <t>03/06/2026</t>
        </is>
      </c>
      <c r="C1149" s="8" t="inlineStr">
        <is>
          <t>THIAGO TAIT DAS CHAGAS</t>
        </is>
      </c>
      <c r="D1149" s="9" t="n">
        <v>-937.5700000000001</v>
      </c>
      <c r="E1149" s="8" t="inlineStr">
        <is>
          <t>25</t>
        </is>
      </c>
      <c r="F1149" s="8" t="inlineStr">
        <is>
          <t>ADIANTAMENTO DE SALÁRIO</t>
        </is>
      </c>
      <c r="G1149" s="10" t="inlineStr">
        <is>
          <t>362</t>
        </is>
      </c>
      <c r="H1149" s="8">
        <f>IFERROR(VLOOKUP(G1149&amp;"",PLANO!A:B,2,FALSE),"CONTA NAO EXISTE NO PLANO")</f>
        <v/>
      </c>
      <c r="I1149" s="8" t="inlineStr">
        <is>
          <t>362</t>
        </is>
      </c>
      <c r="J1149" s="8" t="inlineStr">
        <is>
          <t>CORRIGIR</t>
        </is>
      </c>
      <c r="K1149" s="8" t="inlineStr">
        <is>
          <t>Cosmos: servicos prestados/comissao (nao e folha/adiantamento)</t>
        </is>
      </c>
      <c r="L1149" s="8" t="inlineStr">
        <is>
          <t>THIAGO TAIT DAS CHAGAS | 115/81 | PGTO REF.SERVIÇOS PRESTADOS CONF.CONTRATO</t>
        </is>
      </c>
      <c r="M1149" s="8" t="inlineStr">
        <is>
          <t>THIAGO TAIT DAS CHAGAS - PGTO REF.SERVIÇOS PRESTADOS CONF.CONTRATO</t>
        </is>
      </c>
    </row>
    <row r="1150">
      <c r="A1150" s="11" t="n">
        <v>1149</v>
      </c>
      <c r="B1150" s="11" t="inlineStr">
        <is>
          <t>03/06/2026</t>
        </is>
      </c>
      <c r="C1150" s="11" t="inlineStr">
        <is>
          <t>CARLOS ALEXANDRE MAZZONI</t>
        </is>
      </c>
      <c r="D1150" s="12" t="n">
        <v>-500</v>
      </c>
      <c r="E1150" s="11" t="inlineStr">
        <is>
          <t>362</t>
        </is>
      </c>
      <c r="F1150" s="11" t="inlineStr">
        <is>
          <t>SERVIÇOS PRESTADOS POR TERCEIROS</t>
        </is>
      </c>
      <c r="G1150" s="13" t="inlineStr">
        <is>
          <t>362</t>
        </is>
      </c>
      <c r="H1150" s="11">
        <f>IFERROR(VLOOKUP(G1150&amp;"",PLANO!A:B,2,FALSE),"CONTA NAO EXISTE NO PLANO")</f>
        <v/>
      </c>
      <c r="I1150" s="11" t="inlineStr">
        <is>
          <t>362</t>
        </is>
      </c>
      <c r="J1150" s="11" t="inlineStr">
        <is>
          <t>MANTIDO</t>
        </is>
      </c>
      <c r="K1150" s="11" t="inlineStr">
        <is>
          <t>socios Mazzoni (fora do contrato social) - mantido como estava</t>
        </is>
      </c>
      <c r="L1150" s="11" t="inlineStr">
        <is>
          <t>CARLOS ALEXANDRE MAZZONI | 115/33 | PGTO REF.PRO-LABORE</t>
        </is>
      </c>
      <c r="M1150" s="11" t="inlineStr">
        <is>
          <t>CARLOS ALEXANDRE MAZZONI - PGTO REF.PRO-LABORE</t>
        </is>
      </c>
    </row>
    <row r="1151">
      <c r="A1151" s="8" t="n">
        <v>1150</v>
      </c>
      <c r="B1151" s="8" t="inlineStr">
        <is>
          <t>03/06/2026</t>
        </is>
      </c>
      <c r="C1151" s="8" t="inlineStr">
        <is>
          <t>SKIN LAB INDUSTRIA E COMERCIO DE COSMETICOS LTDA</t>
        </is>
      </c>
      <c r="D1151" s="9" t="n">
        <v>-6838.25</v>
      </c>
      <c r="E1151" s="8" t="inlineStr">
        <is>
          <t>493</t>
        </is>
      </c>
      <c r="F1151" s="8" t="inlineStr">
        <is>
          <t>DESPESAS DIVERSAS</t>
        </is>
      </c>
      <c r="G1151" s="10" t="inlineStr">
        <is>
          <t>506</t>
        </is>
      </c>
      <c r="H1151" s="8">
        <f>IFERROR(VLOOKUP(G1151&amp;"",PLANO!A:B,2,FALSE),"CONTA NAO EXISTE NO PLANO")</f>
        <v/>
      </c>
      <c r="I1151" s="8" t="inlineStr">
        <is>
          <t>506</t>
        </is>
      </c>
      <c r="J1151" s="8" t="inlineStr">
        <is>
          <t>CORRIGIR</t>
        </is>
      </c>
      <c r="K1151" s="8" t="inlineStr">
        <is>
          <t>fornecedor com NF (Cosmos: compra MP/embalagem) - pagamento deve baixar fornecedores 506</t>
        </is>
      </c>
      <c r="L1151" s="8" t="inlineStr">
        <is>
          <t xml:space="preserve">SKIN LAB INDUSTRIA E COMERCIO DE COSMETICOS LTDA | 113/78 | </t>
        </is>
      </c>
      <c r="M1151" s="8" t="inlineStr">
        <is>
          <t>SKIN LAB INDUSTRIA E COMERCIO DE COSMETICOS LTDA</t>
        </is>
      </c>
    </row>
    <row r="1152">
      <c r="A1152" s="4" t="n">
        <v>1151</v>
      </c>
      <c r="B1152" s="4" t="inlineStr">
        <is>
          <t>03/06/2026</t>
        </is>
      </c>
      <c r="C1152" s="4" t="inlineStr">
        <is>
          <t>PLUS SANTE</t>
        </is>
      </c>
      <c r="D1152" s="5" t="n">
        <v>-354.66</v>
      </c>
      <c r="E1152" s="4" t="inlineStr">
        <is>
          <t>653</t>
        </is>
      </c>
      <c r="F1152" s="4" t="inlineStr">
        <is>
          <t>PLANO DE SAÚDE EMPREGADO</t>
        </is>
      </c>
      <c r="G1152" s="6" t="inlineStr">
        <is>
          <t>653</t>
        </is>
      </c>
      <c r="H1152" s="4">
        <f>IFERROR(VLOOKUP(G1152&amp;"",PLANO!A:B,2,FALSE),"CONTA NAO EXISTE NO PLANO")</f>
        <v/>
      </c>
      <c r="I1152" s="4" t="inlineStr">
        <is>
          <t>653</t>
        </is>
      </c>
      <c r="J1152" s="4" t="inlineStr">
        <is>
          <t>AJUSTADO</t>
        </is>
      </c>
      <c r="K1152" s="4" t="inlineStr">
        <is>
          <t>atendimento medico empregados</t>
        </is>
      </c>
      <c r="L1152" s="4" t="inlineStr">
        <is>
          <t>PLUS SANTE | 115/45 | PGTO REF.SERVIÇOS PRESTADOS DE ATENDIMENTO E ENCAMINHAMENTO CONF.CONTRATO</t>
        </is>
      </c>
      <c r="M1152" s="4" t="inlineStr">
        <is>
          <t>PLUS SANTE - PGTO REF.SERVIÇOS PRESTADOS DE ATENDIMENTO E ENCAMINHAMENTO CONF.CONTRATO</t>
        </is>
      </c>
    </row>
    <row r="1153">
      <c r="A1153" s="11" t="n">
        <v>1152</v>
      </c>
      <c r="B1153" s="11" t="inlineStr">
        <is>
          <t>03/06/2026</t>
        </is>
      </c>
      <c r="C1153" s="11" t="inlineStr">
        <is>
          <t>M. GRINGS E CIA LTDA ME</t>
        </is>
      </c>
      <c r="D1153" s="12" t="n">
        <v>-1169.25</v>
      </c>
      <c r="E1153" s="11" t="inlineStr">
        <is>
          <t>506</t>
        </is>
      </c>
      <c r="F1153" s="11" t="inlineStr">
        <is>
          <t>FORNECEDORES DIVERSOS</t>
        </is>
      </c>
      <c r="G1153" s="13" t="inlineStr">
        <is>
          <t>506</t>
        </is>
      </c>
      <c r="H1153" s="11">
        <f>IFERROR(VLOOKUP(G1153&amp;"",PLANO!A:B,2,FALSE),"CONTA NAO EXISTE NO PLANO")</f>
        <v/>
      </c>
      <c r="I1153" s="11" t="inlineStr">
        <is>
          <t>506</t>
        </is>
      </c>
      <c r="J1153" s="11" t="inlineStr">
        <is>
          <t>MANTIDO</t>
        </is>
      </c>
      <c r="K1153" s="11" t="inlineStr">
        <is>
          <t>sistemas/VR beneficios/desenvolvimento | mantida a conta atual (sem informacao que justifique troca)</t>
        </is>
      </c>
      <c r="L1153" s="11" t="inlineStr">
        <is>
          <t>M. GRINGS E CIA LTDA ME | 115/47 | PGTO REF.LOCAÇÃO DE IMPRESSORAS</t>
        </is>
      </c>
      <c r="M1153" s="11" t="inlineStr">
        <is>
          <t>M. GRINGS E CIA LTDA ME - PGTO REF.LOCAÇÃO DE IMPRESSORAS</t>
        </is>
      </c>
    </row>
    <row r="1154">
      <c r="A1154" s="4" t="n">
        <v>1153</v>
      </c>
      <c r="B1154" s="4" t="inlineStr">
        <is>
          <t>03/06/2026</t>
        </is>
      </c>
      <c r="C1154" s="4" t="inlineStr">
        <is>
          <t>CRMTECH SISTEMAS DE INFORMACAO LTDA</t>
        </is>
      </c>
      <c r="D1154" s="5" t="n">
        <v>-2922.38</v>
      </c>
      <c r="E1154" s="4" t="inlineStr">
        <is>
          <t>640</t>
        </is>
      </c>
      <c r="F1154" s="4" t="inlineStr">
        <is>
          <t>SOFTWARE/SISTEMA</t>
        </is>
      </c>
      <c r="G1154" s="6" t="inlineStr">
        <is>
          <t>640</t>
        </is>
      </c>
      <c r="H1154" s="4">
        <f>IFERROR(VLOOKUP(G1154&amp;"",PLANO!A:B,2,FALSE),"CONTA NAO EXISTE NO PLANO")</f>
        <v/>
      </c>
      <c r="I1154" s="4" t="inlineStr">
        <is>
          <t>640</t>
        </is>
      </c>
      <c r="J1154" s="4" t="inlineStr">
        <is>
          <t>AJUSTADO</t>
        </is>
      </c>
      <c r="K1154" s="4" t="inlineStr">
        <is>
          <t>software/sistema (Cosmos cat. 47)</t>
        </is>
      </c>
      <c r="L1154" s="4" t="inlineStr">
        <is>
          <t>CRMTECH SISTEMAS DE INFORMACAO LTDA | 115/47 | PGTO REF.UTILIZAÇÃO DO SISTEMA</t>
        </is>
      </c>
      <c r="M1154" s="4" t="inlineStr">
        <is>
          <t>CRMTECH SISTEMAS DE INFORMACAO LTDA - PGTO REF.UTILIZAÇÃO DO SISTEMA</t>
        </is>
      </c>
    </row>
    <row r="1155">
      <c r="A1155" s="11" t="n">
        <v>1154</v>
      </c>
      <c r="B1155" s="11" t="inlineStr">
        <is>
          <t>03/06/2026</t>
        </is>
      </c>
      <c r="C1155" s="11" t="inlineStr">
        <is>
          <t>MICHEL SCANDER MAZZONI</t>
        </is>
      </c>
      <c r="D1155" s="12" t="n">
        <v>-550.62</v>
      </c>
      <c r="E1155" s="11" t="inlineStr">
        <is>
          <t>362</t>
        </is>
      </c>
      <c r="F1155" s="11" t="inlineStr">
        <is>
          <t>SERVIÇOS PRESTADOS POR TERCEIROS</t>
        </is>
      </c>
      <c r="G1155" s="13" t="inlineStr">
        <is>
          <t>362</t>
        </is>
      </c>
      <c r="H1155" s="11">
        <f>IFERROR(VLOOKUP(G1155&amp;"",PLANO!A:B,2,FALSE),"CONTA NAO EXISTE NO PLANO")</f>
        <v/>
      </c>
      <c r="I1155" s="11" t="inlineStr">
        <is>
          <t>362</t>
        </is>
      </c>
      <c r="J1155" s="11" t="inlineStr">
        <is>
          <t>MANTIDO</t>
        </is>
      </c>
      <c r="K1155" s="11" t="inlineStr">
        <is>
          <t>socios Mazzoni (fora do contrato social) - mantido como estava</t>
        </is>
      </c>
      <c r="L1155" s="11" t="inlineStr">
        <is>
          <t>MICHEL SCANDER MAZZONI | 115/33 | PGTO PRUDENTIAL</t>
        </is>
      </c>
      <c r="M1155" s="11" t="inlineStr">
        <is>
          <t>MICHEL SCANDER MAZZONI - PGTO PRUDENTIAL</t>
        </is>
      </c>
    </row>
    <row r="1156">
      <c r="A1156" t="n">
        <v>1155</v>
      </c>
      <c r="B1156" t="inlineStr">
        <is>
          <t>05/06/2026</t>
        </is>
      </c>
      <c r="C1156" t="inlineStr">
        <is>
          <t>MOV TÍT COB DISP 05/06S</t>
        </is>
      </c>
      <c r="D1156" s="7" t="n">
        <v>629.71</v>
      </c>
      <c r="E1156" t="inlineStr">
        <is>
          <t>504</t>
        </is>
      </c>
      <c r="F1156" t="inlineStr">
        <is>
          <t>CLIENTES DIVERSOS</t>
        </is>
      </c>
      <c r="G1156" s="2" t="inlineStr">
        <is>
          <t>504</t>
        </is>
      </c>
      <c r="H1156">
        <f>IFERROR(VLOOKUP(G1156&amp;"",PLANO!A:B,2,FALSE),"CONTA NAO EXISTE NO PLANO")</f>
        <v/>
      </c>
      <c r="I1156" t="inlineStr">
        <is>
          <t>504</t>
        </is>
      </c>
      <c r="J1156" t="inlineStr">
        <is>
          <t>SEM COSMOS</t>
        </is>
      </c>
      <c r="K1156" t="inlineStr"/>
      <c r="L1156" t="inlineStr"/>
      <c r="M1156" t="inlineStr">
        <is>
          <t>MOV TÍT COB DISP 05/06S</t>
        </is>
      </c>
    </row>
    <row r="1157">
      <c r="A1157" t="n">
        <v>1156</v>
      </c>
      <c r="B1157" t="inlineStr">
        <is>
          <t>05/06/2026</t>
        </is>
      </c>
      <c r="C1157" t="inlineStr">
        <is>
          <t>PIX TRANSF MARIA D05/06</t>
        </is>
      </c>
      <c r="D1157" s="7" t="n">
        <v>305.9</v>
      </c>
      <c r="E1157" t="inlineStr">
        <is>
          <t>504</t>
        </is>
      </c>
      <c r="F1157" t="inlineStr">
        <is>
          <t>CLIENTES DIVERSOS</t>
        </is>
      </c>
      <c r="G1157" s="2" t="inlineStr">
        <is>
          <t>504</t>
        </is>
      </c>
      <c r="H1157">
        <f>IFERROR(VLOOKUP(G1157&amp;"",PLANO!A:B,2,FALSE),"CONTA NAO EXISTE NO PLANO")</f>
        <v/>
      </c>
      <c r="I1157" t="inlineStr">
        <is>
          <t>504</t>
        </is>
      </c>
      <c r="J1157" t="inlineStr">
        <is>
          <t>SEM COSMOS</t>
        </is>
      </c>
      <c r="K1157" t="inlineStr"/>
      <c r="L1157" t="inlineStr"/>
      <c r="M1157" t="inlineStr">
        <is>
          <t>PIX TRANSF MARIA D05/06</t>
        </is>
      </c>
    </row>
    <row r="1158">
      <c r="A1158" t="n">
        <v>1157</v>
      </c>
      <c r="B1158" t="inlineStr">
        <is>
          <t>05/06/2026</t>
        </is>
      </c>
      <c r="C1158" t="inlineStr">
        <is>
          <t>EMERSON FERNANDO MENDES</t>
        </is>
      </c>
      <c r="D1158" s="7" t="n">
        <v>-2000</v>
      </c>
      <c r="E1158" t="inlineStr">
        <is>
          <t>362</t>
        </is>
      </c>
      <c r="F1158" t="inlineStr">
        <is>
          <t>SERVIÇOS PRESTADOS POR TERCEIROS</t>
        </is>
      </c>
      <c r="G1158" s="2" t="inlineStr">
        <is>
          <t>362</t>
        </is>
      </c>
      <c r="H1158">
        <f>IFERROR(VLOOKUP(G1158&amp;"",PLANO!A:B,2,FALSE),"CONTA NAO EXISTE NO PLANO")</f>
        <v/>
      </c>
      <c r="I1158" t="inlineStr">
        <is>
          <t>362</t>
        </is>
      </c>
      <c r="J1158" t="inlineStr">
        <is>
          <t>OK</t>
        </is>
      </c>
      <c r="K1158" t="inlineStr">
        <is>
          <t>servico prestado</t>
        </is>
      </c>
      <c r="L1158" t="inlineStr">
        <is>
          <t>EMERSON FERNANDO MENDES | 115/171 | PGTO REF.PRESTAÇÃO DE SERVIÇOS OCNF.CONTRATO</t>
        </is>
      </c>
      <c r="M1158" t="inlineStr">
        <is>
          <t>EMERSON FERNANDO MENDES - PGTO REF.PRESTAÇÃO DE SERVIÇOS OCNF.CONTRATO</t>
        </is>
      </c>
    </row>
    <row r="1159">
      <c r="A1159" t="n">
        <v>1158</v>
      </c>
      <c r="B1159" t="inlineStr">
        <is>
          <t>05/06/2026</t>
        </is>
      </c>
      <c r="C1159" t="inlineStr">
        <is>
          <t>RODONAVES TRANSPORTES E ENCOMENDAS LTDA</t>
        </is>
      </c>
      <c r="D1159" s="7" t="n">
        <v>-304.28</v>
      </c>
      <c r="E1159" t="inlineStr">
        <is>
          <t>312</t>
        </is>
      </c>
      <c r="F1159" t="inlineStr">
        <is>
          <t>FRETES E CARRETOS</t>
        </is>
      </c>
      <c r="G1159" s="2" t="inlineStr">
        <is>
          <t>312</t>
        </is>
      </c>
      <c r="H1159">
        <f>IFERROR(VLOOKUP(G1159&amp;"",PLANO!A:B,2,FALSE),"CONTA NAO EXISTE NO PLANO")</f>
        <v/>
      </c>
      <c r="I1159" t="inlineStr">
        <is>
          <t>312</t>
        </is>
      </c>
      <c r="J1159" t="inlineStr">
        <is>
          <t>OK</t>
        </is>
      </c>
      <c r="K1159" t="inlineStr">
        <is>
          <t>categoria Cosmos 97</t>
        </is>
      </c>
      <c r="L1159" t="inlineStr">
        <is>
          <t>RODONAVES TRANSPORTES E ENCOMENDAS LTDA | 115/97 | PGTO REF.FRETE S/NFE</t>
        </is>
      </c>
      <c r="M1159" t="inlineStr">
        <is>
          <t>RODONAVES TRANSPORTES E ENCOMENDAS LTDA - PGTO REF.FRETE S/NFE</t>
        </is>
      </c>
    </row>
    <row r="1160">
      <c r="A1160" t="n">
        <v>1159</v>
      </c>
      <c r="B1160" t="inlineStr">
        <is>
          <t>05/06/2026</t>
        </is>
      </c>
      <c r="C1160" t="inlineStr">
        <is>
          <t>RODONAVES TRANSPORTES E ENCOMENDAS LTDA</t>
        </is>
      </c>
      <c r="D1160" s="7" t="n">
        <v>-158.28</v>
      </c>
      <c r="E1160" t="inlineStr">
        <is>
          <t>312</t>
        </is>
      </c>
      <c r="F1160" t="inlineStr">
        <is>
          <t>FRETES E CARRETOS</t>
        </is>
      </c>
      <c r="G1160" s="2" t="inlineStr">
        <is>
          <t>312</t>
        </is>
      </c>
      <c r="H1160">
        <f>IFERROR(VLOOKUP(G1160&amp;"",PLANO!A:B,2,FALSE),"CONTA NAO EXISTE NO PLANO")</f>
        <v/>
      </c>
      <c r="I1160" t="inlineStr">
        <is>
          <t>312</t>
        </is>
      </c>
      <c r="J1160" t="inlineStr">
        <is>
          <t>OK</t>
        </is>
      </c>
      <c r="K1160" t="inlineStr">
        <is>
          <t>categoria Cosmos 97</t>
        </is>
      </c>
      <c r="L1160" t="inlineStr">
        <is>
          <t>RODONAVES TRANSPORTES E ENCOMENDAS LTDA | 115/97 | PGTO REF.FRETE S/NFE</t>
        </is>
      </c>
      <c r="M1160" t="inlineStr">
        <is>
          <t>RODONAVES TRANSPORTES E ENCOMENDAS LTDA - PGTO REF.FRETE S/NFE</t>
        </is>
      </c>
    </row>
    <row r="1161">
      <c r="A1161" s="4" t="n">
        <v>1160</v>
      </c>
      <c r="B1161" s="4" t="inlineStr">
        <is>
          <t>05/06/2026</t>
        </is>
      </c>
      <c r="C1161" s="4" t="inlineStr">
        <is>
          <t>EQUISUL EQUIPAMENTOS E SUPRIMENTOS INDUSTRIAIS LTDA</t>
        </is>
      </c>
      <c r="D1161" s="5" t="n">
        <v>-65.59999999999999</v>
      </c>
      <c r="E1161" s="4" t="inlineStr">
        <is>
          <t>506</t>
        </is>
      </c>
      <c r="F1161" s="4" t="inlineStr">
        <is>
          <t>FORNECEDORES DIVERSOS</t>
        </is>
      </c>
      <c r="G1161" s="6" t="inlineStr">
        <is>
          <t>656</t>
        </is>
      </c>
      <c r="H1161" s="4">
        <f>IFERROR(VLOOKUP(G1161&amp;"",PLANO!A:B,2,FALSE),"CONTA NAO EXISTE NO PLANO")</f>
        <v/>
      </c>
      <c r="I1161" s="4" t="inlineStr">
        <is>
          <t>506</t>
        </is>
      </c>
      <c r="J1161" s="4" t="inlineStr">
        <is>
          <t>AJUSTADO</t>
        </is>
      </c>
      <c r="K1161" s="4" t="inlineStr">
        <is>
          <t>EPI</t>
        </is>
      </c>
      <c r="L1161" s="4" t="inlineStr">
        <is>
          <t>EQUISUL EQUIPAMENTOS E SUPRIMENTOS INDUSTRIAIS LTDA | 115/16 | PGTO REF.COMPRA DE EPI (SAPATO) PARA A CALDEIRA</t>
        </is>
      </c>
      <c r="M1161" s="4" t="inlineStr">
        <is>
          <t>EQUISUL EQUIPAMENTOS E SUPRIMENTOS INDUSTRIAIS LTDA - PGTO REF.COMPRA DE EPI (SAPATO) PARA A CALDEIRA</t>
        </is>
      </c>
    </row>
    <row r="1162">
      <c r="A1162" t="n">
        <v>1161</v>
      </c>
      <c r="B1162" t="inlineStr">
        <is>
          <t>05/06/2026</t>
        </is>
      </c>
      <c r="C1162" t="inlineStr">
        <is>
          <t>RODONAVES TRANSPORTES E ENCOMENDAS LTDA</t>
        </is>
      </c>
      <c r="D1162" s="7" t="n">
        <v>-93.09999999999999</v>
      </c>
      <c r="E1162" t="inlineStr">
        <is>
          <t>312</t>
        </is>
      </c>
      <c r="F1162" t="inlineStr">
        <is>
          <t>FRETES E CARRETOS</t>
        </is>
      </c>
      <c r="G1162" s="2" t="inlineStr">
        <is>
          <t>312</t>
        </is>
      </c>
      <c r="H1162">
        <f>IFERROR(VLOOKUP(G1162&amp;"",PLANO!A:B,2,FALSE),"CONTA NAO EXISTE NO PLANO")</f>
        <v/>
      </c>
      <c r="I1162" t="inlineStr">
        <is>
          <t>312</t>
        </is>
      </c>
      <c r="J1162" t="inlineStr">
        <is>
          <t>OK</t>
        </is>
      </c>
      <c r="K1162" t="inlineStr">
        <is>
          <t>categoria Cosmos 97</t>
        </is>
      </c>
      <c r="L1162" t="inlineStr">
        <is>
          <t>RODONAVES TRANSPORTES E ENCOMENDAS LTDA | 115/97 | PGTO REF.FRETE S/NFE</t>
        </is>
      </c>
      <c r="M1162" t="inlineStr">
        <is>
          <t>RODONAVES TRANSPORTES E ENCOMENDAS LTDA - PGTO REF.FRETE S/NFE</t>
        </is>
      </c>
    </row>
    <row r="1163">
      <c r="A1163" s="8" t="n">
        <v>1162</v>
      </c>
      <c r="B1163" s="8" t="inlineStr">
        <is>
          <t>05/06/2026</t>
        </is>
      </c>
      <c r="C1163" s="8" t="inlineStr">
        <is>
          <t>BRASPRESS TRANSPORTES URGENTES LTDA</t>
        </is>
      </c>
      <c r="D1163" s="9" t="n">
        <v>-2716.91</v>
      </c>
      <c r="E1163" s="8" t="inlineStr">
        <is>
          <t>350</t>
        </is>
      </c>
      <c r="F1163" s="8" t="inlineStr">
        <is>
          <t>TAXAS DIVERSAS</t>
        </is>
      </c>
      <c r="G1163" s="10" t="inlineStr">
        <is>
          <t>312</t>
        </is>
      </c>
      <c r="H1163" s="8">
        <f>IFERROR(VLOOKUP(G1163&amp;"",PLANO!A:B,2,FALSE),"CONTA NAO EXISTE NO PLANO")</f>
        <v/>
      </c>
      <c r="I1163" s="8" t="inlineStr">
        <is>
          <t>312</t>
        </is>
      </c>
      <c r="J1163" s="8" t="inlineStr">
        <is>
          <t>CORRIGIR</t>
        </is>
      </c>
      <c r="K1163" s="8" t="inlineStr">
        <is>
          <t>categoria Cosmos 97</t>
        </is>
      </c>
      <c r="L1163" s="8" t="inlineStr">
        <is>
          <t>BRASPRESS TRANSPORTES URGENTES LTDA | 115/97 | PAG REF A FRETE SOBRE VENDAS NF 8306, 8329, 8271, 8324, 8287</t>
        </is>
      </c>
      <c r="M1163" s="8" t="inlineStr">
        <is>
          <t>BRASPRESS TRANSPORTES URGENTES LTDA - PAG REF A FRETE SOBRE VENDAS NF 8306, 8329, 8271, 8324, 8287</t>
        </is>
      </c>
    </row>
    <row r="1164">
      <c r="A1164" s="4" t="n">
        <v>1163</v>
      </c>
      <c r="B1164" s="4" t="inlineStr">
        <is>
          <t>05/06/2026</t>
        </is>
      </c>
      <c r="C1164" s="4" t="inlineStr">
        <is>
          <t>SB DISTRIBUIDORA LTDA</t>
        </is>
      </c>
      <c r="D1164" s="5" t="n">
        <v>-728.3</v>
      </c>
      <c r="E1164" s="4" t="inlineStr">
        <is>
          <t>506</t>
        </is>
      </c>
      <c r="F1164" s="4" t="inlineStr">
        <is>
          <t>FORNECEDORES DIVERSOS</t>
        </is>
      </c>
      <c r="G1164" s="6" t="inlineStr">
        <is>
          <t>360</t>
        </is>
      </c>
      <c r="H1164" s="4">
        <f>IFERROR(VLOOKUP(G1164&amp;"",PLANO!A:B,2,FALSE),"CONTA NAO EXISTE NO PLANO")</f>
        <v/>
      </c>
      <c r="I1164" s="4" t="inlineStr">
        <is>
          <t>506</t>
        </is>
      </c>
      <c r="J1164" s="4" t="inlineStr">
        <is>
          <t>AJUSTADO</t>
        </is>
      </c>
      <c r="K1164" s="4" t="inlineStr">
        <is>
          <t>material de limpeza</t>
        </is>
      </c>
      <c r="L1164" s="4" t="inlineStr">
        <is>
          <t>SB DISTRIBUIDORA LTDA | 115/16 | PAGAMENTO REFERENTE A COMPRA DE MATERIAL DE LIMPEZA</t>
        </is>
      </c>
      <c r="M1164" s="4" t="inlineStr">
        <is>
          <t>SB DISTRIBUIDORA LTDA - PAGAMENTO REFERENTE A COMPRA DE MATERIAL DE LIMPEZA</t>
        </is>
      </c>
    </row>
    <row r="1165">
      <c r="A1165" t="n">
        <v>1164</v>
      </c>
      <c r="B1165" t="inlineStr">
        <is>
          <t>05/06/2026</t>
        </is>
      </c>
      <c r="C1165" t="inlineStr">
        <is>
          <t>AGENCIA NACIONAL DE VIGILANCIA SANITARIA</t>
        </is>
      </c>
      <c r="D1165" s="7" t="n">
        <v>-175.72</v>
      </c>
      <c r="E1165" t="inlineStr">
        <is>
          <t>350</t>
        </is>
      </c>
      <c r="F1165" t="inlineStr">
        <is>
          <t>TAXAS DIVERSAS</t>
        </is>
      </c>
      <c r="G1165" s="2" t="inlineStr">
        <is>
          <t>350</t>
        </is>
      </c>
      <c r="H1165">
        <f>IFERROR(VLOOKUP(G1165&amp;"",PLANO!A:B,2,FALSE),"CONTA NAO EXISTE NO PLANO")</f>
        <v/>
      </c>
      <c r="I1165" t="inlineStr">
        <is>
          <t>350</t>
        </is>
      </c>
      <c r="J1165" t="inlineStr">
        <is>
          <t>OK</t>
        </is>
      </c>
      <c r="K1165" t="inlineStr">
        <is>
          <t>categoria Cosmos 128</t>
        </is>
      </c>
      <c r="L1165" t="inlineStr">
        <is>
          <t>AGENCIA NACIONAL DE VIGILANCIA SANITARIA | 115/128 | PGTO REF.REGISTRO PASTA BRILHO E PASTA MATE PRODUTO TIMBERMAN</t>
        </is>
      </c>
      <c r="M1165" t="inlineStr">
        <is>
          <t>AGENCIA NACIONAL DE VIGILANCIA SANITARIA - PGTO REF.REGISTRO PASTA BRILHO E PASTA MATE PRODUTO TIMBERMAN</t>
        </is>
      </c>
    </row>
    <row r="1166">
      <c r="A1166" t="n">
        <v>1165</v>
      </c>
      <c r="B1166" t="inlineStr">
        <is>
          <t>05/06/2026</t>
        </is>
      </c>
      <c r="C1166" t="inlineStr">
        <is>
          <t>MHLOG LOGISTICA E TRANSPORTE LTDA</t>
        </is>
      </c>
      <c r="D1166" s="7" t="n">
        <v>-333.99</v>
      </c>
      <c r="E1166" t="inlineStr">
        <is>
          <t>312</t>
        </is>
      </c>
      <c r="F1166" t="inlineStr">
        <is>
          <t>FRETES E CARRETOS</t>
        </is>
      </c>
      <c r="G1166" s="2" t="inlineStr">
        <is>
          <t>312</t>
        </is>
      </c>
      <c r="H1166">
        <f>IFERROR(VLOOKUP(G1166&amp;"",PLANO!A:B,2,FALSE),"CONTA NAO EXISTE NO PLANO")</f>
        <v/>
      </c>
      <c r="I1166" t="inlineStr">
        <is>
          <t>312</t>
        </is>
      </c>
      <c r="J1166" t="inlineStr">
        <is>
          <t>OK</t>
        </is>
      </c>
      <c r="K1166" t="inlineStr">
        <is>
          <t>categoria Cosmos 97</t>
        </is>
      </c>
      <c r="L1166" t="inlineStr">
        <is>
          <t>MHLOG LOGISTICA E TRANSPORTE LTDA | 115/97 | PAG REF A FRETE SOBRE VENDAS NF 8380</t>
        </is>
      </c>
      <c r="M1166" t="inlineStr">
        <is>
          <t>MHLOG LOGISTICA E TRANSPORTE LTDA - PAG REF A FRETE SOBRE VENDAS NF 8380</t>
        </is>
      </c>
    </row>
    <row r="1167">
      <c r="A1167" t="n">
        <v>1166</v>
      </c>
      <c r="B1167" t="inlineStr">
        <is>
          <t>05/06/2026</t>
        </is>
      </c>
      <c r="C1167" t="inlineStr">
        <is>
          <t>AGENCIA NACIONAL DE VIGILANCIA SANITARIA</t>
        </is>
      </c>
      <c r="D1167" s="7" t="n">
        <v>-175.72</v>
      </c>
      <c r="E1167" t="inlineStr">
        <is>
          <t>350</t>
        </is>
      </c>
      <c r="F1167" t="inlineStr">
        <is>
          <t>TAXAS DIVERSAS</t>
        </is>
      </c>
      <c r="G1167" s="2" t="inlineStr">
        <is>
          <t>350</t>
        </is>
      </c>
      <c r="H1167">
        <f>IFERROR(VLOOKUP(G1167&amp;"",PLANO!A:B,2,FALSE),"CONTA NAO EXISTE NO PLANO")</f>
        <v/>
      </c>
      <c r="I1167" t="inlineStr">
        <is>
          <t>350</t>
        </is>
      </c>
      <c r="J1167" t="inlineStr">
        <is>
          <t>OK</t>
        </is>
      </c>
      <c r="K1167" t="inlineStr">
        <is>
          <t>categoria Cosmos 128</t>
        </is>
      </c>
      <c r="L1167" t="inlineStr">
        <is>
          <t>AGENCIA NACIONAL DE VIGILANCIA SANITARIA | 115/128 | PGTO REF.REGISTRO PASTA BRILHO E PASTA MATE PRODUTO TIMBERMAN</t>
        </is>
      </c>
      <c r="M1167" t="inlineStr">
        <is>
          <t>AGENCIA NACIONAL DE VIGILANCIA SANITARIA - PGTO REF.REGISTRO PASTA BRILHO E PASTA MATE PRODUTO TIMBERMAN</t>
        </is>
      </c>
    </row>
    <row r="1168">
      <c r="A1168" t="n">
        <v>1167</v>
      </c>
      <c r="B1168" t="inlineStr">
        <is>
          <t>05/06/2026</t>
        </is>
      </c>
      <c r="C1168" t="inlineStr">
        <is>
          <t>EXPRESSO SAO MIGUEL LTDA</t>
        </is>
      </c>
      <c r="D1168" s="7" t="n">
        <v>-1834.2</v>
      </c>
      <c r="E1168" t="inlineStr">
        <is>
          <t>312</t>
        </is>
      </c>
      <c r="F1168" t="inlineStr">
        <is>
          <t>FRETES E CARRETOS</t>
        </is>
      </c>
      <c r="G1168" s="2" t="inlineStr">
        <is>
          <t>312</t>
        </is>
      </c>
      <c r="H1168">
        <f>IFERROR(VLOOKUP(G1168&amp;"",PLANO!A:B,2,FALSE),"CONTA NAO EXISTE NO PLANO")</f>
        <v/>
      </c>
      <c r="I1168" t="inlineStr">
        <is>
          <t>312</t>
        </is>
      </c>
      <c r="J1168" t="inlineStr">
        <is>
          <t>OK</t>
        </is>
      </c>
      <c r="K1168" t="inlineStr">
        <is>
          <t>categoria Cosmos 97</t>
        </is>
      </c>
      <c r="L1168" t="inlineStr">
        <is>
          <t>EXPRESSO SAO MIGUEL LTDA | 115/97 | PAG REF A FRETE SOBRE VENDAS NF 8183, 8184, 8213, 8221, 8021, 8223, 8224, 8226, 8227, 8269, 8276, 8288, 8314</t>
        </is>
      </c>
      <c r="M1168" t="inlineStr">
        <is>
          <t>EXPRESSO SAO MIGUEL LTDA - PAG REF A FRETE SOBRE VENDAS NF 8183, 8184, 8213, 8221, 8021, 8223, 8224, 8226,</t>
        </is>
      </c>
    </row>
    <row r="1169">
      <c r="A1169" t="n">
        <v>1168</v>
      </c>
      <c r="B1169" t="inlineStr">
        <is>
          <t>05/06/2026</t>
        </is>
      </c>
      <c r="C1169" t="inlineStr">
        <is>
          <t>BANCO ITAU UNIBANCO</t>
        </is>
      </c>
      <c r="D1169" s="7" t="n">
        <v>-930.48</v>
      </c>
      <c r="E1169" t="inlineStr">
        <is>
          <t>375</t>
        </is>
      </c>
      <c r="F1169" t="inlineStr">
        <is>
          <t>JUROS SOBRE EMPRÉSTIMOS E FINANCIAMENTOS</t>
        </is>
      </c>
      <c r="G1169" s="2" t="inlineStr">
        <is>
          <t>375</t>
        </is>
      </c>
      <c r="H1169">
        <f>IFERROR(VLOOKUP(G1169&amp;"",PLANO!A:B,2,FALSE),"CONTA NAO EXISTE NO PLANO")</f>
        <v/>
      </c>
      <c r="I1169" t="inlineStr">
        <is>
          <t>375</t>
        </is>
      </c>
      <c r="J1169" t="inlineStr">
        <is>
          <t>OK</t>
        </is>
      </c>
      <c r="K1169" t="inlineStr">
        <is>
          <t>juros limite (375/625)</t>
        </is>
      </c>
      <c r="L1169" t="inlineStr">
        <is>
          <t>BANCO ITAU UNIBANCO | 115/122 | PGTO REF.UTILIZAÇÃO LIMITE</t>
        </is>
      </c>
      <c r="M1169" t="inlineStr">
        <is>
          <t>BANCO ITAU UNIBANCO - PGTO REF.UTILIZAÇÃO LIMITE</t>
        </is>
      </c>
    </row>
    <row r="1170">
      <c r="A1170" t="n">
        <v>1169</v>
      </c>
      <c r="B1170" t="inlineStr">
        <is>
          <t>08/06/2026</t>
        </is>
      </c>
      <c r="C1170" t="inlineStr">
        <is>
          <t>MOV TÍT COB DISP 06/06S</t>
        </is>
      </c>
      <c r="D1170" s="7" t="n">
        <v>155.52</v>
      </c>
      <c r="E1170" t="inlineStr">
        <is>
          <t>504</t>
        </is>
      </c>
      <c r="F1170" t="inlineStr">
        <is>
          <t>CLIENTES DIVERSOS</t>
        </is>
      </c>
      <c r="G1170" s="2" t="inlineStr">
        <is>
          <t>504</t>
        </is>
      </c>
      <c r="H1170">
        <f>IFERROR(VLOOKUP(G1170&amp;"",PLANO!A:B,2,FALSE),"CONTA NAO EXISTE NO PLANO")</f>
        <v/>
      </c>
      <c r="I1170" t="inlineStr">
        <is>
          <t>504</t>
        </is>
      </c>
      <c r="J1170" t="inlineStr">
        <is>
          <t>SEM COSMOS</t>
        </is>
      </c>
      <c r="K1170" t="inlineStr"/>
      <c r="L1170" t="inlineStr"/>
      <c r="M1170" t="inlineStr">
        <is>
          <t>MOV TÍT COB DISP 06/06S</t>
        </is>
      </c>
    </row>
    <row r="1171">
      <c r="A1171" t="n">
        <v>1170</v>
      </c>
      <c r="B1171" t="inlineStr">
        <is>
          <t>08/06/2026</t>
        </is>
      </c>
      <c r="C1171" t="inlineStr">
        <is>
          <t>MOV TÍT COB DISP 08/06S</t>
        </is>
      </c>
      <c r="D1171" s="7" t="n">
        <v>4422.25</v>
      </c>
      <c r="E1171" t="inlineStr">
        <is>
          <t>504</t>
        </is>
      </c>
      <c r="F1171" t="inlineStr">
        <is>
          <t>CLIENTES DIVERSOS</t>
        </is>
      </c>
      <c r="G1171" s="2" t="inlineStr">
        <is>
          <t>504</t>
        </is>
      </c>
      <c r="H1171">
        <f>IFERROR(VLOOKUP(G1171&amp;"",PLANO!A:B,2,FALSE),"CONTA NAO EXISTE NO PLANO")</f>
        <v/>
      </c>
      <c r="I1171" t="inlineStr">
        <is>
          <t>504</t>
        </is>
      </c>
      <c r="J1171" t="inlineStr">
        <is>
          <t>SEM COSMOS</t>
        </is>
      </c>
      <c r="K1171" t="inlineStr"/>
      <c r="L1171" t="inlineStr"/>
      <c r="M1171" t="inlineStr">
        <is>
          <t>MOV TÍT COB DISP 08/06S</t>
        </is>
      </c>
    </row>
    <row r="1172">
      <c r="A1172" t="n">
        <v>1171</v>
      </c>
      <c r="B1172" t="inlineStr">
        <is>
          <t>09/06/2026</t>
        </is>
      </c>
      <c r="C1172" t="inlineStr">
        <is>
          <t>MOV TÍT COB DISP 09/06S</t>
        </is>
      </c>
      <c r="D1172" s="7" t="n">
        <v>7976.5</v>
      </c>
      <c r="E1172" t="inlineStr">
        <is>
          <t>504</t>
        </is>
      </c>
      <c r="F1172" t="inlineStr">
        <is>
          <t>CLIENTES DIVERSOS</t>
        </is>
      </c>
      <c r="G1172" s="2" t="inlineStr">
        <is>
          <t>504</t>
        </is>
      </c>
      <c r="H1172">
        <f>IFERROR(VLOOKUP(G1172&amp;"",PLANO!A:B,2,FALSE),"CONTA NAO EXISTE NO PLANO")</f>
        <v/>
      </c>
      <c r="I1172" t="inlineStr">
        <is>
          <t>504</t>
        </is>
      </c>
      <c r="J1172" t="inlineStr">
        <is>
          <t>SEM COSMOS</t>
        </is>
      </c>
      <c r="K1172" t="inlineStr"/>
      <c r="L1172" t="inlineStr"/>
      <c r="M1172" t="inlineStr">
        <is>
          <t>MOV TÍT COB DISP 09/06S</t>
        </is>
      </c>
    </row>
    <row r="1173">
      <c r="A1173" s="4" t="n">
        <v>1172</v>
      </c>
      <c r="B1173" s="4" t="inlineStr">
        <is>
          <t>09/06/2026</t>
        </is>
      </c>
      <c r="C1173" s="4" t="inlineStr">
        <is>
          <t>PIX ENVIADO GULA COSMETI</t>
        </is>
      </c>
      <c r="D1173" s="5" t="n">
        <v>-4000</v>
      </c>
      <c r="E1173" s="4" t="inlineStr">
        <is>
          <t>506</t>
        </is>
      </c>
      <c r="F1173" s="4" t="inlineStr">
        <is>
          <t>FORNECEDORES DIVERSOS</t>
        </is>
      </c>
      <c r="G1173" s="6" t="inlineStr">
        <is>
          <t>366</t>
        </is>
      </c>
      <c r="H1173" s="4">
        <f>IFERROR(VLOOKUP(G1173&amp;"",PLANO!A:B,2,FALSE),"CONTA NAO EXISTE NO PLANO")</f>
        <v/>
      </c>
      <c r="I1173" s="4" t="inlineStr">
        <is>
          <t>672</t>
        </is>
      </c>
      <c r="J1173" s="4" t="inlineStr">
        <is>
          <t>AJUSTADO</t>
        </is>
      </c>
      <c r="K1173" s="4" t="inlineStr">
        <is>
          <t>GULA/FIQUE BEM (mesmo CNPJ, empresa do grupo) - mutuo em EMPRESTIMOS A TERCEIROS (366); nao e fornecedor</t>
        </is>
      </c>
      <c r="L1173" s="4" t="inlineStr"/>
      <c r="M1173" s="4" t="inlineStr">
        <is>
          <t>PIX ENVIADO GULA COSMETI</t>
        </is>
      </c>
    </row>
    <row r="1174">
      <c r="A1174" t="n">
        <v>1173</v>
      </c>
      <c r="B1174" t="inlineStr">
        <is>
          <t>09/06/2026</t>
        </is>
      </c>
      <c r="C1174" t="inlineStr">
        <is>
          <t>BOLETO PAGO EFITRANS TRA</t>
        </is>
      </c>
      <c r="D1174" s="7" t="n">
        <v>-395.61</v>
      </c>
      <c r="E1174" t="inlineStr">
        <is>
          <t>312</t>
        </is>
      </c>
      <c r="F1174" t="inlineStr">
        <is>
          <t>FRETES E CARRETOS</t>
        </is>
      </c>
      <c r="G1174" s="2" t="inlineStr">
        <is>
          <t>312</t>
        </is>
      </c>
      <c r="H1174">
        <f>IFERROR(VLOOKUP(G1174&amp;"",PLANO!A:B,2,FALSE),"CONTA NAO EXISTE NO PLANO")</f>
        <v/>
      </c>
      <c r="I1174" t="inlineStr">
        <is>
          <t>312</t>
        </is>
      </c>
      <c r="J1174" t="inlineStr">
        <is>
          <t>SEM COSMOS</t>
        </is>
      </c>
      <c r="K1174" t="inlineStr"/>
      <c r="L1174" t="inlineStr"/>
      <c r="M1174" t="inlineStr">
        <is>
          <t>BOLETO PAGO EFITRANS TRA</t>
        </is>
      </c>
    </row>
    <row r="1175">
      <c r="A1175" t="n">
        <v>1174</v>
      </c>
      <c r="B1175" t="inlineStr">
        <is>
          <t>10/06/2026</t>
        </is>
      </c>
      <c r="C1175" t="inlineStr">
        <is>
          <t>SISPAG O.S. SECURITIZAD</t>
        </is>
      </c>
      <c r="D1175" s="7" t="n">
        <v>16731.14</v>
      </c>
      <c r="E1175" t="inlineStr">
        <is>
          <t>504</t>
        </is>
      </c>
      <c r="F1175" t="inlineStr">
        <is>
          <t>CLIENTES DIVERSOS</t>
        </is>
      </c>
      <c r="G1175" s="2" t="inlineStr">
        <is>
          <t>504</t>
        </is>
      </c>
      <c r="H1175">
        <f>IFERROR(VLOOKUP(G1175&amp;"",PLANO!A:B,2,FALSE),"CONTA NAO EXISTE NO PLANO")</f>
        <v/>
      </c>
      <c r="I1175" t="inlineStr">
        <is>
          <t>504</t>
        </is>
      </c>
      <c r="J1175" t="inlineStr">
        <is>
          <t>SEM COSMOS</t>
        </is>
      </c>
      <c r="K1175" t="inlineStr"/>
      <c r="L1175" t="inlineStr"/>
      <c r="M1175" t="inlineStr">
        <is>
          <t>SISPAG O.S. SECURITIZAD</t>
        </is>
      </c>
    </row>
    <row r="1176">
      <c r="A1176" t="n">
        <v>1175</v>
      </c>
      <c r="B1176" t="inlineStr">
        <is>
          <t>10/06/2026</t>
        </is>
      </c>
      <c r="C1176" t="inlineStr">
        <is>
          <t>MOV TÍT COB DISP 10/06S</t>
        </is>
      </c>
      <c r="D1176" s="7" t="n">
        <v>1848.57</v>
      </c>
      <c r="E1176" t="inlineStr">
        <is>
          <t>504</t>
        </is>
      </c>
      <c r="F1176" t="inlineStr">
        <is>
          <t>CLIENTES DIVERSOS</t>
        </is>
      </c>
      <c r="G1176" s="2" t="inlineStr">
        <is>
          <t>504</t>
        </is>
      </c>
      <c r="H1176">
        <f>IFERROR(VLOOKUP(G1176&amp;"",PLANO!A:B,2,FALSE),"CONTA NAO EXISTE NO PLANO")</f>
        <v/>
      </c>
      <c r="I1176" t="inlineStr">
        <is>
          <t>504</t>
        </is>
      </c>
      <c r="J1176" t="inlineStr">
        <is>
          <t>SEM COSMOS</t>
        </is>
      </c>
      <c r="K1176" t="inlineStr"/>
      <c r="L1176" t="inlineStr"/>
      <c r="M1176" t="inlineStr">
        <is>
          <t>MOV TÍT COB DISP 10/06S</t>
        </is>
      </c>
    </row>
    <row r="1177">
      <c r="A1177" t="n">
        <v>1176</v>
      </c>
      <c r="B1177" t="inlineStr">
        <is>
          <t>10/06/2026</t>
        </is>
      </c>
      <c r="C1177" t="inlineStr">
        <is>
          <t>PIX TRANSF CRISTIA10/06</t>
        </is>
      </c>
      <c r="D1177" s="7" t="n">
        <v>3546</v>
      </c>
      <c r="E1177" t="inlineStr">
        <is>
          <t>504</t>
        </is>
      </c>
      <c r="F1177" t="inlineStr">
        <is>
          <t>CLIENTES DIVERSOS</t>
        </is>
      </c>
      <c r="G1177" s="2" t="inlineStr">
        <is>
          <t>504</t>
        </is>
      </c>
      <c r="H1177">
        <f>IFERROR(VLOOKUP(G1177&amp;"",PLANO!A:B,2,FALSE),"CONTA NAO EXISTE NO PLANO")</f>
        <v/>
      </c>
      <c r="I1177" t="inlineStr">
        <is>
          <t>504</t>
        </is>
      </c>
      <c r="J1177" t="inlineStr">
        <is>
          <t>SEM COSMOS</t>
        </is>
      </c>
      <c r="K1177" t="inlineStr"/>
      <c r="L1177" t="inlineStr"/>
      <c r="M1177" t="inlineStr">
        <is>
          <t>PIX TRANSF CRISTIA10/06</t>
        </is>
      </c>
    </row>
    <row r="1178">
      <c r="A1178" t="n">
        <v>1177</v>
      </c>
      <c r="B1178" t="inlineStr">
        <is>
          <t>10/06/2026</t>
        </is>
      </c>
      <c r="C1178" t="inlineStr">
        <is>
          <t>PIX ENVIADO MARCIO ANTON</t>
        </is>
      </c>
      <c r="D1178" s="7" t="n">
        <v>-1258.55</v>
      </c>
      <c r="E1178" t="inlineStr">
        <is>
          <t>506</t>
        </is>
      </c>
      <c r="F1178" t="inlineStr">
        <is>
          <t>FORNECEDORES DIVERSOS</t>
        </is>
      </c>
      <c r="G1178" s="2" t="inlineStr">
        <is>
          <t>506</t>
        </is>
      </c>
      <c r="H1178">
        <f>IFERROR(VLOOKUP(G1178&amp;"",PLANO!A:B,2,FALSE),"CONTA NAO EXISTE NO PLANO")</f>
        <v/>
      </c>
      <c r="I1178" t="inlineStr">
        <is>
          <t>506</t>
        </is>
      </c>
      <c r="J1178" t="inlineStr">
        <is>
          <t>SEM COSMOS</t>
        </is>
      </c>
      <c r="K1178" t="inlineStr"/>
      <c r="L1178" t="inlineStr"/>
      <c r="M1178" t="inlineStr">
        <is>
          <t>PIX ENVIADO MARCIO ANTON</t>
        </is>
      </c>
    </row>
    <row r="1179">
      <c r="A1179" t="n">
        <v>1178</v>
      </c>
      <c r="B1179" t="inlineStr">
        <is>
          <t>10/06/2026</t>
        </is>
      </c>
      <c r="C1179" t="inlineStr">
        <is>
          <t>PIX ENVIADO SUZAN CRISTI</t>
        </is>
      </c>
      <c r="D1179" s="7" t="n">
        <v>-2800</v>
      </c>
      <c r="E1179" t="inlineStr">
        <is>
          <t>362</t>
        </is>
      </c>
      <c r="F1179" t="inlineStr">
        <is>
          <t>SERVIÇOS PRESTADOS POR TERCEIROS</t>
        </is>
      </c>
      <c r="G1179" s="2" t="inlineStr">
        <is>
          <t>362</t>
        </is>
      </c>
      <c r="H1179">
        <f>IFERROR(VLOOKUP(G1179&amp;"",PLANO!A:B,2,FALSE),"CONTA NAO EXISTE NO PLANO")</f>
        <v/>
      </c>
      <c r="I1179" t="inlineStr">
        <is>
          <t>362</t>
        </is>
      </c>
      <c r="J1179" t="inlineStr">
        <is>
          <t>SEM COSMOS</t>
        </is>
      </c>
      <c r="K1179" t="inlineStr"/>
      <c r="L1179" t="inlineStr"/>
      <c r="M1179" t="inlineStr">
        <is>
          <t>PIX ENVIADO SUZAN CRISTI</t>
        </is>
      </c>
    </row>
    <row r="1180">
      <c r="A1180" t="n">
        <v>1179</v>
      </c>
      <c r="B1180" t="inlineStr">
        <is>
          <t>10/06/2026</t>
        </is>
      </c>
      <c r="C1180" t="inlineStr">
        <is>
          <t>PIX ENVIADO CARLOS ALBER</t>
        </is>
      </c>
      <c r="D1180" s="7" t="n">
        <v>-3707.54</v>
      </c>
      <c r="E1180" t="inlineStr">
        <is>
          <t>511</t>
        </is>
      </c>
      <c r="F1180" t="inlineStr">
        <is>
          <t>FÉRIAS A PAGAR</t>
        </is>
      </c>
      <c r="G1180" s="2" t="inlineStr">
        <is>
          <t>511</t>
        </is>
      </c>
      <c r="H1180">
        <f>IFERROR(VLOOKUP(G1180&amp;"",PLANO!A:B,2,FALSE),"CONTA NAO EXISTE NO PLANO")</f>
        <v/>
      </c>
      <c r="I1180" t="inlineStr">
        <is>
          <t>511</t>
        </is>
      </c>
      <c r="J1180" t="inlineStr">
        <is>
          <t>SEM COSMOS</t>
        </is>
      </c>
      <c r="K1180" t="inlineStr"/>
      <c r="L1180" t="inlineStr"/>
      <c r="M1180" t="inlineStr">
        <is>
          <t>PIX ENVIADO CARLOS ALBER</t>
        </is>
      </c>
    </row>
    <row r="1181">
      <c r="A1181" t="n">
        <v>1180</v>
      </c>
      <c r="B1181" t="inlineStr">
        <is>
          <t>10/06/2026</t>
        </is>
      </c>
      <c r="C1181" t="inlineStr">
        <is>
          <t>UNIMED</t>
        </is>
      </c>
      <c r="D1181" s="7" t="n">
        <v>-14827.02</v>
      </c>
      <c r="E1181" t="inlineStr">
        <is>
          <t>576</t>
        </is>
      </c>
      <c r="F1181" t="inlineStr">
        <is>
          <t>PLANO DE SAÚDE EMPREGADOS</t>
        </is>
      </c>
      <c r="G1181" s="2" t="inlineStr">
        <is>
          <t>576</t>
        </is>
      </c>
      <c r="H1181">
        <f>IFERROR(VLOOKUP(G1181&amp;"",PLANO!A:B,2,FALSE),"CONTA NAO EXISTE NO PLANO")</f>
        <v/>
      </c>
      <c r="I1181" t="inlineStr">
        <is>
          <t>576</t>
        </is>
      </c>
      <c r="J1181" t="inlineStr">
        <is>
          <t>OK</t>
        </is>
      </c>
      <c r="K1181" t="inlineStr">
        <is>
          <t>categoria Cosmos 85</t>
        </is>
      </c>
      <c r="L1181" t="inlineStr">
        <is>
          <t>UNIMED | 115/85 | PAGTO REF. PLANO DE SAUDE GLOBAL</t>
        </is>
      </c>
      <c r="M1181" t="inlineStr">
        <is>
          <t>UNIMED - PAGTO REF. PLANO DE SAUDE GLOBAL</t>
        </is>
      </c>
    </row>
    <row r="1182">
      <c r="A1182" t="n">
        <v>1181</v>
      </c>
      <c r="B1182" t="inlineStr">
        <is>
          <t>11/06/2026</t>
        </is>
      </c>
      <c r="C1182" t="inlineStr">
        <is>
          <t>SISPAG O.S. SECURITIZAD</t>
        </is>
      </c>
      <c r="D1182" s="7" t="n">
        <v>9997.27</v>
      </c>
      <c r="E1182" t="inlineStr">
        <is>
          <t>504</t>
        </is>
      </c>
      <c r="F1182" t="inlineStr">
        <is>
          <t>CLIENTES DIVERSOS</t>
        </is>
      </c>
      <c r="G1182" s="2" t="inlineStr">
        <is>
          <t>504</t>
        </is>
      </c>
      <c r="H1182">
        <f>IFERROR(VLOOKUP(G1182&amp;"",PLANO!A:B,2,FALSE),"CONTA NAO EXISTE NO PLANO")</f>
        <v/>
      </c>
      <c r="I1182" t="inlineStr">
        <is>
          <t>504</t>
        </is>
      </c>
      <c r="J1182" t="inlineStr">
        <is>
          <t>SEM COSMOS</t>
        </is>
      </c>
      <c r="K1182" t="inlineStr"/>
      <c r="L1182" t="inlineStr"/>
      <c r="M1182" t="inlineStr">
        <is>
          <t>SISPAG O.S. SECURITIZAD</t>
        </is>
      </c>
    </row>
    <row r="1183">
      <c r="A1183" t="n">
        <v>1182</v>
      </c>
      <c r="B1183" t="inlineStr">
        <is>
          <t>11/06/2026</t>
        </is>
      </c>
      <c r="C1183" t="inlineStr">
        <is>
          <t>MOV TÍT COB DISP 11/06S</t>
        </is>
      </c>
      <c r="D1183" s="7" t="n">
        <v>4299.99</v>
      </c>
      <c r="E1183" t="inlineStr">
        <is>
          <t>504</t>
        </is>
      </c>
      <c r="F1183" t="inlineStr">
        <is>
          <t>CLIENTES DIVERSOS</t>
        </is>
      </c>
      <c r="G1183" s="2" t="inlineStr">
        <is>
          <t>504</t>
        </is>
      </c>
      <c r="H1183">
        <f>IFERROR(VLOOKUP(G1183&amp;"",PLANO!A:B,2,FALSE),"CONTA NAO EXISTE NO PLANO")</f>
        <v/>
      </c>
      <c r="I1183" t="inlineStr">
        <is>
          <t>504</t>
        </is>
      </c>
      <c r="J1183" t="inlineStr">
        <is>
          <t>SEM COSMOS</t>
        </is>
      </c>
      <c r="K1183" t="inlineStr"/>
      <c r="L1183" t="inlineStr"/>
      <c r="M1183" t="inlineStr">
        <is>
          <t>MOV TÍT COB DISP 11/06S</t>
        </is>
      </c>
    </row>
    <row r="1184">
      <c r="A1184" t="n">
        <v>1183</v>
      </c>
      <c r="B1184" t="inlineStr">
        <is>
          <t>11/06/2026</t>
        </is>
      </c>
      <c r="C1184" t="inlineStr">
        <is>
          <t>PIX TRANSF R E S C11/06</t>
        </is>
      </c>
      <c r="D1184" s="7" t="n">
        <v>6616.96</v>
      </c>
      <c r="E1184" t="inlineStr">
        <is>
          <t>504</t>
        </is>
      </c>
      <c r="F1184" t="inlineStr">
        <is>
          <t>CLIENTES DIVERSOS</t>
        </is>
      </c>
      <c r="G1184" s="2" t="inlineStr">
        <is>
          <t>504</t>
        </is>
      </c>
      <c r="H1184">
        <f>IFERROR(VLOOKUP(G1184&amp;"",PLANO!A:B,2,FALSE),"CONTA NAO EXISTE NO PLANO")</f>
        <v/>
      </c>
      <c r="I1184" t="inlineStr">
        <is>
          <t>504</t>
        </is>
      </c>
      <c r="J1184" t="inlineStr">
        <is>
          <t>SEM COSMOS</t>
        </is>
      </c>
      <c r="K1184" t="inlineStr"/>
      <c r="L1184" t="inlineStr"/>
      <c r="M1184" t="inlineStr">
        <is>
          <t>PIX TRANSF R E S C11/06</t>
        </is>
      </c>
    </row>
    <row r="1185">
      <c r="A1185" s="11" t="n">
        <v>1184</v>
      </c>
      <c r="B1185" s="11" t="inlineStr">
        <is>
          <t>11/06/2026</t>
        </is>
      </c>
      <c r="C1185" s="11" t="inlineStr">
        <is>
          <t>CARLOS ALEXANDRE MAZZONI</t>
        </is>
      </c>
      <c r="D1185" s="12" t="n">
        <v>-2000</v>
      </c>
      <c r="E1185" s="11" t="inlineStr">
        <is>
          <t>362</t>
        </is>
      </c>
      <c r="F1185" s="11" t="inlineStr">
        <is>
          <t>SERVIÇOS PRESTADOS POR TERCEIROS</t>
        </is>
      </c>
      <c r="G1185" s="13" t="inlineStr">
        <is>
          <t>362</t>
        </is>
      </c>
      <c r="H1185" s="11">
        <f>IFERROR(VLOOKUP(G1185&amp;"",PLANO!A:B,2,FALSE),"CONTA NAO EXISTE NO PLANO")</f>
        <v/>
      </c>
      <c r="I1185" s="11" t="inlineStr">
        <is>
          <t>362</t>
        </is>
      </c>
      <c r="J1185" s="11" t="inlineStr">
        <is>
          <t>MANTIDO</t>
        </is>
      </c>
      <c r="K1185" s="11" t="inlineStr">
        <is>
          <t>socios Mazzoni (fora do contrato social) - mantido como estava</t>
        </is>
      </c>
      <c r="L1185" s="11" t="inlineStr">
        <is>
          <t>CARLOS ALEXANDRE MAZZONI | 115/33 | PGTO REF.PRO-LABORE</t>
        </is>
      </c>
      <c r="M1185" s="11" t="inlineStr">
        <is>
          <t>CARLOS ALEXANDRE MAZZONI - PGTO REF.PRO-LABORE</t>
        </is>
      </c>
    </row>
    <row r="1186">
      <c r="A1186" s="8" t="n">
        <v>1185</v>
      </c>
      <c r="B1186" s="8" t="inlineStr">
        <is>
          <t>11/06/2026</t>
        </is>
      </c>
      <c r="C1186" s="8" t="inlineStr">
        <is>
          <t>SKIN LAB INDUSTRIA E COMERCIO DE COSMETICOS LTDA</t>
        </is>
      </c>
      <c r="D1186" s="9" t="n">
        <v>-6895.92</v>
      </c>
      <c r="E1186" s="8" t="inlineStr">
        <is>
          <t>493</t>
        </is>
      </c>
      <c r="F1186" s="8" t="inlineStr">
        <is>
          <t>DESPESAS DIVERSAS</t>
        </is>
      </c>
      <c r="G1186" s="10" t="inlineStr">
        <is>
          <t>506</t>
        </is>
      </c>
      <c r="H1186" s="8">
        <f>IFERROR(VLOOKUP(G1186&amp;"",PLANO!A:B,2,FALSE),"CONTA NAO EXISTE NO PLANO")</f>
        <v/>
      </c>
      <c r="I1186" s="8" t="inlineStr">
        <is>
          <t>506</t>
        </is>
      </c>
      <c r="J1186" s="8" t="inlineStr">
        <is>
          <t>CORRIGIR</t>
        </is>
      </c>
      <c r="K1186" s="8" t="inlineStr">
        <is>
          <t>fornecedor com NF (Cosmos: compra MP/embalagem) - pagamento deve baixar fornecedores 506</t>
        </is>
      </c>
      <c r="L1186" s="8" t="inlineStr">
        <is>
          <t xml:space="preserve">SKIN LAB INDUSTRIA E COMERCIO DE COSMETICOS LTDA | 113/78 | </t>
        </is>
      </c>
      <c r="M1186" s="8" t="inlineStr">
        <is>
          <t>SKIN LAB INDUSTRIA E COMERCIO DE COSMETICOS LTDA</t>
        </is>
      </c>
    </row>
    <row r="1187">
      <c r="A1187" s="4" t="n">
        <v>1186</v>
      </c>
      <c r="B1187" s="4" t="inlineStr">
        <is>
          <t>11/06/2026</t>
        </is>
      </c>
      <c r="C1187" s="4" t="inlineStr">
        <is>
          <t>PIX ENVIADO GULA COSMETI</t>
        </is>
      </c>
      <c r="D1187" s="5" t="n">
        <v>-8000</v>
      </c>
      <c r="E1187" s="4" t="inlineStr">
        <is>
          <t>506</t>
        </is>
      </c>
      <c r="F1187" s="4" t="inlineStr">
        <is>
          <t>FORNECEDORES DIVERSOS</t>
        </is>
      </c>
      <c r="G1187" s="6" t="inlineStr">
        <is>
          <t>366</t>
        </is>
      </c>
      <c r="H1187" s="4">
        <f>IFERROR(VLOOKUP(G1187&amp;"",PLANO!A:B,2,FALSE),"CONTA NAO EXISTE NO PLANO")</f>
        <v/>
      </c>
      <c r="I1187" s="4" t="inlineStr">
        <is>
          <t>672</t>
        </is>
      </c>
      <c r="J1187" s="4" t="inlineStr">
        <is>
          <t>AJUSTADO</t>
        </is>
      </c>
      <c r="K1187" s="4" t="inlineStr">
        <is>
          <t>GULA/FIQUE BEM (mesmo CNPJ, empresa do grupo) - mutuo em EMPRESTIMOS A TERCEIROS (366); nao e fornecedor</t>
        </is>
      </c>
      <c r="L1187" s="4" t="inlineStr">
        <is>
          <t xml:space="preserve">OUTRAS SAIDAS | 123/71 | </t>
        </is>
      </c>
      <c r="M1187" s="4" t="inlineStr">
        <is>
          <t>PIX ENVIADO GULA COSMETI</t>
        </is>
      </c>
    </row>
    <row r="1188">
      <c r="A1188" t="n">
        <v>1187</v>
      </c>
      <c r="B1188" t="inlineStr">
        <is>
          <t>11/06/2026</t>
        </is>
      </c>
      <c r="C1188" t="inlineStr">
        <is>
          <t>PIX ENVIADO MARCIA DO CA</t>
        </is>
      </c>
      <c r="D1188" s="7" t="n">
        <v>-1823.65</v>
      </c>
      <c r="E1188" t="inlineStr">
        <is>
          <t>506</t>
        </is>
      </c>
      <c r="F1188" t="inlineStr">
        <is>
          <t>FORNECEDORES DIVERSOS</t>
        </is>
      </c>
      <c r="G1188" s="2" t="inlineStr">
        <is>
          <t>506</t>
        </is>
      </c>
      <c r="H1188">
        <f>IFERROR(VLOOKUP(G1188&amp;"",PLANO!A:B,2,FALSE),"CONTA NAO EXISTE NO PLANO")</f>
        <v/>
      </c>
      <c r="I1188" t="inlineStr">
        <is>
          <t>506</t>
        </is>
      </c>
      <c r="J1188" t="inlineStr">
        <is>
          <t>SEM COSMOS</t>
        </is>
      </c>
      <c r="K1188" t="inlineStr"/>
      <c r="L1188" t="inlineStr"/>
      <c r="M1188" t="inlineStr">
        <is>
          <t>PIX ENVIADO MARCIA DO CA</t>
        </is>
      </c>
    </row>
    <row r="1189">
      <c r="A1189" s="4" t="n">
        <v>1188</v>
      </c>
      <c r="B1189" s="4" t="inlineStr">
        <is>
          <t>11/06/2026</t>
        </is>
      </c>
      <c r="C1189" s="4" t="inlineStr">
        <is>
          <t>PIX ENVIADO GULA COSMETI</t>
        </is>
      </c>
      <c r="D1189" s="5" t="n">
        <v>-800</v>
      </c>
      <c r="E1189" s="4" t="inlineStr">
        <is>
          <t>506</t>
        </is>
      </c>
      <c r="F1189" s="4" t="inlineStr">
        <is>
          <t>FORNECEDORES DIVERSOS</t>
        </is>
      </c>
      <c r="G1189" s="6" t="inlineStr">
        <is>
          <t>366</t>
        </is>
      </c>
      <c r="H1189" s="4">
        <f>IFERROR(VLOOKUP(G1189&amp;"",PLANO!A:B,2,FALSE),"CONTA NAO EXISTE NO PLANO")</f>
        <v/>
      </c>
      <c r="I1189" s="4" t="inlineStr">
        <is>
          <t>672</t>
        </is>
      </c>
      <c r="J1189" s="4" t="inlineStr">
        <is>
          <t>AJUSTADO</t>
        </is>
      </c>
      <c r="K1189" s="4" t="inlineStr">
        <is>
          <t>GULA/FIQUE BEM (mesmo CNPJ, empresa do grupo) - mutuo em EMPRESTIMOS A TERCEIROS (366); nao e fornecedor</t>
        </is>
      </c>
      <c r="L1189" s="4" t="inlineStr"/>
      <c r="M1189" s="4" t="inlineStr">
        <is>
          <t>PIX ENVIADO GULA COSMETI</t>
        </is>
      </c>
    </row>
    <row r="1190">
      <c r="A1190" s="4" t="n">
        <v>1189</v>
      </c>
      <c r="B1190" s="4" t="inlineStr">
        <is>
          <t>11/06/2026</t>
        </is>
      </c>
      <c r="C1190" s="4" t="inlineStr">
        <is>
          <t>PLUS SANTE</t>
        </is>
      </c>
      <c r="D1190" s="5" t="n">
        <v>-349.37</v>
      </c>
      <c r="E1190" s="4" t="inlineStr">
        <is>
          <t>653</t>
        </is>
      </c>
      <c r="F1190" s="4" t="inlineStr">
        <is>
          <t>PLANO DE SAÚDE EMPREGADO</t>
        </is>
      </c>
      <c r="G1190" s="6" t="inlineStr">
        <is>
          <t>653</t>
        </is>
      </c>
      <c r="H1190" s="4">
        <f>IFERROR(VLOOKUP(G1190&amp;"",PLANO!A:B,2,FALSE),"CONTA NAO EXISTE NO PLANO")</f>
        <v/>
      </c>
      <c r="I1190" s="4" t="inlineStr">
        <is>
          <t>653</t>
        </is>
      </c>
      <c r="J1190" s="4" t="inlineStr">
        <is>
          <t>AJUSTADO</t>
        </is>
      </c>
      <c r="K1190" s="4" t="inlineStr">
        <is>
          <t>atendimento medico empregados</t>
        </is>
      </c>
      <c r="L1190" s="4" t="inlineStr">
        <is>
          <t>PLUS SANTE | 115/45 | PGTO REF.SERVIÇOS PRESTADOS DE ATENDIMENTO E ENCAMINHAMENTO CONF.CONTRATO</t>
        </is>
      </c>
      <c r="M1190" s="4" t="inlineStr">
        <is>
          <t>PLUS SANTE - PGTO REF.SERVIÇOS PRESTADOS DE ATENDIMENTO E ENCAMINHAMENTO CONF.CONTRATO</t>
        </is>
      </c>
    </row>
    <row r="1191">
      <c r="A1191" t="n">
        <v>1190</v>
      </c>
      <c r="B1191" t="inlineStr">
        <is>
          <t>11/06/2026</t>
        </is>
      </c>
      <c r="C1191" t="inlineStr">
        <is>
          <t>SINDICATO IND PROD HIG PESSOAL COMS PERF PR</t>
        </is>
      </c>
      <c r="D1191" s="7" t="n">
        <v>-366.32</v>
      </c>
      <c r="E1191" t="inlineStr">
        <is>
          <t>350</t>
        </is>
      </c>
      <c r="F1191" t="inlineStr">
        <is>
          <t>TAXAS DIVERSAS</t>
        </is>
      </c>
      <c r="G1191" s="2" t="inlineStr">
        <is>
          <t>350</t>
        </is>
      </c>
      <c r="H1191">
        <f>IFERROR(VLOOKUP(G1191&amp;"",PLANO!A:B,2,FALSE),"CONTA NAO EXISTE NO PLANO")</f>
        <v/>
      </c>
      <c r="I1191" t="inlineStr">
        <is>
          <t>350</t>
        </is>
      </c>
      <c r="J1191" t="inlineStr">
        <is>
          <t>OK</t>
        </is>
      </c>
      <c r="K1191" t="inlineStr">
        <is>
          <t>categoria Cosmos 124</t>
        </is>
      </c>
      <c r="L1191" t="inlineStr">
        <is>
          <t>SINDICATO IND PROD HIG PESSOAL COMS PERF PR | 115/124 | PGTO REF.MENSALIDADE SINDICATO PATRONAL CONF.CLAUSULA DE ASSOCIAÇÃO</t>
        </is>
      </c>
      <c r="M1191" t="inlineStr">
        <is>
          <t>SINDICATO IND PROD HIG PESSOAL COMS PERF PR - PGTO REF.MENSALIDADE SINDICATO PATRONAL CONF.CLAUSULA DE ASSOCIAÇÃO</t>
        </is>
      </c>
    </row>
    <row r="1192">
      <c r="A1192" s="11" t="n">
        <v>1191</v>
      </c>
      <c r="B1192" s="11" t="inlineStr">
        <is>
          <t>11/06/2026</t>
        </is>
      </c>
      <c r="C1192" s="11" t="inlineStr">
        <is>
          <t>OXXYGENIO SITIO</t>
        </is>
      </c>
      <c r="D1192" s="12" t="n">
        <v>-520</v>
      </c>
      <c r="E1192" s="11" t="inlineStr">
        <is>
          <t>506</t>
        </is>
      </c>
      <c r="F1192" s="11" t="inlineStr">
        <is>
          <t>FORNECEDORES DIVERSOS</t>
        </is>
      </c>
      <c r="G1192" s="13" t="inlineStr">
        <is>
          <t>506</t>
        </is>
      </c>
      <c r="H1192" s="11">
        <f>IFERROR(VLOOKUP(G1192&amp;"",PLANO!A:B,2,FALSE),"CONTA NAO EXISTE NO PLANO")</f>
        <v/>
      </c>
      <c r="I1192" s="11" t="inlineStr">
        <is>
          <t>506</t>
        </is>
      </c>
      <c r="J1192" s="11" t="inlineStr">
        <is>
          <t>MANTIDO</t>
        </is>
      </c>
      <c r="K1192" s="11" t="inlineStr">
        <is>
          <t>nitrogenio/materiais | mantida a conta atual (sem informacao que justifique troca)</t>
        </is>
      </c>
      <c r="L1192" s="11" t="inlineStr">
        <is>
          <t>OXXYGENIO SITIO | 115/104 | PAGAMENTO REFERENTE A RECARGA DE NITROGENIO PARA O ENVASE</t>
        </is>
      </c>
      <c r="M1192" s="11" t="inlineStr">
        <is>
          <t>OXXYGENIO SITIO - PAGAMENTO REFERENTE A RECARGA DE NITROGENIO PARA O ENVASE</t>
        </is>
      </c>
    </row>
    <row r="1193">
      <c r="A1193" t="n">
        <v>1192</v>
      </c>
      <c r="B1193" t="inlineStr">
        <is>
          <t>11/06/2026</t>
        </is>
      </c>
      <c r="C1193" t="inlineStr">
        <is>
          <t>LOVIZ ENTRETENIMENTO E TELECOMUNICACOES LTDA</t>
        </is>
      </c>
      <c r="D1193" s="7" t="n">
        <v>-204.04</v>
      </c>
      <c r="E1193" t="inlineStr">
        <is>
          <t>555</t>
        </is>
      </c>
      <c r="F1193" t="inlineStr">
        <is>
          <t>INTERNET</t>
        </is>
      </c>
      <c r="G1193" s="2" t="inlineStr">
        <is>
          <t>555</t>
        </is>
      </c>
      <c r="H1193">
        <f>IFERROR(VLOOKUP(G1193&amp;"",PLANO!A:B,2,FALSE),"CONTA NAO EXISTE NO PLANO")</f>
        <v/>
      </c>
      <c r="I1193" t="inlineStr">
        <is>
          <t>555</t>
        </is>
      </c>
      <c r="J1193" t="inlineStr">
        <is>
          <t>OK</t>
        </is>
      </c>
      <c r="K1193" t="inlineStr">
        <is>
          <t>categoria Cosmos 14</t>
        </is>
      </c>
      <c r="L1193" t="inlineStr">
        <is>
          <t>LOVIZ ENTRETENIMENTO E TELECOMUNICACOES LTDA | 115/14 | PGTO REF.INTERNET 10 GIGA</t>
        </is>
      </c>
      <c r="M1193" t="inlineStr">
        <is>
          <t>LOVIZ ENTRETENIMENTO E TELECOMUNICACOES LTDA - PGTO REF.INTERNET 10 GIGA</t>
        </is>
      </c>
    </row>
    <row r="1194">
      <c r="A1194" t="n">
        <v>1193</v>
      </c>
      <c r="B1194" t="inlineStr">
        <is>
          <t>12/06/2026</t>
        </is>
      </c>
      <c r="C1194" t="inlineStr">
        <is>
          <t>MOV TÍT COB DISP 12/06S</t>
        </is>
      </c>
      <c r="D1194" s="7" t="n">
        <v>3859.4</v>
      </c>
      <c r="E1194" t="inlineStr">
        <is>
          <t>504</t>
        </is>
      </c>
      <c r="F1194" t="inlineStr">
        <is>
          <t>CLIENTES DIVERSOS</t>
        </is>
      </c>
      <c r="G1194" s="2" t="inlineStr">
        <is>
          <t>504</t>
        </is>
      </c>
      <c r="H1194">
        <f>IFERROR(VLOOKUP(G1194&amp;"",PLANO!A:B,2,FALSE),"CONTA NAO EXISTE NO PLANO")</f>
        <v/>
      </c>
      <c r="I1194" t="inlineStr">
        <is>
          <t>504</t>
        </is>
      </c>
      <c r="J1194" t="inlineStr">
        <is>
          <t>SEM COSMOS</t>
        </is>
      </c>
      <c r="K1194" t="inlineStr"/>
      <c r="L1194" t="inlineStr"/>
      <c r="M1194" t="inlineStr">
        <is>
          <t>MOV TÍT COB DISP 12/06S</t>
        </is>
      </c>
    </row>
    <row r="1195">
      <c r="A1195" t="n">
        <v>1194</v>
      </c>
      <c r="B1195" t="inlineStr">
        <is>
          <t>12/06/2026</t>
        </is>
      </c>
      <c r="C1195" t="inlineStr">
        <is>
          <t>PIX TRANSF EDSON G12/06</t>
        </is>
      </c>
      <c r="D1195" s="7" t="n">
        <v>13992.5</v>
      </c>
      <c r="E1195" t="inlineStr">
        <is>
          <t>504</t>
        </is>
      </c>
      <c r="F1195" t="inlineStr">
        <is>
          <t>CLIENTES DIVERSOS</t>
        </is>
      </c>
      <c r="G1195" s="2" t="inlineStr">
        <is>
          <t>504</t>
        </is>
      </c>
      <c r="H1195">
        <f>IFERROR(VLOOKUP(G1195&amp;"",PLANO!A:B,2,FALSE),"CONTA NAO EXISTE NO PLANO")</f>
        <v/>
      </c>
      <c r="I1195" t="inlineStr">
        <is>
          <t>504</t>
        </is>
      </c>
      <c r="J1195" t="inlineStr">
        <is>
          <t>SEM COSMOS</t>
        </is>
      </c>
      <c r="K1195" t="inlineStr"/>
      <c r="L1195" t="inlineStr"/>
      <c r="M1195" t="inlineStr">
        <is>
          <t>PIX TRANSF EDSON G12/06</t>
        </is>
      </c>
    </row>
    <row r="1196">
      <c r="A1196" t="n">
        <v>1195</v>
      </c>
      <c r="B1196" t="inlineStr">
        <is>
          <t>12/06/2026</t>
        </is>
      </c>
      <c r="C1196" t="inlineStr">
        <is>
          <t>PIX TRANSF NATURAL12/06</t>
        </is>
      </c>
      <c r="D1196" s="7" t="n">
        <v>1465.96</v>
      </c>
      <c r="E1196" t="inlineStr">
        <is>
          <t>504</t>
        </is>
      </c>
      <c r="F1196" t="inlineStr">
        <is>
          <t>CLIENTES DIVERSOS</t>
        </is>
      </c>
      <c r="G1196" s="2" t="inlineStr">
        <is>
          <t>504</t>
        </is>
      </c>
      <c r="H1196">
        <f>IFERROR(VLOOKUP(G1196&amp;"",PLANO!A:B,2,FALSE),"CONTA NAO EXISTE NO PLANO")</f>
        <v/>
      </c>
      <c r="I1196" t="inlineStr">
        <is>
          <t>504</t>
        </is>
      </c>
      <c r="J1196" t="inlineStr">
        <is>
          <t>SEM COSMOS</t>
        </is>
      </c>
      <c r="K1196" t="inlineStr"/>
      <c r="L1196" t="inlineStr"/>
      <c r="M1196" t="inlineStr">
        <is>
          <t>PIX TRANSF NATURAL12/06</t>
        </is>
      </c>
    </row>
    <row r="1197">
      <c r="A1197" s="4" t="n">
        <v>1196</v>
      </c>
      <c r="B1197" s="4" t="inlineStr">
        <is>
          <t>12/06/2026</t>
        </is>
      </c>
      <c r="C1197" s="4" t="inlineStr">
        <is>
          <t>PIX ENVIADO GULA COSMETI</t>
        </is>
      </c>
      <c r="D1197" s="5" t="n">
        <v>-2000</v>
      </c>
      <c r="E1197" s="4" t="inlineStr">
        <is>
          <t>506</t>
        </is>
      </c>
      <c r="F1197" s="4" t="inlineStr">
        <is>
          <t>FORNECEDORES DIVERSOS</t>
        </is>
      </c>
      <c r="G1197" s="6" t="inlineStr">
        <is>
          <t>366</t>
        </is>
      </c>
      <c r="H1197" s="4">
        <f>IFERROR(VLOOKUP(G1197&amp;"",PLANO!A:B,2,FALSE),"CONTA NAO EXISTE NO PLANO")</f>
        <v/>
      </c>
      <c r="I1197" s="4" t="inlineStr">
        <is>
          <t>672</t>
        </is>
      </c>
      <c r="J1197" s="4" t="inlineStr">
        <is>
          <t>AJUSTADO</t>
        </is>
      </c>
      <c r="K1197" s="4" t="inlineStr">
        <is>
          <t>GULA/FIQUE BEM (mesmo CNPJ, empresa do grupo) - mutuo em EMPRESTIMOS A TERCEIROS (366); nao e fornecedor</t>
        </is>
      </c>
      <c r="L1197" s="4" t="inlineStr"/>
      <c r="M1197" s="4" t="inlineStr">
        <is>
          <t>PIX ENVIADO GULA COSMETI</t>
        </is>
      </c>
    </row>
    <row r="1198">
      <c r="A1198" t="n">
        <v>1197</v>
      </c>
      <c r="B1198" t="inlineStr">
        <is>
          <t>12/06/2026</t>
        </is>
      </c>
      <c r="C1198" t="inlineStr">
        <is>
          <t>BISPHARMA EMBALAGENS LTDA</t>
        </is>
      </c>
      <c r="D1198" s="7" t="n">
        <v>-10677.38</v>
      </c>
      <c r="E1198" t="inlineStr">
        <is>
          <t>506</t>
        </is>
      </c>
      <c r="F1198" t="inlineStr">
        <is>
          <t>FORNECEDORES DIVERSOS</t>
        </is>
      </c>
      <c r="G1198" s="2" t="inlineStr">
        <is>
          <t>506</t>
        </is>
      </c>
      <c r="H1198">
        <f>IFERROR(VLOOKUP(G1198&amp;"",PLANO!A:B,2,FALSE),"CONTA NAO EXISTE NO PLANO")</f>
        <v/>
      </c>
      <c r="I1198" t="inlineStr">
        <is>
          <t>506</t>
        </is>
      </c>
      <c r="J1198" t="inlineStr">
        <is>
          <t>OK</t>
        </is>
      </c>
      <c r="K1198" t="inlineStr">
        <is>
          <t>fornecedor com NF</t>
        </is>
      </c>
      <c r="L1198" t="inlineStr">
        <is>
          <t>BISPHARMA EMBALAGENS LTDA | 115/9 | PGTO REF.ACORDO REALIZO POR MICHEL NA DATA DE 27/05/2026</t>
        </is>
      </c>
      <c r="M1198" t="inlineStr">
        <is>
          <t>BISPHARMA EMBALAGENS LTDA - PGTO REF.ACORDO REALIZO POR MICHEL NA DATA DE 27/05/2026</t>
        </is>
      </c>
    </row>
    <row r="1199">
      <c r="A1199" s="8" t="n">
        <v>1198</v>
      </c>
      <c r="B1199" s="8" t="inlineStr">
        <is>
          <t>12/06/2026</t>
        </is>
      </c>
      <c r="C1199" s="8" t="inlineStr">
        <is>
          <t>BRASPRESS TRANSPORTES URGENTES LTDA</t>
        </is>
      </c>
      <c r="D1199" s="9" t="n">
        <v>-1518.88</v>
      </c>
      <c r="E1199" s="8" t="inlineStr">
        <is>
          <t>350</t>
        </is>
      </c>
      <c r="F1199" s="8" t="inlineStr">
        <is>
          <t>TAXAS DIVERSAS</t>
        </is>
      </c>
      <c r="G1199" s="10" t="inlineStr">
        <is>
          <t>312</t>
        </is>
      </c>
      <c r="H1199" s="8">
        <f>IFERROR(VLOOKUP(G1199&amp;"",PLANO!A:B,2,FALSE),"CONTA NAO EXISTE NO PLANO")</f>
        <v/>
      </c>
      <c r="I1199" s="8" t="inlineStr">
        <is>
          <t>312</t>
        </is>
      </c>
      <c r="J1199" s="8" t="inlineStr">
        <is>
          <t>CORRIGIR</t>
        </is>
      </c>
      <c r="K1199" s="8" t="inlineStr">
        <is>
          <t>categoria Cosmos 97</t>
        </is>
      </c>
      <c r="L1199" s="8" t="inlineStr">
        <is>
          <t>BRASPRESS TRANSPORTES URGENTES LTDA | 115/97 | PAG REF A FRETE SOBRE VENDAS NF 8410, 8363, 8347, 8400 E 8384</t>
        </is>
      </c>
      <c r="M1199" s="8" t="inlineStr">
        <is>
          <t>BRASPRESS TRANSPORTES URGENTES LTDA - PAG REF A FRETE SOBRE VENDAS NF 8410, 8363, 8347, 8400 E 8384</t>
        </is>
      </c>
    </row>
    <row r="1200">
      <c r="A1200" t="n">
        <v>1199</v>
      </c>
      <c r="B1200" t="inlineStr">
        <is>
          <t>15/06/2026</t>
        </is>
      </c>
      <c r="C1200" t="inlineStr">
        <is>
          <t>MOV TÍT COB DISP 13/06S</t>
        </is>
      </c>
      <c r="D1200" s="7" t="n">
        <v>241.29</v>
      </c>
      <c r="E1200" t="inlineStr">
        <is>
          <t>504</t>
        </is>
      </c>
      <c r="F1200" t="inlineStr">
        <is>
          <t>CLIENTES DIVERSOS</t>
        </is>
      </c>
      <c r="G1200" s="2" t="inlineStr">
        <is>
          <t>504</t>
        </is>
      </c>
      <c r="H1200">
        <f>IFERROR(VLOOKUP(G1200&amp;"",PLANO!A:B,2,FALSE),"CONTA NAO EXISTE NO PLANO")</f>
        <v/>
      </c>
      <c r="I1200" t="inlineStr">
        <is>
          <t>504</t>
        </is>
      </c>
      <c r="J1200" t="inlineStr">
        <is>
          <t>SEM COSMOS</t>
        </is>
      </c>
      <c r="K1200" t="inlineStr"/>
      <c r="L1200" t="inlineStr"/>
      <c r="M1200" t="inlineStr">
        <is>
          <t>MOV TÍT COB DISP 13/06S</t>
        </is>
      </c>
    </row>
    <row r="1201">
      <c r="A1201" t="n">
        <v>1200</v>
      </c>
      <c r="B1201" t="inlineStr">
        <is>
          <t>15/06/2026</t>
        </is>
      </c>
      <c r="C1201" t="inlineStr">
        <is>
          <t>MOV TÍT COB DISP 15/06S</t>
        </is>
      </c>
      <c r="D1201" s="7" t="n">
        <v>12237.13</v>
      </c>
      <c r="E1201" t="inlineStr">
        <is>
          <t>504</t>
        </is>
      </c>
      <c r="F1201" t="inlineStr">
        <is>
          <t>CLIENTES DIVERSOS</t>
        </is>
      </c>
      <c r="G1201" s="2" t="inlineStr">
        <is>
          <t>504</t>
        </is>
      </c>
      <c r="H1201">
        <f>IFERROR(VLOOKUP(G1201&amp;"",PLANO!A:B,2,FALSE),"CONTA NAO EXISTE NO PLANO")</f>
        <v/>
      </c>
      <c r="I1201" t="inlineStr">
        <is>
          <t>504</t>
        </is>
      </c>
      <c r="J1201" t="inlineStr">
        <is>
          <t>SEM COSMOS</t>
        </is>
      </c>
      <c r="K1201" t="inlineStr"/>
      <c r="L1201" t="inlineStr"/>
      <c r="M1201" t="inlineStr">
        <is>
          <t>MOV TÍT COB DISP 15/06S</t>
        </is>
      </c>
    </row>
    <row r="1202">
      <c r="A1202" t="n">
        <v>1201</v>
      </c>
      <c r="B1202" t="inlineStr">
        <is>
          <t>15/06/2026</t>
        </is>
      </c>
      <c r="C1202" t="inlineStr">
        <is>
          <t>REDE ELO AT0081996543</t>
        </is>
      </c>
      <c r="D1202" s="7" t="n">
        <v>4368</v>
      </c>
      <c r="E1202" t="inlineStr">
        <is>
          <t>504</t>
        </is>
      </c>
      <c r="F1202" t="inlineStr">
        <is>
          <t>CLIENTES DIVERSOS</t>
        </is>
      </c>
      <c r="G1202" s="2" t="inlineStr">
        <is>
          <t>504</t>
        </is>
      </c>
      <c r="H1202">
        <f>IFERROR(VLOOKUP(G1202&amp;"",PLANO!A:B,2,FALSE),"CONTA NAO EXISTE NO PLANO")</f>
        <v/>
      </c>
      <c r="I1202" t="inlineStr">
        <is>
          <t>504</t>
        </is>
      </c>
      <c r="J1202" t="inlineStr">
        <is>
          <t>SEM COSMOS</t>
        </is>
      </c>
      <c r="K1202" t="inlineStr"/>
      <c r="L1202" t="inlineStr"/>
      <c r="M1202" t="inlineStr">
        <is>
          <t>REDE ELO AT0081996543</t>
        </is>
      </c>
    </row>
    <row r="1203">
      <c r="A1203" t="n">
        <v>1202</v>
      </c>
      <c r="B1203" t="inlineStr">
        <is>
          <t>15/06/2026</t>
        </is>
      </c>
      <c r="C1203" t="inlineStr">
        <is>
          <t>PIX QRS ONIXSUL COS15/06</t>
        </is>
      </c>
      <c r="D1203" s="7" t="n">
        <v>3444</v>
      </c>
      <c r="E1203" t="inlineStr">
        <is>
          <t>504</t>
        </is>
      </c>
      <c r="F1203" t="inlineStr">
        <is>
          <t>CLIENTES DIVERSOS</t>
        </is>
      </c>
      <c r="G1203" s="2" t="inlineStr">
        <is>
          <t>504</t>
        </is>
      </c>
      <c r="H1203">
        <f>IFERROR(VLOOKUP(G1203&amp;"",PLANO!A:B,2,FALSE),"CONTA NAO EXISTE NO PLANO")</f>
        <v/>
      </c>
      <c r="I1203" t="inlineStr">
        <is>
          <t>504</t>
        </is>
      </c>
      <c r="J1203" t="inlineStr">
        <is>
          <t>SEM COSMOS</t>
        </is>
      </c>
      <c r="K1203" t="inlineStr"/>
      <c r="L1203" t="inlineStr"/>
      <c r="M1203" t="inlineStr">
        <is>
          <t>PIX QRS ONIXSUL COS15/06</t>
        </is>
      </c>
    </row>
    <row r="1204">
      <c r="A1204" t="n">
        <v>1203</v>
      </c>
      <c r="B1204" t="inlineStr">
        <is>
          <t>15/06/2026</t>
        </is>
      </c>
      <c r="C1204" t="inlineStr">
        <is>
          <t>PIX TRANSF B CHIC 15/06</t>
        </is>
      </c>
      <c r="D1204" s="7" t="n">
        <v>2000</v>
      </c>
      <c r="E1204" t="inlineStr">
        <is>
          <t>504</t>
        </is>
      </c>
      <c r="F1204" t="inlineStr">
        <is>
          <t>CLIENTES DIVERSOS</t>
        </is>
      </c>
      <c r="G1204" s="2" t="inlineStr">
        <is>
          <t>504</t>
        </is>
      </c>
      <c r="H1204">
        <f>IFERROR(VLOOKUP(G1204&amp;"",PLANO!A:B,2,FALSE),"CONTA NAO EXISTE NO PLANO")</f>
        <v/>
      </c>
      <c r="I1204" t="inlineStr">
        <is>
          <t>504</t>
        </is>
      </c>
      <c r="J1204" t="inlineStr">
        <is>
          <t>SEM COSMOS</t>
        </is>
      </c>
      <c r="K1204" t="inlineStr"/>
      <c r="L1204" t="inlineStr"/>
      <c r="M1204" t="inlineStr">
        <is>
          <t>PIX TRANSF B CHIC 15/06</t>
        </is>
      </c>
    </row>
    <row r="1205">
      <c r="A1205" s="8" t="n">
        <v>1204</v>
      </c>
      <c r="B1205" s="8" t="inlineStr">
        <is>
          <t>15/06/2026</t>
        </is>
      </c>
      <c r="C1205" s="8" t="inlineStr">
        <is>
          <t>COMPANHIA DE SANEAMENTO DO PARANA SANEPAR</t>
        </is>
      </c>
      <c r="D1205" s="9" t="n">
        <v>-1130.6</v>
      </c>
      <c r="E1205" s="8" t="inlineStr">
        <is>
          <t>354</t>
        </is>
      </c>
      <c r="F1205" s="8" t="inlineStr">
        <is>
          <t>ENERGIA ELÉTRICA</t>
        </is>
      </c>
      <c r="G1205" s="10" t="inlineStr">
        <is>
          <t>355</t>
        </is>
      </c>
      <c r="H1205" s="8">
        <f>IFERROR(VLOOKUP(G1205&amp;"",PLANO!A:B,2,FALSE),"CONTA NAO EXISTE NO PLANO")</f>
        <v/>
      </c>
      <c r="I1205" s="8" t="inlineStr">
        <is>
          <t>355</t>
        </is>
      </c>
      <c r="J1205" s="8" t="inlineStr">
        <is>
          <t>CORRIGIR</t>
        </is>
      </c>
      <c r="K1205" s="8" t="inlineStr">
        <is>
          <t>categoria Cosmos 12</t>
        </is>
      </c>
      <c r="L1205" s="8" t="inlineStr">
        <is>
          <t>COMPANHIA DE SANEAMENTO DO PARANA SANEPAR | 115/12 | PGTO REF.CONSUMO DE AGUA E ESGOTO</t>
        </is>
      </c>
      <c r="M1205" s="8" t="inlineStr">
        <is>
          <t>COMPANHIA DE SANEAMENTO DO PARANA SANEPAR - PGTO REF.CONSUMO DE AGUA E ESGOTO</t>
        </is>
      </c>
    </row>
    <row r="1206">
      <c r="A1206" s="11" t="n">
        <v>1205</v>
      </c>
      <c r="B1206" s="11" t="inlineStr">
        <is>
          <t>15/06/2026</t>
        </is>
      </c>
      <c r="C1206" s="11" t="inlineStr">
        <is>
          <t>CARLOS ALEXANDRE MAZZONI</t>
        </is>
      </c>
      <c r="D1206" s="12" t="n">
        <v>-120</v>
      </c>
      <c r="E1206" s="11" t="inlineStr">
        <is>
          <t>362</t>
        </is>
      </c>
      <c r="F1206" s="11" t="inlineStr">
        <is>
          <t>SERVIÇOS PRESTADOS POR TERCEIROS</t>
        </is>
      </c>
      <c r="G1206" s="13" t="inlineStr">
        <is>
          <t>362</t>
        </is>
      </c>
      <c r="H1206" s="11">
        <f>IFERROR(VLOOKUP(G1206&amp;"",PLANO!A:B,2,FALSE),"CONTA NAO EXISTE NO PLANO")</f>
        <v/>
      </c>
      <c r="I1206" s="11" t="inlineStr">
        <is>
          <t>362</t>
        </is>
      </c>
      <c r="J1206" s="11" t="inlineStr">
        <is>
          <t>MANTIDO</t>
        </is>
      </c>
      <c r="K1206" s="11" t="inlineStr">
        <is>
          <t>socios Mazzoni (fora do contrato social) - mantido como estava</t>
        </is>
      </c>
      <c r="L1206" s="11" t="inlineStr">
        <is>
          <t>CARLOS ALEXANDRE MAZZONI | 115/33 | PGTO REF.PRO-LABORE</t>
        </is>
      </c>
      <c r="M1206" s="11" t="inlineStr">
        <is>
          <t>CARLOS ALEXANDRE MAZZONI - PGTO REF.PRO-LABORE</t>
        </is>
      </c>
    </row>
    <row r="1207">
      <c r="A1207" s="4" t="n">
        <v>1206</v>
      </c>
      <c r="B1207" s="4" t="inlineStr">
        <is>
          <t>15/06/2026</t>
        </is>
      </c>
      <c r="C1207" s="4" t="inlineStr">
        <is>
          <t>PIX ENVIADO COSMETICON C</t>
        </is>
      </c>
      <c r="D1207" s="5" t="n">
        <v>-8500</v>
      </c>
      <c r="E1207" s="4" t="inlineStr">
        <is>
          <t>664</t>
        </is>
      </c>
      <c r="F1207" s="4" t="inlineStr">
        <is>
          <t>COSMETICON COMERCIO DE COSMETICOS LTDA</t>
        </is>
      </c>
      <c r="G1207" s="6" t="inlineStr">
        <is>
          <t>663</t>
        </is>
      </c>
      <c r="H1207" s="4">
        <f>IFERROR(VLOOKUP(G1207&amp;"",PLANO!A:B,2,FALSE),"CONTA NAO EXISTE NO PLANO")</f>
        <v/>
      </c>
      <c r="I1207" s="4" t="inlineStr">
        <is>
          <t>663</t>
        </is>
      </c>
      <c r="J1207" s="4" t="inlineStr">
        <is>
          <t>AJUSTADO</t>
        </is>
      </c>
      <c r="K1207" s="4" t="inlineStr">
        <is>
          <t>COSMETICON - conta-corrente unica de mutuo (663)</t>
        </is>
      </c>
      <c r="L1207" s="4" t="inlineStr">
        <is>
          <t xml:space="preserve">OUTRAS SAIDAS | 123/71 | </t>
        </is>
      </c>
      <c r="M1207" s="4" t="inlineStr">
        <is>
          <t>PIX ENVIADO COSMETICON C</t>
        </is>
      </c>
    </row>
    <row r="1208">
      <c r="A1208" t="n">
        <v>1207</v>
      </c>
      <c r="B1208" t="inlineStr">
        <is>
          <t>15/06/2026</t>
        </is>
      </c>
      <c r="C1208" t="inlineStr">
        <is>
          <t>BOLETO PAGO TEX COURIER</t>
        </is>
      </c>
      <c r="D1208" s="7" t="n">
        <v>-838.8</v>
      </c>
      <c r="E1208" t="inlineStr">
        <is>
          <t>312</t>
        </is>
      </c>
      <c r="F1208" t="inlineStr">
        <is>
          <t>FRETES E CARRETOS</t>
        </is>
      </c>
      <c r="G1208" s="2" t="inlineStr">
        <is>
          <t>312</t>
        </is>
      </c>
      <c r="H1208">
        <f>IFERROR(VLOOKUP(G1208&amp;"",PLANO!A:B,2,FALSE),"CONTA NAO EXISTE NO PLANO")</f>
        <v/>
      </c>
      <c r="I1208" t="inlineStr">
        <is>
          <t>312</t>
        </is>
      </c>
      <c r="J1208" t="inlineStr">
        <is>
          <t>SEM COSMOS</t>
        </is>
      </c>
      <c r="K1208" t="inlineStr"/>
      <c r="L1208" t="inlineStr"/>
      <c r="M1208" t="inlineStr">
        <is>
          <t>BOLETO PAGO TEX COURIER</t>
        </is>
      </c>
    </row>
    <row r="1209">
      <c r="A1209" s="11" t="n">
        <v>1208</v>
      </c>
      <c r="B1209" s="11" t="inlineStr">
        <is>
          <t>15/06/2026</t>
        </is>
      </c>
      <c r="C1209" s="11" t="inlineStr">
        <is>
          <t>FARMACIA E DROGARIA NISSEI LTDA</t>
        </is>
      </c>
      <c r="D1209" s="12" t="n">
        <v>-191.05</v>
      </c>
      <c r="E1209" s="11" t="inlineStr">
        <is>
          <t>493</t>
        </is>
      </c>
      <c r="F1209" s="11" t="inlineStr">
        <is>
          <t>DESPESAS DIVERSAS</t>
        </is>
      </c>
      <c r="G1209" s="13" t="inlineStr">
        <is>
          <t>493</t>
        </is>
      </c>
      <c r="H1209" s="11">
        <f>IFERROR(VLOOKUP(G1209&amp;"",PLANO!A:B,2,FALSE),"CONTA NAO EXISTE NO PLANO")</f>
        <v/>
      </c>
      <c r="I1209" s="11" t="inlineStr">
        <is>
          <t>493</t>
        </is>
      </c>
      <c r="J1209" s="11" t="inlineStr">
        <is>
          <t>MANTIDO</t>
        </is>
      </c>
      <c r="K1209" s="11" t="inlineStr">
        <is>
          <t>folha/convenio farmacia desconto em folha | mantida a conta atual (sem informacao que justifique troca)</t>
        </is>
      </c>
      <c r="L1209" s="11" t="inlineStr">
        <is>
          <t>FARMACIA E DROGARIA NISSEI LTDA | 115/17 | PGTO REF.DESCONTO EM FOLHA</t>
        </is>
      </c>
      <c r="M1209" s="11" t="inlineStr">
        <is>
          <t>FARMACIA E DROGARIA NISSEI LTDA - PGTO REF.DESCONTO EM FOLHA</t>
        </is>
      </c>
    </row>
    <row r="1210">
      <c r="A1210" t="n">
        <v>1209</v>
      </c>
      <c r="B1210" t="inlineStr">
        <is>
          <t>15/06/2026</t>
        </is>
      </c>
      <c r="C1210" t="inlineStr">
        <is>
          <t>COPEL TELECOMUNICACOES S.A.</t>
        </is>
      </c>
      <c r="D1210" s="7" t="n">
        <v>-575.04</v>
      </c>
      <c r="E1210" t="inlineStr">
        <is>
          <t>555</t>
        </is>
      </c>
      <c r="F1210" t="inlineStr">
        <is>
          <t>INTERNET</t>
        </is>
      </c>
      <c r="G1210" s="2" t="inlineStr">
        <is>
          <t>555</t>
        </is>
      </c>
      <c r="H1210">
        <f>IFERROR(VLOOKUP(G1210&amp;"",PLANO!A:B,2,FALSE),"CONTA NAO EXISTE NO PLANO")</f>
        <v/>
      </c>
      <c r="I1210" t="inlineStr">
        <is>
          <t>555</t>
        </is>
      </c>
      <c r="J1210" t="inlineStr">
        <is>
          <t>OK</t>
        </is>
      </c>
      <c r="K1210" t="inlineStr">
        <is>
          <t>categoria Cosmos 14</t>
        </is>
      </c>
      <c r="L1210" t="inlineStr">
        <is>
          <t>COPEL TELECOMUNICACOES S.A. | 115/14 | PGTO REF.SERVIÇO DE IP FIXO</t>
        </is>
      </c>
      <c r="M1210" t="inlineStr">
        <is>
          <t>COPEL TELECOMUNICACOES S.A. - PGTO REF.SERVIÇO DE IP FIXO</t>
        </is>
      </c>
    </row>
    <row r="1211">
      <c r="A1211" t="n">
        <v>1210</v>
      </c>
      <c r="B1211" t="inlineStr">
        <is>
          <t>15/06/2026</t>
        </is>
      </c>
      <c r="C1211" t="inlineStr">
        <is>
          <t>BOLETO PAGO RAPIDO ABC T</t>
        </is>
      </c>
      <c r="D1211" s="7" t="n">
        <v>-1500</v>
      </c>
      <c r="E1211" t="inlineStr">
        <is>
          <t>312</t>
        </is>
      </c>
      <c r="F1211" t="inlineStr">
        <is>
          <t>FRETES E CARRETOS</t>
        </is>
      </c>
      <c r="G1211" s="2" t="inlineStr">
        <is>
          <t>312</t>
        </is>
      </c>
      <c r="H1211">
        <f>IFERROR(VLOOKUP(G1211&amp;"",PLANO!A:B,2,FALSE),"CONTA NAO EXISTE NO PLANO")</f>
        <v/>
      </c>
      <c r="I1211" t="inlineStr">
        <is>
          <t>312</t>
        </is>
      </c>
      <c r="J1211" t="inlineStr">
        <is>
          <t>SEM COSMOS</t>
        </is>
      </c>
      <c r="K1211" t="inlineStr"/>
      <c r="L1211" t="inlineStr"/>
      <c r="M1211" t="inlineStr">
        <is>
          <t>BOLETO PAGO RAPIDO ABC T</t>
        </is>
      </c>
    </row>
    <row r="1212">
      <c r="A1212" t="n">
        <v>1211</v>
      </c>
      <c r="B1212" t="inlineStr">
        <is>
          <t>15/06/2026</t>
        </is>
      </c>
      <c r="C1212" t="inlineStr">
        <is>
          <t>DENTAL UNI COOPERATIVA ODONTOLOGICA</t>
        </is>
      </c>
      <c r="D1212" s="7" t="n">
        <v>-83.17</v>
      </c>
      <c r="E1212" t="inlineStr">
        <is>
          <t>628</t>
        </is>
      </c>
      <c r="F1212" t="inlineStr">
        <is>
          <t>PLANO ODONTOLOGICO</t>
        </is>
      </c>
      <c r="G1212" s="2" t="inlineStr">
        <is>
          <t>628</t>
        </is>
      </c>
      <c r="H1212">
        <f>IFERROR(VLOOKUP(G1212&amp;"",PLANO!A:B,2,FALSE),"CONTA NAO EXISTE NO PLANO")</f>
        <v/>
      </c>
      <c r="I1212" t="inlineStr">
        <is>
          <t>628</t>
        </is>
      </c>
      <c r="J1212" t="inlineStr">
        <is>
          <t>OK</t>
        </is>
      </c>
      <c r="K1212" t="inlineStr">
        <is>
          <t>categoria Cosmos 89</t>
        </is>
      </c>
      <c r="L1212" t="inlineStr">
        <is>
          <t>DENTAL UNI COOPERATIVA ODONTOLOGICA | 115/89 | PGTO REF.PRESTAÇÃO DE SERVIÇOS</t>
        </is>
      </c>
      <c r="M1212" t="inlineStr">
        <is>
          <t>DENTAL UNI COOPERATIVA ODONTOLOGICA - PGTO REF.PRESTAÇÃO DE SERVIÇOS</t>
        </is>
      </c>
    </row>
    <row r="1213">
      <c r="A1213" t="n">
        <v>1212</v>
      </c>
      <c r="B1213" t="inlineStr">
        <is>
          <t>15/06/2026</t>
        </is>
      </c>
      <c r="C1213" t="inlineStr">
        <is>
          <t>BOLETO PAGO MHLOG LOGIST</t>
        </is>
      </c>
      <c r="D1213" s="7" t="n">
        <v>-600.01</v>
      </c>
      <c r="E1213" t="inlineStr">
        <is>
          <t>312</t>
        </is>
      </c>
      <c r="F1213" t="inlineStr">
        <is>
          <t>FRETES E CARRETOS</t>
        </is>
      </c>
      <c r="G1213" s="2" t="inlineStr">
        <is>
          <t>312</t>
        </is>
      </c>
      <c r="H1213">
        <f>IFERROR(VLOOKUP(G1213&amp;"",PLANO!A:B,2,FALSE),"CONTA NAO EXISTE NO PLANO")</f>
        <v/>
      </c>
      <c r="I1213" t="inlineStr">
        <is>
          <t>312</t>
        </is>
      </c>
      <c r="J1213" t="inlineStr">
        <is>
          <t>SEM COSMOS</t>
        </is>
      </c>
      <c r="K1213" t="inlineStr"/>
      <c r="L1213" t="inlineStr"/>
      <c r="M1213" t="inlineStr">
        <is>
          <t>BOLETO PAGO MHLOG LOGIST</t>
        </is>
      </c>
    </row>
    <row r="1214">
      <c r="A1214" t="n">
        <v>1213</v>
      </c>
      <c r="B1214" t="inlineStr">
        <is>
          <t>16/06/2026</t>
        </is>
      </c>
      <c r="C1214" t="inlineStr">
        <is>
          <t>SISPAG FRANCISCO ROSARI</t>
        </is>
      </c>
      <c r="D1214" s="7" t="n">
        <v>8529</v>
      </c>
      <c r="E1214" t="inlineStr">
        <is>
          <t>504</t>
        </is>
      </c>
      <c r="F1214" t="inlineStr">
        <is>
          <t>CLIENTES DIVERSOS</t>
        </is>
      </c>
      <c r="G1214" s="2" t="inlineStr">
        <is>
          <t>504</t>
        </is>
      </c>
      <c r="H1214">
        <f>IFERROR(VLOOKUP(G1214&amp;"",PLANO!A:B,2,FALSE),"CONTA NAO EXISTE NO PLANO")</f>
        <v/>
      </c>
      <c r="I1214" t="inlineStr">
        <is>
          <t>504</t>
        </is>
      </c>
      <c r="J1214" t="inlineStr">
        <is>
          <t>SEM COSMOS</t>
        </is>
      </c>
      <c r="K1214" t="inlineStr"/>
      <c r="L1214" t="inlineStr"/>
      <c r="M1214" t="inlineStr">
        <is>
          <t>SISPAG FRANCISCO ROSARI</t>
        </is>
      </c>
    </row>
    <row r="1215">
      <c r="A1215" t="n">
        <v>1214</v>
      </c>
      <c r="B1215" t="inlineStr">
        <is>
          <t>16/06/2026</t>
        </is>
      </c>
      <c r="C1215" t="inlineStr">
        <is>
          <t>MOV TÍT COB DISP 16/06S</t>
        </is>
      </c>
      <c r="D1215" s="7" t="n">
        <v>1040.64</v>
      </c>
      <c r="E1215" t="inlineStr">
        <is>
          <t>504</t>
        </is>
      </c>
      <c r="F1215" t="inlineStr">
        <is>
          <t>CLIENTES DIVERSOS</t>
        </is>
      </c>
      <c r="G1215" s="2" t="inlineStr">
        <is>
          <t>504</t>
        </is>
      </c>
      <c r="H1215">
        <f>IFERROR(VLOOKUP(G1215&amp;"",PLANO!A:B,2,FALSE),"CONTA NAO EXISTE NO PLANO")</f>
        <v/>
      </c>
      <c r="I1215" t="inlineStr">
        <is>
          <t>504</t>
        </is>
      </c>
      <c r="J1215" t="inlineStr">
        <is>
          <t>SEM COSMOS</t>
        </is>
      </c>
      <c r="K1215" t="inlineStr"/>
      <c r="L1215" t="inlineStr"/>
      <c r="M1215" t="inlineStr">
        <is>
          <t>MOV TÍT COB DISP 16/06S</t>
        </is>
      </c>
    </row>
    <row r="1216">
      <c r="A1216" s="8" t="n">
        <v>1215</v>
      </c>
      <c r="B1216" s="8" t="inlineStr">
        <is>
          <t>16/06/2026</t>
        </is>
      </c>
      <c r="C1216" s="8" t="inlineStr">
        <is>
          <t>VIVO TELEFONICA BRASIL S.A.</t>
        </is>
      </c>
      <c r="D1216" s="9" t="n">
        <v>-108.77</v>
      </c>
      <c r="E1216" s="8" t="inlineStr">
        <is>
          <t>354</t>
        </is>
      </c>
      <c r="F1216" s="8" t="inlineStr">
        <is>
          <t>ENERGIA ELÉTRICA</t>
        </is>
      </c>
      <c r="G1216" s="10" t="inlineStr">
        <is>
          <t>555</t>
        </is>
      </c>
      <c r="H1216" s="8">
        <f>IFERROR(VLOOKUP(G1216&amp;"",PLANO!A:B,2,FALSE),"CONTA NAO EXISTE NO PLANO")</f>
        <v/>
      </c>
      <c r="I1216" s="8" t="inlineStr">
        <is>
          <t>555</t>
        </is>
      </c>
      <c r="J1216" s="8" t="inlineStr">
        <is>
          <t>CORRIGIR</t>
        </is>
      </c>
      <c r="K1216" s="8" t="inlineStr">
        <is>
          <t>categoria Cosmos 14</t>
        </is>
      </c>
      <c r="L1216" s="8" t="inlineStr">
        <is>
          <t>VIVO TELEFONICA BRASIL S.A. | 115/14 | PGTO REF.CELULAR LOJA FISICA SÃO PAULO (11) 3097-8974</t>
        </is>
      </c>
      <c r="M1216" s="8" t="inlineStr">
        <is>
          <t>VIVO TELEFONICA BRASIL S.A. - PGTO REF.CELULAR LOJA FISICA SÃO PAULO (11) 3097-8974</t>
        </is>
      </c>
    </row>
    <row r="1217">
      <c r="A1217" s="4" t="n">
        <v>1216</v>
      </c>
      <c r="B1217" s="4" t="inlineStr">
        <is>
          <t>16/06/2026</t>
        </is>
      </c>
      <c r="C1217" s="4" t="inlineStr">
        <is>
          <t>JUAREZ ANTONIO POLLI E JUCIMARA FURLAN POLLI</t>
        </is>
      </c>
      <c r="D1217" s="5" t="n">
        <v>-4000</v>
      </c>
      <c r="E1217" s="4" t="inlineStr">
        <is>
          <t>506</t>
        </is>
      </c>
      <c r="F1217" s="4" t="inlineStr">
        <is>
          <t>FORNECEDORES DIVERSOS</t>
        </is>
      </c>
      <c r="G1217" s="6" t="inlineStr">
        <is>
          <t>58</t>
        </is>
      </c>
      <c r="H1217" s="4">
        <f>IFERROR(VLOOKUP(G1217&amp;"",PLANO!A:B,2,FALSE),"CONTA NAO EXISTE NO PLANO")</f>
        <v/>
      </c>
      <c r="I1217" s="4" t="inlineStr">
        <is>
          <t>506</t>
        </is>
      </c>
      <c r="J1217" s="4" t="inlineStr">
        <is>
          <t>AJUSTADO</t>
        </is>
      </c>
      <c r="K1217" s="4" t="inlineStr">
        <is>
          <t>material de consumo industrial (filtro, resina, lenha caldeira)</t>
        </is>
      </c>
      <c r="L1217" s="4" t="inlineStr">
        <is>
          <t>JUAREZ ANTONIO POLLI E JUCIMARA FURLAN POLLI | 115/16 | PGTO REF. A COMPRA DE LENHA DE EUCALIPTO</t>
        </is>
      </c>
      <c r="M1217" s="4" t="inlineStr">
        <is>
          <t>JUAREZ ANTONIO POLLI E JUCIMARA FURLAN POLLI - PGTO REF. A COMPRA DE LENHA DE EUCALIPTO</t>
        </is>
      </c>
    </row>
    <row r="1218">
      <c r="A1218" t="n">
        <v>1217</v>
      </c>
      <c r="B1218" t="inlineStr">
        <is>
          <t>16/06/2026</t>
        </is>
      </c>
      <c r="C1218" t="inlineStr">
        <is>
          <t>PIX ENVIADO EXPRESSA REC</t>
        </is>
      </c>
      <c r="D1218" s="7" t="n">
        <v>-1588.07</v>
      </c>
      <c r="E1218" t="inlineStr">
        <is>
          <t>506</t>
        </is>
      </c>
      <c r="F1218" t="inlineStr">
        <is>
          <t>FORNECEDORES DIVERSOS</t>
        </is>
      </c>
      <c r="G1218" s="2" t="inlineStr">
        <is>
          <t>506</t>
        </is>
      </c>
      <c r="H1218">
        <f>IFERROR(VLOOKUP(G1218&amp;"",PLANO!A:B,2,FALSE),"CONTA NAO EXISTE NO PLANO")</f>
        <v/>
      </c>
      <c r="I1218" t="inlineStr">
        <is>
          <t>506</t>
        </is>
      </c>
      <c r="J1218" t="inlineStr">
        <is>
          <t>SEM COSMOS</t>
        </is>
      </c>
      <c r="K1218" t="inlineStr"/>
      <c r="L1218" t="inlineStr"/>
      <c r="M1218" t="inlineStr">
        <is>
          <t>PIX ENVIADO EXPRESSA REC</t>
        </is>
      </c>
    </row>
    <row r="1219">
      <c r="A1219" t="n">
        <v>1218</v>
      </c>
      <c r="B1219" t="inlineStr">
        <is>
          <t>16/06/2026</t>
        </is>
      </c>
      <c r="C1219" t="inlineStr">
        <is>
          <t>MASTER PUMPS EMBALAGENS COMERCIO IMPORTACAO E EXPORTACAO LTDA</t>
        </is>
      </c>
      <c r="D1219" s="7" t="n">
        <v>-2207.55</v>
      </c>
      <c r="E1219" t="inlineStr">
        <is>
          <t>506</t>
        </is>
      </c>
      <c r="F1219" t="inlineStr">
        <is>
          <t>FORNECEDORES DIVERSOS</t>
        </is>
      </c>
      <c r="G1219" s="2" t="inlineStr">
        <is>
          <t>506</t>
        </is>
      </c>
      <c r="H1219">
        <f>IFERROR(VLOOKUP(G1219&amp;"",PLANO!A:B,2,FALSE),"CONTA NAO EXISTE NO PLANO")</f>
        <v/>
      </c>
      <c r="I1219" t="inlineStr">
        <is>
          <t>506</t>
        </is>
      </c>
      <c r="J1219" t="inlineStr">
        <is>
          <t>OK</t>
        </is>
      </c>
      <c r="K1219" t="inlineStr">
        <is>
          <t>fornecedor com NF</t>
        </is>
      </c>
      <c r="L1219" t="inlineStr">
        <is>
          <t>MASTER PUMPS EMBALAGENS COMERCIO IMPORTACAO E EXPORTACAO LTDA | 115/9 | PAGAMENTO REFERENTE A COMPRA DE VALVULAS PARA PRODUÇÃO</t>
        </is>
      </c>
      <c r="M1219" t="inlineStr">
        <is>
          <t>MASTER PUMPS EMBALAGENS COMERCIO IMPORTACAO E EXPORTACAO LTDA - PAGAMENTO REFERENTE A COMPRA DE VALVULAS PARA PRODUÇÃO</t>
        </is>
      </c>
    </row>
    <row r="1220">
      <c r="A1220" s="8" t="n">
        <v>1219</v>
      </c>
      <c r="B1220" s="8" t="inlineStr">
        <is>
          <t>16/06/2026</t>
        </is>
      </c>
      <c r="C1220" s="8" t="inlineStr">
        <is>
          <t>LESTO ESCRITORIOS LTDA</t>
        </is>
      </c>
      <c r="D1220" s="9" t="n">
        <v>-328.09</v>
      </c>
      <c r="E1220" s="8" t="inlineStr">
        <is>
          <t>506</t>
        </is>
      </c>
      <c r="F1220" s="8" t="inlineStr">
        <is>
          <t>FORNECEDORES DIVERSOS</t>
        </is>
      </c>
      <c r="G1220" s="10" t="inlineStr">
        <is>
          <t>320</t>
        </is>
      </c>
      <c r="H1220" s="8">
        <f>IFERROR(VLOOKUP(G1220&amp;"",PLANO!A:B,2,FALSE),"CONTA NAO EXISTE NO PLANO")</f>
        <v/>
      </c>
      <c r="I1220" s="8" t="inlineStr">
        <is>
          <t>320</t>
        </is>
      </c>
      <c r="J1220" s="8" t="inlineStr">
        <is>
          <t>CORRIGIR</t>
        </is>
      </c>
      <c r="K1220" s="8" t="inlineStr">
        <is>
          <t>categoria Cosmos 11</t>
        </is>
      </c>
      <c r="L1220" s="8" t="inlineStr">
        <is>
          <t>LESTO ESCRITORIOS LTDA | 115/11 | PGTO REF.DESPESAS PARA ENCERRAMENTO CONTRATO CABELO MEU</t>
        </is>
      </c>
      <c r="M1220" s="8" t="inlineStr">
        <is>
          <t>LESTO ESCRITORIOS LTDA - PGTO REF.DESPESAS PARA ENCERRAMENTO CONTRATO CABELO MEU</t>
        </is>
      </c>
    </row>
    <row r="1221">
      <c r="A1221" t="n">
        <v>1220</v>
      </c>
      <c r="B1221" t="inlineStr">
        <is>
          <t>17/06/2026</t>
        </is>
      </c>
      <c r="C1221" t="inlineStr">
        <is>
          <t>MOV TÍT COB DISP 17/06S</t>
        </is>
      </c>
      <c r="D1221" s="7" t="n">
        <v>1468.33</v>
      </c>
      <c r="E1221" t="inlineStr">
        <is>
          <t>504</t>
        </is>
      </c>
      <c r="F1221" t="inlineStr">
        <is>
          <t>CLIENTES DIVERSOS</t>
        </is>
      </c>
      <c r="G1221" s="2" t="inlineStr">
        <is>
          <t>504</t>
        </is>
      </c>
      <c r="H1221">
        <f>IFERROR(VLOOKUP(G1221&amp;"",PLANO!A:B,2,FALSE),"CONTA NAO EXISTE NO PLANO")</f>
        <v/>
      </c>
      <c r="I1221" t="inlineStr">
        <is>
          <t>504</t>
        </is>
      </c>
      <c r="J1221" t="inlineStr">
        <is>
          <t>SEM COSMOS</t>
        </is>
      </c>
      <c r="K1221" t="inlineStr"/>
      <c r="L1221" t="inlineStr"/>
      <c r="M1221" t="inlineStr">
        <is>
          <t>MOV TÍT COB DISP 17/06S</t>
        </is>
      </c>
    </row>
    <row r="1222">
      <c r="A1222" t="n">
        <v>1221</v>
      </c>
      <c r="B1222" t="inlineStr">
        <is>
          <t>17/06/2026</t>
        </is>
      </c>
      <c r="C1222" t="inlineStr">
        <is>
          <t>BARENTZ BRASIL DISTRIBUIDORA LTDA</t>
        </is>
      </c>
      <c r="D1222" s="7" t="n">
        <v>-2994.25</v>
      </c>
      <c r="E1222" t="inlineStr">
        <is>
          <t>506</t>
        </is>
      </c>
      <c r="F1222" t="inlineStr">
        <is>
          <t>FORNECEDORES DIVERSOS</t>
        </is>
      </c>
      <c r="G1222" s="2" t="inlineStr">
        <is>
          <t>506</t>
        </is>
      </c>
      <c r="H1222">
        <f>IFERROR(VLOOKUP(G1222&amp;"",PLANO!A:B,2,FALSE),"CONTA NAO EXISTE NO PLANO")</f>
        <v/>
      </c>
      <c r="I1222" t="inlineStr">
        <is>
          <t>506</t>
        </is>
      </c>
      <c r="J1222" t="inlineStr">
        <is>
          <t>OK</t>
        </is>
      </c>
      <c r="K1222" t="inlineStr">
        <is>
          <t>fornecedor com NF</t>
        </is>
      </c>
      <c r="L1222" t="inlineStr">
        <is>
          <t xml:space="preserve">BARENTZ BRASIL DISTRIBUIDORA LTDA | 113/78 | </t>
        </is>
      </c>
      <c r="M1222" t="inlineStr">
        <is>
          <t>BARENTZ BRASIL DISTRIBUIDORA LTDA</t>
        </is>
      </c>
    </row>
    <row r="1223">
      <c r="A1223" t="n">
        <v>1222</v>
      </c>
      <c r="B1223" t="inlineStr">
        <is>
          <t>17/06/2026</t>
        </is>
      </c>
      <c r="C1223" t="inlineStr">
        <is>
          <t>PIX ENVIADO BARENTZ BRAS</t>
        </is>
      </c>
      <c r="D1223" s="7" t="n">
        <v>-8743.65</v>
      </c>
      <c r="E1223" t="inlineStr">
        <is>
          <t>506</t>
        </is>
      </c>
      <c r="F1223" t="inlineStr">
        <is>
          <t>FORNECEDORES DIVERSOS</t>
        </is>
      </c>
      <c r="G1223" s="2" t="inlineStr">
        <is>
          <t>506</t>
        </is>
      </c>
      <c r="H1223">
        <f>IFERROR(VLOOKUP(G1223&amp;"",PLANO!A:B,2,FALSE),"CONTA NAO EXISTE NO PLANO")</f>
        <v/>
      </c>
      <c r="I1223" t="inlineStr">
        <is>
          <t>506</t>
        </is>
      </c>
      <c r="J1223" t="inlineStr">
        <is>
          <t>OK</t>
        </is>
      </c>
      <c r="K1223" t="inlineStr">
        <is>
          <t>fornecedor com NF</t>
        </is>
      </c>
      <c r="L1223" t="inlineStr">
        <is>
          <t>BARENTZ BRASIL DISTRIBUIDORA LTDA | 115/6 | PGTO REF. A COMPRA DE MATERIA PRIMA</t>
        </is>
      </c>
      <c r="M1223" t="inlineStr">
        <is>
          <t>BARENTZ BRASIL DISTRIBUIDORA LTDA - PGTO REF. A COMPRA DE MATERIA PRIMA</t>
        </is>
      </c>
    </row>
    <row r="1224">
      <c r="A1224" s="8" t="n">
        <v>1223</v>
      </c>
      <c r="B1224" s="8" t="inlineStr">
        <is>
          <t>17/06/2026</t>
        </is>
      </c>
      <c r="C1224" s="8" t="inlineStr">
        <is>
          <t>LUIZ HENRIQUE COSTA</t>
        </is>
      </c>
      <c r="D1224" s="9" t="n">
        <v>-3200</v>
      </c>
      <c r="E1224" s="8" t="inlineStr">
        <is>
          <t>187</t>
        </is>
      </c>
      <c r="F1224" s="8" t="inlineStr">
        <is>
          <t>SALÁRIOS E ORDENADOS A PAGAR</t>
        </is>
      </c>
      <c r="G1224" s="10" t="inlineStr">
        <is>
          <t>362</t>
        </is>
      </c>
      <c r="H1224" s="8">
        <f>IFERROR(VLOOKUP(G1224&amp;"",PLANO!A:B,2,FALSE),"CONTA NAO EXISTE NO PLANO")</f>
        <v/>
      </c>
      <c r="I1224" s="8" t="inlineStr">
        <is>
          <t>362</t>
        </is>
      </c>
      <c r="J1224" s="8" t="inlineStr">
        <is>
          <t>CORRIGIR</t>
        </is>
      </c>
      <c r="K1224" s="8" t="inlineStr">
        <is>
          <t>Cosmos: servicos prestados/comissao (nao e folha/adiantamento)</t>
        </is>
      </c>
      <c r="L1224" s="8" t="inlineStr">
        <is>
          <t>LUIZ HENRIQUE COSTA | 115/81 | PGTO REF.SERVIÇOS PRESTADOS CONF.CONTRATO</t>
        </is>
      </c>
      <c r="M1224" s="8" t="inlineStr">
        <is>
          <t>LUIZ HENRIQUE COSTA - PGTO REF.SERVIÇOS PRESTADOS CONF.CONTRATO</t>
        </is>
      </c>
    </row>
    <row r="1225">
      <c r="A1225" s="8" t="n">
        <v>1224</v>
      </c>
      <c r="B1225" s="8" t="inlineStr">
        <is>
          <t>17/06/2026</t>
        </is>
      </c>
      <c r="C1225" s="8" t="inlineStr">
        <is>
          <t>Rend Pago Aplic Aut Mais</t>
        </is>
      </c>
      <c r="D1225" s="9" t="n">
        <v>0.03</v>
      </c>
      <c r="E1225" s="8" t="inlineStr">
        <is>
          <t>(faltava)</t>
        </is>
      </c>
      <c r="F1225" s="8" t="inlineStr"/>
      <c r="G1225" s="10" t="inlineStr">
        <is>
          <t>432</t>
        </is>
      </c>
      <c r="H1225" s="8">
        <f>IFERROR(VLOOKUP(G1225&amp;"",PLANO!A:B,2,FALSE),"CONTA NAO EXISTE NO PLANO")</f>
        <v/>
      </c>
      <c r="I1225" s="8" t="inlineStr">
        <is>
          <t>432</t>
        </is>
      </c>
      <c r="J1225" s="8" t="inlineStr">
        <is>
          <t>CORRIGIR</t>
        </is>
      </c>
      <c r="K1225" s="8" t="inlineStr">
        <is>
          <t>rendimento de jun/26 nao lancado no TXT de junho</t>
        </is>
      </c>
      <c r="L1225" s="8" t="inlineStr"/>
      <c r="M1225" s="8" t="inlineStr">
        <is>
          <t>RENDIMENTO APLICACAO AUTOMATICA ITAU</t>
        </is>
      </c>
    </row>
    <row r="1226">
      <c r="A1226" s="4" t="n">
        <v>1225</v>
      </c>
      <c r="B1226" s="4" t="inlineStr">
        <is>
          <t>18/06/2026</t>
        </is>
      </c>
      <c r="C1226" s="4" t="inlineStr">
        <is>
          <t>SISPAG COSMETICON COMER</t>
        </is>
      </c>
      <c r="D1226" s="5" t="n">
        <v>3000</v>
      </c>
      <c r="E1226" s="4" t="inlineStr">
        <is>
          <t>663</t>
        </is>
      </c>
      <c r="F1226" s="4" t="inlineStr">
        <is>
          <t>EMPRESTIMO COSMETICON COMERCIO (31.494.732/0001-09)</t>
        </is>
      </c>
      <c r="G1226" s="6" t="inlineStr">
        <is>
          <t>663</t>
        </is>
      </c>
      <c r="H1226" s="4">
        <f>IFERROR(VLOOKUP(G1226&amp;"",PLANO!A:B,2,FALSE),"CONTA NAO EXISTE NO PLANO")</f>
        <v/>
      </c>
      <c r="I1226" s="4" t="inlineStr">
        <is>
          <t>663</t>
        </is>
      </c>
      <c r="J1226" s="4" t="inlineStr">
        <is>
          <t>AJUSTADO</t>
        </is>
      </c>
      <c r="K1226" s="4" t="inlineStr">
        <is>
          <t>COSMETICON - conta-corrente unica de mutuo (663)</t>
        </is>
      </c>
      <c r="L1226" s="4" t="inlineStr">
        <is>
          <t xml:space="preserve">OUTRAS ENTRADAS | 122/71 | </t>
        </is>
      </c>
      <c r="M1226" s="4" t="inlineStr">
        <is>
          <t>SISPAG COSMETICON COMER</t>
        </is>
      </c>
    </row>
    <row r="1227">
      <c r="A1227" s="4" t="n">
        <v>1226</v>
      </c>
      <c r="B1227" s="4" t="inlineStr">
        <is>
          <t>18/06/2026</t>
        </is>
      </c>
      <c r="C1227" s="4" t="inlineStr">
        <is>
          <t>SISPAG F.V.S COMERCIO D</t>
        </is>
      </c>
      <c r="D1227" s="5" t="n">
        <v>350</v>
      </c>
      <c r="E1227" s="4" t="inlineStr">
        <is>
          <t>662</t>
        </is>
      </c>
      <c r="F1227" s="4" t="inlineStr">
        <is>
          <t>EMPRESTIMO F.V.S COMERCIO (45.569.661/0001-04)</t>
        </is>
      </c>
      <c r="G1227" s="6" t="inlineStr">
        <is>
          <t>662</t>
        </is>
      </c>
      <c r="H1227" s="4">
        <f>IFERROR(VLOOKUP(G1227&amp;"",PLANO!A:B,2,FALSE),"CONTA NAO EXISTE NO PLANO")</f>
        <v/>
      </c>
      <c r="I1227" s="4" t="inlineStr">
        <is>
          <t>662</t>
        </is>
      </c>
      <c r="J1227" s="4" t="inlineStr">
        <is>
          <t>AJUSTADO</t>
        </is>
      </c>
      <c r="K1227" s="4" t="inlineStr">
        <is>
          <t>F.V.S - conta-corrente unica de mutuo (662)</t>
        </is>
      </c>
      <c r="L1227" s="4" t="inlineStr">
        <is>
          <t xml:space="preserve">OUTRAS ENTRADAS | 122/71 | </t>
        </is>
      </c>
      <c r="M1227" s="4" t="inlineStr">
        <is>
          <t>SISPAG F.V.S COMERCIO D</t>
        </is>
      </c>
    </row>
    <row r="1228">
      <c r="A1228" t="n">
        <v>1227</v>
      </c>
      <c r="B1228" t="inlineStr">
        <is>
          <t>18/06/2026</t>
        </is>
      </c>
      <c r="C1228" t="inlineStr">
        <is>
          <t>MOV TÍT COB DISP 18/06S</t>
        </is>
      </c>
      <c r="D1228" s="7" t="n">
        <v>502.6</v>
      </c>
      <c r="E1228" t="inlineStr">
        <is>
          <t>504</t>
        </is>
      </c>
      <c r="F1228" t="inlineStr">
        <is>
          <t>CLIENTES DIVERSOS</t>
        </is>
      </c>
      <c r="G1228" s="2" t="inlineStr">
        <is>
          <t>504</t>
        </is>
      </c>
      <c r="H1228">
        <f>IFERROR(VLOOKUP(G1228&amp;"",PLANO!A:B,2,FALSE),"CONTA NAO EXISTE NO PLANO")</f>
        <v/>
      </c>
      <c r="I1228" t="inlineStr">
        <is>
          <t>504</t>
        </is>
      </c>
      <c r="J1228" t="inlineStr">
        <is>
          <t>SEM COSMOS</t>
        </is>
      </c>
      <c r="K1228" t="inlineStr"/>
      <c r="L1228" t="inlineStr"/>
      <c r="M1228" t="inlineStr">
        <is>
          <t>MOV TÍT COB DISP 18/06S</t>
        </is>
      </c>
    </row>
    <row r="1229">
      <c r="A1229" t="n">
        <v>1228</v>
      </c>
      <c r="B1229" t="inlineStr">
        <is>
          <t>18/06/2026</t>
        </is>
      </c>
      <c r="C1229" t="inlineStr">
        <is>
          <t>REDE VISA AT0081996543</t>
        </is>
      </c>
      <c r="D1229" s="7" t="n">
        <v>26801.62</v>
      </c>
      <c r="E1229" t="inlineStr">
        <is>
          <t>504</t>
        </is>
      </c>
      <c r="F1229" t="inlineStr">
        <is>
          <t>CLIENTES DIVERSOS</t>
        </is>
      </c>
      <c r="G1229" s="2" t="inlineStr">
        <is>
          <t>504</t>
        </is>
      </c>
      <c r="H1229">
        <f>IFERROR(VLOOKUP(G1229&amp;"",PLANO!A:B,2,FALSE),"CONTA NAO EXISTE NO PLANO")</f>
        <v/>
      </c>
      <c r="I1229" t="inlineStr">
        <is>
          <t>504</t>
        </is>
      </c>
      <c r="J1229" t="inlineStr">
        <is>
          <t>SEM COSMOS</t>
        </is>
      </c>
      <c r="K1229" t="inlineStr"/>
      <c r="L1229" t="inlineStr"/>
      <c r="M1229" t="inlineStr">
        <is>
          <t>REDE VISA AT0081996543</t>
        </is>
      </c>
    </row>
    <row r="1230">
      <c r="A1230" t="n">
        <v>1229</v>
      </c>
      <c r="B1230" t="inlineStr">
        <is>
          <t>18/06/2026</t>
        </is>
      </c>
      <c r="C1230" t="inlineStr">
        <is>
          <t>PIX TRANSF ELIANE 18/06</t>
        </is>
      </c>
      <c r="D1230" s="7" t="n">
        <v>149.8</v>
      </c>
      <c r="E1230" t="inlineStr">
        <is>
          <t>504</t>
        </is>
      </c>
      <c r="F1230" t="inlineStr">
        <is>
          <t>CLIENTES DIVERSOS</t>
        </is>
      </c>
      <c r="G1230" s="2" t="inlineStr">
        <is>
          <t>504</t>
        </is>
      </c>
      <c r="H1230">
        <f>IFERROR(VLOOKUP(G1230&amp;"",PLANO!A:B,2,FALSE),"CONTA NAO EXISTE NO PLANO")</f>
        <v/>
      </c>
      <c r="I1230" t="inlineStr">
        <is>
          <t>504</t>
        </is>
      </c>
      <c r="J1230" t="inlineStr">
        <is>
          <t>SEM COSMOS</t>
        </is>
      </c>
      <c r="K1230" t="inlineStr"/>
      <c r="L1230" t="inlineStr"/>
      <c r="M1230" t="inlineStr">
        <is>
          <t>PIX TRANSF ELIANE 18/06</t>
        </is>
      </c>
    </row>
    <row r="1231">
      <c r="A1231" t="n">
        <v>1230</v>
      </c>
      <c r="B1231" t="inlineStr">
        <is>
          <t>18/06/2026</t>
        </is>
      </c>
      <c r="C1231" t="inlineStr">
        <is>
          <t>PIX TRANSF ELIEZER18/06</t>
        </is>
      </c>
      <c r="D1231" s="7" t="n">
        <v>453.5</v>
      </c>
      <c r="E1231" t="inlineStr">
        <is>
          <t>504</t>
        </is>
      </c>
      <c r="F1231" t="inlineStr">
        <is>
          <t>CLIENTES DIVERSOS</t>
        </is>
      </c>
      <c r="G1231" s="2" t="inlineStr">
        <is>
          <t>504</t>
        </is>
      </c>
      <c r="H1231">
        <f>IFERROR(VLOOKUP(G1231&amp;"",PLANO!A:B,2,FALSE),"CONTA NAO EXISTE NO PLANO")</f>
        <v/>
      </c>
      <c r="I1231" t="inlineStr">
        <is>
          <t>504</t>
        </is>
      </c>
      <c r="J1231" t="inlineStr">
        <is>
          <t>SEM COSMOS</t>
        </is>
      </c>
      <c r="K1231" t="inlineStr"/>
      <c r="L1231" t="inlineStr"/>
      <c r="M1231" t="inlineStr">
        <is>
          <t>PIX TRANSF ELIEZER18/06</t>
        </is>
      </c>
    </row>
    <row r="1232">
      <c r="A1232" t="n">
        <v>1231</v>
      </c>
      <c r="B1232" t="inlineStr">
        <is>
          <t>18/06/2026</t>
        </is>
      </c>
      <c r="C1232" t="inlineStr">
        <is>
          <t>PIX TRANSF GEOVANA18/06</t>
        </is>
      </c>
      <c r="D1232" s="7" t="n">
        <v>135.6</v>
      </c>
      <c r="E1232" t="inlineStr">
        <is>
          <t>504</t>
        </is>
      </c>
      <c r="F1232" t="inlineStr">
        <is>
          <t>CLIENTES DIVERSOS</t>
        </is>
      </c>
      <c r="G1232" s="2" t="inlineStr">
        <is>
          <t>504</t>
        </is>
      </c>
      <c r="H1232">
        <f>IFERROR(VLOOKUP(G1232&amp;"",PLANO!A:B,2,FALSE),"CONTA NAO EXISTE NO PLANO")</f>
        <v/>
      </c>
      <c r="I1232" t="inlineStr">
        <is>
          <t>504</t>
        </is>
      </c>
      <c r="J1232" t="inlineStr">
        <is>
          <t>SEM COSMOS</t>
        </is>
      </c>
      <c r="K1232" t="inlineStr"/>
      <c r="L1232" t="inlineStr"/>
      <c r="M1232" t="inlineStr">
        <is>
          <t>PIX TRANSF GEOVANA18/06</t>
        </is>
      </c>
    </row>
    <row r="1233">
      <c r="A1233" s="8" t="n">
        <v>1232</v>
      </c>
      <c r="B1233" s="8" t="inlineStr">
        <is>
          <t>18/06/2026</t>
        </is>
      </c>
      <c r="C1233" s="8" t="inlineStr">
        <is>
          <t>THIAGO TAIT DAS CHAGAS</t>
        </is>
      </c>
      <c r="D1233" s="9" t="n">
        <v>-1000</v>
      </c>
      <c r="E1233" s="8" t="inlineStr">
        <is>
          <t>361</t>
        </is>
      </c>
      <c r="F1233" s="8" t="inlineStr">
        <is>
          <t>ASSISTÊNCIA CONTÁBIL</t>
        </is>
      </c>
      <c r="G1233" s="10" t="inlineStr">
        <is>
          <t>362</t>
        </is>
      </c>
      <c r="H1233" s="8">
        <f>IFERROR(VLOOKUP(G1233&amp;"",PLANO!A:B,2,FALSE),"CONTA NAO EXISTE NO PLANO")</f>
        <v/>
      </c>
      <c r="I1233" s="8" t="inlineStr">
        <is>
          <t>362</t>
        </is>
      </c>
      <c r="J1233" s="8" t="inlineStr">
        <is>
          <t>CORRIGIR</t>
        </is>
      </c>
      <c r="K1233" s="8" t="inlineStr">
        <is>
          <t>Cosmos: servicos prestados/comissao (nao e folha/adiantamento)</t>
        </is>
      </c>
      <c r="L1233" s="8" t="inlineStr">
        <is>
          <t>THIAGO TAIT DAS CHAGAS | 115/81 | PGTO REF.SERVIÇOS PRESTADOS CONF.CONTRATO</t>
        </is>
      </c>
      <c r="M1233" s="8" t="inlineStr">
        <is>
          <t>THIAGO TAIT DAS CHAGAS - PGTO REF.SERVIÇOS PRESTADOS CONF.CONTRATO</t>
        </is>
      </c>
    </row>
    <row r="1234">
      <c r="A1234" s="4" t="n">
        <v>1233</v>
      </c>
      <c r="B1234" s="4" t="inlineStr">
        <is>
          <t>18/06/2026</t>
        </is>
      </c>
      <c r="C1234" s="4" t="inlineStr">
        <is>
          <t>JOELMA APARECIDA NASCIMENTO LUDOVIC</t>
        </is>
      </c>
      <c r="D1234" s="5" t="n">
        <v>-1000</v>
      </c>
      <c r="E1234" s="4" t="inlineStr">
        <is>
          <t>506</t>
        </is>
      </c>
      <c r="F1234" s="4" t="inlineStr">
        <is>
          <t>FORNECEDORES DIVERSOS</t>
        </is>
      </c>
      <c r="G1234" s="6" t="inlineStr">
        <is>
          <t>362</t>
        </is>
      </c>
      <c r="H1234" s="4">
        <f>IFERROR(VLOOKUP(G1234&amp;"",PLANO!A:B,2,FALSE),"CONTA NAO EXISTE NO PLANO")</f>
        <v/>
      </c>
      <c r="I1234" s="4" t="inlineStr">
        <is>
          <t>362</t>
        </is>
      </c>
      <c r="J1234" s="4" t="inlineStr">
        <is>
          <t>AJUSTADO</t>
        </is>
      </c>
      <c r="K1234" s="4" t="inlineStr">
        <is>
          <t>pessoa fisica - servico/comissao sem nota no fiscal</t>
        </is>
      </c>
      <c r="L1234" s="4" t="inlineStr">
        <is>
          <t>JOELMA APARECIDA NASCIMENTO LUDOVIC | 115/171 | PGTO REF.SERVIÇOS PRESTADO CONF.CONTRATO 02-2026</t>
        </is>
      </c>
      <c r="M1234" s="4" t="inlineStr">
        <is>
          <t>JOELMA APARECIDA NASCIMENTO LUDOVIC - PGTO REF.SERVIÇOS PRESTADO CONF.CONTRATO 02-2026</t>
        </is>
      </c>
    </row>
    <row r="1235">
      <c r="A1235" t="n">
        <v>1234</v>
      </c>
      <c r="B1235" t="inlineStr">
        <is>
          <t>18/06/2026</t>
        </is>
      </c>
      <c r="C1235" t="inlineStr">
        <is>
          <t>PIX ENVIADO GRACIELE APA</t>
        </is>
      </c>
      <c r="D1235" s="7" t="n">
        <v>-4735.52</v>
      </c>
      <c r="E1235" t="inlineStr">
        <is>
          <t>512</t>
        </is>
      </c>
      <c r="F1235" t="inlineStr">
        <is>
          <t>RESCISÕES A PAGAR</t>
        </is>
      </c>
      <c r="G1235" s="2" t="inlineStr">
        <is>
          <t>512</t>
        </is>
      </c>
      <c r="H1235">
        <f>IFERROR(VLOOKUP(G1235&amp;"",PLANO!A:B,2,FALSE),"CONTA NAO EXISTE NO PLANO")</f>
        <v/>
      </c>
      <c r="I1235" t="inlineStr">
        <is>
          <t>512</t>
        </is>
      </c>
      <c r="J1235" t="inlineStr">
        <is>
          <t>SEM COSMOS</t>
        </is>
      </c>
      <c r="K1235" t="inlineStr"/>
      <c r="L1235" t="inlineStr"/>
      <c r="M1235" t="inlineStr">
        <is>
          <t>PIX ENVIADO GRACIELE APA</t>
        </is>
      </c>
    </row>
    <row r="1236">
      <c r="A1236" t="n">
        <v>1235</v>
      </c>
      <c r="B1236" t="inlineStr">
        <is>
          <t>18/06/2026</t>
        </is>
      </c>
      <c r="C1236" t="inlineStr">
        <is>
          <t>PIX ENVIADO CLAUDIA APAR</t>
        </is>
      </c>
      <c r="D1236" s="7" t="n">
        <v>-1574.36</v>
      </c>
      <c r="E1236" t="inlineStr">
        <is>
          <t>362</t>
        </is>
      </c>
      <c r="F1236" t="inlineStr">
        <is>
          <t>SERVIÇOS PRESTADOS POR TERCEIROS</t>
        </is>
      </c>
      <c r="G1236" s="2" t="inlineStr">
        <is>
          <t>362</t>
        </is>
      </c>
      <c r="H1236">
        <f>IFERROR(VLOOKUP(G1236&amp;"",PLANO!A:B,2,FALSE),"CONTA NAO EXISTE NO PLANO")</f>
        <v/>
      </c>
      <c r="I1236" t="inlineStr">
        <is>
          <t>362</t>
        </is>
      </c>
      <c r="J1236" t="inlineStr">
        <is>
          <t>SEM COSMOS</t>
        </is>
      </c>
      <c r="K1236" t="inlineStr"/>
      <c r="L1236" t="inlineStr"/>
      <c r="M1236" t="inlineStr">
        <is>
          <t>PIX ENVIADO CLAUDIA APAR</t>
        </is>
      </c>
    </row>
    <row r="1237">
      <c r="A1237" t="n">
        <v>1236</v>
      </c>
      <c r="B1237" t="inlineStr">
        <is>
          <t>18/06/2026</t>
        </is>
      </c>
      <c r="C1237" t="inlineStr">
        <is>
          <t>PIX ENVIADO IGOR FERNAND</t>
        </is>
      </c>
      <c r="D1237" s="7" t="n">
        <v>-1600</v>
      </c>
      <c r="E1237" t="inlineStr">
        <is>
          <t>362</t>
        </is>
      </c>
      <c r="F1237" t="inlineStr">
        <is>
          <t>SERVIÇOS PRESTADOS POR TERCEIROS</t>
        </is>
      </c>
      <c r="G1237" s="2" t="inlineStr">
        <is>
          <t>362</t>
        </is>
      </c>
      <c r="H1237">
        <f>IFERROR(VLOOKUP(G1237&amp;"",PLANO!A:B,2,FALSE),"CONTA NAO EXISTE NO PLANO")</f>
        <v/>
      </c>
      <c r="I1237" t="inlineStr">
        <is>
          <t>362</t>
        </is>
      </c>
      <c r="J1237" t="inlineStr">
        <is>
          <t>SEM COSMOS</t>
        </is>
      </c>
      <c r="K1237" t="inlineStr"/>
      <c r="L1237" t="inlineStr"/>
      <c r="M1237" t="inlineStr">
        <is>
          <t>PIX ENVIADO IGOR FERNAND</t>
        </is>
      </c>
    </row>
    <row r="1238">
      <c r="A1238" s="11" t="n">
        <v>1237</v>
      </c>
      <c r="B1238" s="11" t="inlineStr">
        <is>
          <t>18/06/2026</t>
        </is>
      </c>
      <c r="C1238" s="11" t="inlineStr">
        <is>
          <t>DECORAR COMERCIO E PRESTACAO DE SERVICOS LTDA</t>
        </is>
      </c>
      <c r="D1238" s="12" t="n">
        <v>-800</v>
      </c>
      <c r="E1238" s="11" t="inlineStr">
        <is>
          <t>506</t>
        </is>
      </c>
      <c r="F1238" s="11" t="inlineStr">
        <is>
          <t>FORNECEDORES DIVERSOS</t>
        </is>
      </c>
      <c r="G1238" s="13" t="inlineStr">
        <is>
          <t>506</t>
        </is>
      </c>
      <c r="H1238" s="11">
        <f>IFERROR(VLOOKUP(G1238&amp;"",PLANO!A:B,2,FALSE),"CONTA NAO EXISTE NO PLANO")</f>
        <v/>
      </c>
      <c r="I1238" s="11" t="inlineStr">
        <is>
          <t>362</t>
        </is>
      </c>
      <c r="J1238" s="11" t="inlineStr">
        <is>
          <t>MANTIDO</t>
        </is>
      </c>
      <c r="K1238" s="11" t="inlineStr">
        <is>
          <t>Cosmos: servicos/comissao lancado em 506 - se houver NFS-e lancada no fiscal, 506 esta certo | mantida a conta atual (sem informacao que justifique troca)</t>
        </is>
      </c>
      <c r="L1238" s="11" t="inlineStr">
        <is>
          <t>DECORAR COMERCIO E PRESTACAO DE SERVICOS LTDA | 115/81 | PGTO REF.SERVIÇOS PRESTADS OCNF.CONTRATO</t>
        </is>
      </c>
      <c r="M1238" s="11" t="inlineStr">
        <is>
          <t>DECORAR COMERCIO E PRESTACAO DE SERVICOS LTDA - PGTO REF.SERVIÇOS PRESTADS OCNF.CONTRATO</t>
        </is>
      </c>
    </row>
    <row r="1239">
      <c r="A1239" s="4" t="n">
        <v>1238</v>
      </c>
      <c r="B1239" s="4" t="inlineStr">
        <is>
          <t>18/06/2026</t>
        </is>
      </c>
      <c r="C1239" s="4" t="inlineStr">
        <is>
          <t>ISMAEL CORDEIRO DA SILVA</t>
        </is>
      </c>
      <c r="D1239" s="5" t="n">
        <v>-2000</v>
      </c>
      <c r="E1239" s="4" t="inlineStr">
        <is>
          <t>506</t>
        </is>
      </c>
      <c r="F1239" s="4" t="inlineStr">
        <is>
          <t>FORNECEDORES DIVERSOS</t>
        </is>
      </c>
      <c r="G1239" s="6" t="inlineStr">
        <is>
          <t>308</t>
        </is>
      </c>
      <c r="H1239" s="4">
        <f>IFERROR(VLOOKUP(G1239&amp;"",PLANO!A:B,2,FALSE),"CONTA NAO EXISTE NO PLANO")</f>
        <v/>
      </c>
      <c r="I1239" s="4" t="inlineStr">
        <is>
          <t>362</t>
        </is>
      </c>
      <c r="J1239" s="4" t="inlineStr">
        <is>
          <t>AJUSTADO</t>
        </is>
      </c>
      <c r="K1239" s="4" t="inlineStr">
        <is>
          <t>comissao sobre vendas -&gt; 308 COMISSOES (conta existente no plano)</t>
        </is>
      </c>
      <c r="L1239" s="4" t="inlineStr">
        <is>
          <t>ISMAEL CORDEIRO DA SILVA | 115/53 | PGTO REF.COMISSÃO S/VENDAS</t>
        </is>
      </c>
      <c r="M1239" s="4" t="inlineStr">
        <is>
          <t>ISMAEL CORDEIRO DA SILVA - PGTO REF.COMISSÃO S/VENDAS</t>
        </is>
      </c>
    </row>
    <row r="1240">
      <c r="A1240" s="4" t="n">
        <v>1239</v>
      </c>
      <c r="B1240" s="4" t="inlineStr">
        <is>
          <t>18/06/2026</t>
        </is>
      </c>
      <c r="C1240" s="4" t="inlineStr">
        <is>
          <t>MARCIO ANTONIO RUSSO 64538427934</t>
        </is>
      </c>
      <c r="D1240" s="5" t="n">
        <v>-1000</v>
      </c>
      <c r="E1240" s="4" t="inlineStr">
        <is>
          <t>506</t>
        </is>
      </c>
      <c r="F1240" s="4" t="inlineStr">
        <is>
          <t>FORNECEDORES DIVERSOS</t>
        </is>
      </c>
      <c r="G1240" s="6" t="inlineStr">
        <is>
          <t>362</t>
        </is>
      </c>
      <c r="H1240" s="4">
        <f>IFERROR(VLOOKUP(G1240&amp;"",PLANO!A:B,2,FALSE),"CONTA NAO EXISTE NO PLANO")</f>
        <v/>
      </c>
      <c r="I1240" s="4" t="inlineStr">
        <is>
          <t>362</t>
        </is>
      </c>
      <c r="J1240" s="4" t="inlineStr">
        <is>
          <t>AJUSTADO</t>
        </is>
      </c>
      <c r="K1240" s="4" t="inlineStr">
        <is>
          <t>pessoa fisica - servico/comissao sem nota no fiscal</t>
        </is>
      </c>
      <c r="L1240" s="4" t="inlineStr">
        <is>
          <t>MARCIO ANTONIO RUSSO 64538427934 | 115/81 | PGTO REF.SERVIÇOS PRESTADOS CONF.CONTRATO</t>
        </is>
      </c>
      <c r="M1240" s="4" t="inlineStr">
        <is>
          <t>MARCIO ANTONIO RUSSO 64538427934 - PGTO REF.SERVIÇOS PRESTADOS CONF.CONTRATO</t>
        </is>
      </c>
    </row>
    <row r="1241">
      <c r="A1241" t="n">
        <v>1240</v>
      </c>
      <c r="B1241" t="inlineStr">
        <is>
          <t>18/06/2026</t>
        </is>
      </c>
      <c r="C1241" t="inlineStr">
        <is>
          <t>JFC - CONSULTORIA, GESTAO E REPRESENTACAO COMERCIAL LTDA</t>
        </is>
      </c>
      <c r="D1241" s="7" t="n">
        <v>-2000</v>
      </c>
      <c r="E1241" t="inlineStr">
        <is>
          <t>362</t>
        </is>
      </c>
      <c r="F1241" t="inlineStr">
        <is>
          <t>SERVIÇOS PRESTADOS POR TERCEIROS</t>
        </is>
      </c>
      <c r="G1241" s="2" t="inlineStr">
        <is>
          <t>362</t>
        </is>
      </c>
      <c r="H1241">
        <f>IFERROR(VLOOKUP(G1241&amp;"",PLANO!A:B,2,FALSE),"CONTA NAO EXISTE NO PLANO")</f>
        <v/>
      </c>
      <c r="I1241" t="inlineStr">
        <is>
          <t>362</t>
        </is>
      </c>
      <c r="J1241" t="inlineStr">
        <is>
          <t>OK</t>
        </is>
      </c>
      <c r="K1241" t="inlineStr">
        <is>
          <t>servico prestado</t>
        </is>
      </c>
      <c r="L1241" t="inlineStr">
        <is>
          <t>JFC CONSULTORIA, GESTAO E REPRESENTACAO COMERCIAL LTDA | 115/170 | PGTO REF.SERVIÇOS PRESTADOS CONF.CONTRATO</t>
        </is>
      </c>
      <c r="M1241" t="inlineStr">
        <is>
          <t>JFC CONSULTORIA, GESTAO E REPRESENTACAO COMERCIAL LTDA - PGTO REF.SERVIÇOS PRESTADOS CONF.CONTRATO</t>
        </is>
      </c>
    </row>
    <row r="1242">
      <c r="A1242" s="4" t="n">
        <v>1241</v>
      </c>
      <c r="B1242" s="4" t="inlineStr">
        <is>
          <t>18/06/2026</t>
        </is>
      </c>
      <c r="C1242" s="4" t="inlineStr">
        <is>
          <t>IGOR RENATO MORESCHI 00575611928</t>
        </is>
      </c>
      <c r="D1242" s="5" t="n">
        <v>-1000</v>
      </c>
      <c r="E1242" s="4" t="inlineStr">
        <is>
          <t>506</t>
        </is>
      </c>
      <c r="F1242" s="4" t="inlineStr">
        <is>
          <t>FORNECEDORES DIVERSOS</t>
        </is>
      </c>
      <c r="G1242" s="6" t="inlineStr">
        <is>
          <t>640</t>
        </is>
      </c>
      <c r="H1242" s="4">
        <f>IFERROR(VLOOKUP(G1242&amp;"",PLANO!A:B,2,FALSE),"CONTA NAO EXISTE NO PLANO")</f>
        <v/>
      </c>
      <c r="I1242" s="4" t="inlineStr">
        <is>
          <t>506</t>
        </is>
      </c>
      <c r="J1242" s="4" t="inlineStr">
        <is>
          <t>AJUSTADO</t>
        </is>
      </c>
      <c r="K1242" s="4" t="inlineStr">
        <is>
          <t>software/sistema (Cosmos cat. 47)</t>
        </is>
      </c>
      <c r="L1242" s="4" t="inlineStr">
        <is>
          <t>IGOR RENATO MORESCHI 00575611928 | 115/47 | PGTO REF.SERVIÇOS PRESTADOS CONF.CONTRATO</t>
        </is>
      </c>
      <c r="M1242" s="4" t="inlineStr">
        <is>
          <t>IGOR RENATO MORESCHI 00575611928 - PGTO REF.SERVIÇOS PRESTADOS CONF.CONTRATO</t>
        </is>
      </c>
    </row>
    <row r="1243">
      <c r="A1243" s="4" t="n">
        <v>1242</v>
      </c>
      <c r="B1243" s="4" t="inlineStr">
        <is>
          <t>18/06/2026</t>
        </is>
      </c>
      <c r="C1243" s="4" t="inlineStr">
        <is>
          <t>PROTECTION ASSESSORIA EMPRESARIAL LTDA</t>
        </is>
      </c>
      <c r="D1243" s="5" t="n">
        <v>-1000</v>
      </c>
      <c r="E1243" s="4" t="inlineStr">
        <is>
          <t>506</t>
        </is>
      </c>
      <c r="F1243" s="4" t="inlineStr">
        <is>
          <t>FORNECEDORES DIVERSOS</t>
        </is>
      </c>
      <c r="G1243" s="6" t="inlineStr">
        <is>
          <t>361</t>
        </is>
      </c>
      <c r="H1243" s="4">
        <f>IFERROR(VLOOKUP(G1243&amp;"",PLANO!A:B,2,FALSE),"CONTA NAO EXISTE NO PLANO")</f>
        <v/>
      </c>
      <c r="I1243" s="4" t="inlineStr">
        <is>
          <t>506</t>
        </is>
      </c>
      <c r="J1243" s="4" t="inlineStr">
        <is>
          <t>AJUSTADO</t>
        </is>
      </c>
      <c r="K1243" s="4" t="inlineStr">
        <is>
          <t>honorarios contabeis (Protection)</t>
        </is>
      </c>
      <c r="L1243" s="4" t="inlineStr">
        <is>
          <t>PROTECTION ASSESSORIA EMPRESARIAL LTDA | 115/45 | PGTO REF.SERVIÇOS PRESTADOS DE CONTABILIDADE DAS EMPRESAS: COSMETICI, COSMETICON, FVS E GULA</t>
        </is>
      </c>
      <c r="M1243" s="4" t="inlineStr">
        <is>
          <t>PROTECTION ASSESSORIA EMPRESARIAL LTDA - PGTO REF.SERVIÇOS PRESTADOS DE CONTABILIDADE DAS EMPRESAS: COSMETICI, COSMETICON</t>
        </is>
      </c>
    </row>
    <row r="1244">
      <c r="A1244" t="n">
        <v>1243</v>
      </c>
      <c r="B1244" t="inlineStr">
        <is>
          <t>18/06/2026</t>
        </is>
      </c>
      <c r="C1244" t="inlineStr">
        <is>
          <t>PIX ENVIADO JFC - CONSUL</t>
        </is>
      </c>
      <c r="D1244" s="7" t="n">
        <v>-2000</v>
      </c>
      <c r="E1244" t="inlineStr">
        <is>
          <t>506</t>
        </is>
      </c>
      <c r="F1244" t="inlineStr">
        <is>
          <t>FORNECEDORES DIVERSOS</t>
        </is>
      </c>
      <c r="G1244" s="2" t="inlineStr">
        <is>
          <t>506</t>
        </is>
      </c>
      <c r="H1244">
        <f>IFERROR(VLOOKUP(G1244&amp;"",PLANO!A:B,2,FALSE),"CONTA NAO EXISTE NO PLANO")</f>
        <v/>
      </c>
      <c r="I1244" t="inlineStr">
        <is>
          <t>506</t>
        </is>
      </c>
      <c r="J1244" t="inlineStr">
        <is>
          <t>SEM COSMOS</t>
        </is>
      </c>
      <c r="K1244" t="inlineStr"/>
      <c r="L1244" t="inlineStr"/>
      <c r="M1244" t="inlineStr">
        <is>
          <t>PIX ENVIADO JFC - CONSUL</t>
        </is>
      </c>
    </row>
    <row r="1245">
      <c r="A1245" s="4" t="n">
        <v>1244</v>
      </c>
      <c r="B1245" s="4" t="inlineStr">
        <is>
          <t>18/06/2026</t>
        </is>
      </c>
      <c r="C1245" s="4" t="inlineStr">
        <is>
          <t>FRANCIS KODAMA</t>
        </is>
      </c>
      <c r="D1245" s="5" t="n">
        <v>-1000</v>
      </c>
      <c r="E1245" s="4" t="inlineStr">
        <is>
          <t>506</t>
        </is>
      </c>
      <c r="F1245" s="4" t="inlineStr">
        <is>
          <t>FORNECEDORES DIVERSOS</t>
        </is>
      </c>
      <c r="G1245" s="6" t="inlineStr">
        <is>
          <t>362</t>
        </is>
      </c>
      <c r="H1245" s="4">
        <f>IFERROR(VLOOKUP(G1245&amp;"",PLANO!A:B,2,FALSE),"CONTA NAO EXISTE NO PLANO")</f>
        <v/>
      </c>
      <c r="I1245" s="4" t="inlineStr">
        <is>
          <t>362</t>
        </is>
      </c>
      <c r="J1245" s="4" t="inlineStr">
        <is>
          <t>AJUSTADO</t>
        </is>
      </c>
      <c r="K1245" s="4" t="inlineStr">
        <is>
          <t>pessoa fisica - servico/comissao sem nota no fiscal</t>
        </is>
      </c>
      <c r="L1245" s="4" t="inlineStr">
        <is>
          <t>FRANCIS KODAMA | 115/170 | PGTO REF.SERVIÇOS PRESTADOS</t>
        </is>
      </c>
      <c r="M1245" s="4" t="inlineStr">
        <is>
          <t>FRANCIS KODAMA - PGTO REF.SERVIÇOS PRESTADOS</t>
        </is>
      </c>
    </row>
    <row r="1246">
      <c r="A1246" s="4" t="n">
        <v>1245</v>
      </c>
      <c r="B1246" s="4" t="inlineStr">
        <is>
          <t>18/06/2026</t>
        </is>
      </c>
      <c r="C1246" s="4" t="inlineStr">
        <is>
          <t>RICARDO RICCI</t>
        </is>
      </c>
      <c r="D1246" s="5" t="n">
        <v>-1000</v>
      </c>
      <c r="E1246" s="4" t="inlineStr">
        <is>
          <t>506</t>
        </is>
      </c>
      <c r="F1246" s="4" t="inlineStr">
        <is>
          <t>FORNECEDORES DIVERSOS</t>
        </is>
      </c>
      <c r="G1246" s="6" t="inlineStr">
        <is>
          <t>308</t>
        </is>
      </c>
      <c r="H1246" s="4">
        <f>IFERROR(VLOOKUP(G1246&amp;"",PLANO!A:B,2,FALSE),"CONTA NAO EXISTE NO PLANO")</f>
        <v/>
      </c>
      <c r="I1246" s="4" t="inlineStr">
        <is>
          <t>362</t>
        </is>
      </c>
      <c r="J1246" s="4" t="inlineStr">
        <is>
          <t>AJUSTADO</t>
        </is>
      </c>
      <c r="K1246" s="4" t="inlineStr">
        <is>
          <t>comissao sobre vendas -&gt; 308 COMISSOES (conta existente no plano)</t>
        </is>
      </c>
      <c r="L1246" s="4" t="inlineStr">
        <is>
          <t>RICARDO RICCI | 115/53 | PGTO REF.COMISSÃO S/VENDAS</t>
        </is>
      </c>
      <c r="M1246" s="4" t="inlineStr">
        <is>
          <t>RICARDO RICCI - PGTO REF.COMISSÃO S/VENDAS</t>
        </is>
      </c>
    </row>
    <row r="1247">
      <c r="A1247" t="n">
        <v>1246</v>
      </c>
      <c r="B1247" t="inlineStr">
        <is>
          <t>18/06/2026</t>
        </is>
      </c>
      <c r="C1247" t="inlineStr">
        <is>
          <t>PIX ENVIADO SUZAN CRISTI</t>
        </is>
      </c>
      <c r="D1247" s="7" t="n">
        <v>-1318</v>
      </c>
      <c r="E1247" t="inlineStr">
        <is>
          <t>362</t>
        </is>
      </c>
      <c r="F1247" t="inlineStr">
        <is>
          <t>SERVIÇOS PRESTADOS POR TERCEIROS</t>
        </is>
      </c>
      <c r="G1247" s="2" t="inlineStr">
        <is>
          <t>362</t>
        </is>
      </c>
      <c r="H1247">
        <f>IFERROR(VLOOKUP(G1247&amp;"",PLANO!A:B,2,FALSE),"CONTA NAO EXISTE NO PLANO")</f>
        <v/>
      </c>
      <c r="I1247" t="inlineStr">
        <is>
          <t>362</t>
        </is>
      </c>
      <c r="J1247" t="inlineStr">
        <is>
          <t>SEM COSMOS</t>
        </is>
      </c>
      <c r="K1247" t="inlineStr"/>
      <c r="L1247" t="inlineStr"/>
      <c r="M1247" t="inlineStr">
        <is>
          <t>PIX ENVIADO SUZAN CRISTI</t>
        </is>
      </c>
    </row>
    <row r="1248">
      <c r="A1248" s="8" t="n">
        <v>1247</v>
      </c>
      <c r="B1248" s="8" t="inlineStr">
        <is>
          <t>18/06/2026</t>
        </is>
      </c>
      <c r="C1248" s="8" t="inlineStr">
        <is>
          <t>BRUNA RAMOS LEOPOLDO DA SILVA</t>
        </is>
      </c>
      <c r="D1248" s="9" t="n">
        <v>-1000</v>
      </c>
      <c r="E1248" s="8" t="inlineStr">
        <is>
          <t>25</t>
        </is>
      </c>
      <c r="F1248" s="8" t="inlineStr">
        <is>
          <t>ADIANTAMENTO DE SALÁRIO</t>
        </is>
      </c>
      <c r="G1248" s="10" t="inlineStr">
        <is>
          <t>362</t>
        </is>
      </c>
      <c r="H1248" s="8">
        <f>IFERROR(VLOOKUP(G1248&amp;"",PLANO!A:B,2,FALSE),"CONTA NAO EXISTE NO PLANO")</f>
        <v/>
      </c>
      <c r="I1248" s="8" t="inlineStr">
        <is>
          <t>362</t>
        </is>
      </c>
      <c r="J1248" s="8" t="inlineStr">
        <is>
          <t>CORRIGIR</t>
        </is>
      </c>
      <c r="K1248" s="8" t="inlineStr">
        <is>
          <t>Cosmos: servicos prestados/comissao (nao e folha/adiantamento)</t>
        </is>
      </c>
      <c r="L1248" s="8" t="inlineStr">
        <is>
          <t>BRUNA RAMOS LEOPOLDO DA SILVA | 115/181 | PGTO REF.SERVIÇOS PRESTADOS DEPARTAMENTO JURÍDICO</t>
        </is>
      </c>
      <c r="M1248" s="8" t="inlineStr">
        <is>
          <t>BRUNA RAMOS LEOPOLDO DA SILVA - PGTO REF.SERVIÇOS PRESTADOS DEPARTAMENTO JURÍDICO</t>
        </is>
      </c>
    </row>
    <row r="1249">
      <c r="A1249" t="n">
        <v>1248</v>
      </c>
      <c r="B1249" t="inlineStr">
        <is>
          <t>18/06/2026</t>
        </is>
      </c>
      <c r="C1249" t="inlineStr">
        <is>
          <t>PIX ENVIADO MARCIA CAUCA</t>
        </is>
      </c>
      <c r="D1249" s="7" t="n">
        <v>-2000</v>
      </c>
      <c r="E1249" t="inlineStr">
        <is>
          <t>362</t>
        </is>
      </c>
      <c r="F1249" t="inlineStr">
        <is>
          <t>SERVIÇOS PRESTADOS POR TERCEIROS</t>
        </is>
      </c>
      <c r="G1249" s="2" t="inlineStr">
        <is>
          <t>362</t>
        </is>
      </c>
      <c r="H1249">
        <f>IFERROR(VLOOKUP(G1249&amp;"",PLANO!A:B,2,FALSE),"CONTA NAO EXISTE NO PLANO")</f>
        <v/>
      </c>
      <c r="I1249" t="inlineStr">
        <is>
          <t>362</t>
        </is>
      </c>
      <c r="J1249" t="inlineStr">
        <is>
          <t>SEM COSMOS</t>
        </is>
      </c>
      <c r="K1249" t="inlineStr"/>
      <c r="L1249" t="inlineStr"/>
      <c r="M1249" t="inlineStr">
        <is>
          <t>PIX ENVIADO MARCIA CAUCA</t>
        </is>
      </c>
    </row>
    <row r="1250">
      <c r="A1250" t="n">
        <v>1249</v>
      </c>
      <c r="B1250" t="inlineStr">
        <is>
          <t>18/06/2026</t>
        </is>
      </c>
      <c r="C1250" t="inlineStr">
        <is>
          <t>TEX COURIER S.A</t>
        </is>
      </c>
      <c r="D1250" s="7" t="n">
        <v>-37.99</v>
      </c>
      <c r="E1250" t="inlineStr">
        <is>
          <t>312</t>
        </is>
      </c>
      <c r="F1250" t="inlineStr">
        <is>
          <t>FRETES E CARRETOS</t>
        </is>
      </c>
      <c r="G1250" s="2" t="inlineStr">
        <is>
          <t>312</t>
        </is>
      </c>
      <c r="H1250">
        <f>IFERROR(VLOOKUP(G1250&amp;"",PLANO!A:B,2,FALSE),"CONTA NAO EXISTE NO PLANO")</f>
        <v/>
      </c>
      <c r="I1250" t="inlineStr">
        <is>
          <t>312</t>
        </is>
      </c>
      <c r="J1250" t="inlineStr">
        <is>
          <t>OK</t>
        </is>
      </c>
      <c r="K1250" t="inlineStr">
        <is>
          <t>categoria Cosmos 97</t>
        </is>
      </c>
      <c r="L1250" t="inlineStr">
        <is>
          <t>TEX COURIER S.A | 115/97 | PAG REF A ressarcimento, para a Total Express, dos pagamentos realizados aos Postos Fiscais</t>
        </is>
      </c>
      <c r="M1250" t="inlineStr">
        <is>
          <t>TEX COURIER S.A - PAG REF A ressarcimento, para a Total Express, dos pagamentos realizados aos Pos</t>
        </is>
      </c>
    </row>
    <row r="1251">
      <c r="A1251" s="11" t="n">
        <v>1250</v>
      </c>
      <c r="B1251" s="11" t="inlineStr">
        <is>
          <t>18/06/2026</t>
        </is>
      </c>
      <c r="C1251" s="11" t="inlineStr">
        <is>
          <t>CARLOS ALEXANDRE MAZZONI</t>
        </is>
      </c>
      <c r="D1251" s="12" t="n">
        <v>-2046.54</v>
      </c>
      <c r="E1251" s="11" t="inlineStr">
        <is>
          <t>362</t>
        </is>
      </c>
      <c r="F1251" s="11" t="inlineStr">
        <is>
          <t>SERVIÇOS PRESTADOS POR TERCEIROS</t>
        </is>
      </c>
      <c r="G1251" s="13" t="inlineStr">
        <is>
          <t>362</t>
        </is>
      </c>
      <c r="H1251" s="11">
        <f>IFERROR(VLOOKUP(G1251&amp;"",PLANO!A:B,2,FALSE),"CONTA NAO EXISTE NO PLANO")</f>
        <v/>
      </c>
      <c r="I1251" s="11" t="inlineStr">
        <is>
          <t>362</t>
        </is>
      </c>
      <c r="J1251" s="11" t="inlineStr">
        <is>
          <t>MANTIDO</t>
        </is>
      </c>
      <c r="K1251" s="11" t="inlineStr">
        <is>
          <t>socios Mazzoni (fora do contrato social) - mantido como estava</t>
        </is>
      </c>
      <c r="L1251" s="11" t="inlineStr">
        <is>
          <t>CARLOS ALEXANDRE MAZZONI | 115/33 | PGTO REF.PRO-LABORE</t>
        </is>
      </c>
      <c r="M1251" s="11" t="inlineStr">
        <is>
          <t>CARLOS ALEXANDRE MAZZONI - PGTO REF.PRO-LABORE</t>
        </is>
      </c>
    </row>
    <row r="1252">
      <c r="A1252" s="4" t="n">
        <v>1251</v>
      </c>
      <c r="B1252" s="4" t="inlineStr">
        <is>
          <t>18/06/2026</t>
        </is>
      </c>
      <c r="C1252" s="4" t="inlineStr">
        <is>
          <t>TECNOPONTO TEC AVAN CONT DE PONTO ACESSO LTDA</t>
        </is>
      </c>
      <c r="D1252" s="5" t="n">
        <v>-166.67</v>
      </c>
      <c r="E1252" s="4" t="inlineStr">
        <is>
          <t>506</t>
        </is>
      </c>
      <c r="F1252" s="4" t="inlineStr">
        <is>
          <t>FORNECEDORES DIVERSOS</t>
        </is>
      </c>
      <c r="G1252" s="6" t="inlineStr">
        <is>
          <t>640</t>
        </is>
      </c>
      <c r="H1252" s="4">
        <f>IFERROR(VLOOKUP(G1252&amp;"",PLANO!A:B,2,FALSE),"CONTA NAO EXISTE NO PLANO")</f>
        <v/>
      </c>
      <c r="I1252" s="4" t="inlineStr">
        <is>
          <t>506</t>
        </is>
      </c>
      <c r="J1252" s="4" t="inlineStr">
        <is>
          <t>AJUSTADO</t>
        </is>
      </c>
      <c r="K1252" s="4" t="inlineStr">
        <is>
          <t>software/sistema (Cosmos cat. 47)</t>
        </is>
      </c>
      <c r="L1252" s="4" t="inlineStr">
        <is>
          <t>TECNOPONTO TEC AVAN CONT DE PONTO ACESSO LTDA | 115/47 | PAGTO REF. A COMPRA DO NOVO RELÓGIO</t>
        </is>
      </c>
      <c r="M1252" s="4" t="inlineStr">
        <is>
          <t>TECNOPONTO TEC AVAN CONT DE PONTO ACESSO LTDA - PAGTO REF. A COMPRA DO NOVO RELÓGIO</t>
        </is>
      </c>
    </row>
    <row r="1253">
      <c r="A1253" t="n">
        <v>1252</v>
      </c>
      <c r="B1253" t="inlineStr">
        <is>
          <t>18/06/2026</t>
        </is>
      </c>
      <c r="C1253" t="inlineStr">
        <is>
          <t>EXPRESSO SAO MIGUEL LTDA</t>
        </is>
      </c>
      <c r="D1253" s="7" t="n">
        <v>-1886</v>
      </c>
      <c r="E1253" t="inlineStr">
        <is>
          <t>312</t>
        </is>
      </c>
      <c r="F1253" t="inlineStr">
        <is>
          <t>FRETES E CARRETOS</t>
        </is>
      </c>
      <c r="G1253" s="2" t="inlineStr">
        <is>
          <t>312</t>
        </is>
      </c>
      <c r="H1253">
        <f>IFERROR(VLOOKUP(G1253&amp;"",PLANO!A:B,2,FALSE),"CONTA NAO EXISTE NO PLANO")</f>
        <v/>
      </c>
      <c r="I1253" t="inlineStr">
        <is>
          <t>312</t>
        </is>
      </c>
      <c r="J1253" t="inlineStr">
        <is>
          <t>OK</t>
        </is>
      </c>
      <c r="K1253" t="inlineStr">
        <is>
          <t>categoria Cosmos 97</t>
        </is>
      </c>
      <c r="L1253" t="inlineStr">
        <is>
          <t>EXPRESSO SAO MIGUEL LTDA | 115/97 | PAG REF A FRETE SOBRE VENDAS</t>
        </is>
      </c>
      <c r="M1253" t="inlineStr">
        <is>
          <t>EXPRESSO SAO MIGUEL LTDA - PAG REF A FRETE SOBRE VENDAS</t>
        </is>
      </c>
    </row>
    <row r="1254">
      <c r="A1254" t="n">
        <v>1253</v>
      </c>
      <c r="B1254" t="inlineStr">
        <is>
          <t>19/06/2026</t>
        </is>
      </c>
      <c r="C1254" t="inlineStr">
        <is>
          <t>MOV TÍT COB DISP 19/06S</t>
        </is>
      </c>
      <c r="D1254" s="7" t="n">
        <v>9318.299999999999</v>
      </c>
      <c r="E1254" t="inlineStr">
        <is>
          <t>504</t>
        </is>
      </c>
      <c r="F1254" t="inlineStr">
        <is>
          <t>CLIENTES DIVERSOS</t>
        </is>
      </c>
      <c r="G1254" s="2" t="inlineStr">
        <is>
          <t>504</t>
        </is>
      </c>
      <c r="H1254">
        <f>IFERROR(VLOOKUP(G1254&amp;"",PLANO!A:B,2,FALSE),"CONTA NAO EXISTE NO PLANO")</f>
        <v/>
      </c>
      <c r="I1254" t="inlineStr">
        <is>
          <t>504</t>
        </is>
      </c>
      <c r="J1254" t="inlineStr">
        <is>
          <t>SEM COSMOS</t>
        </is>
      </c>
      <c r="K1254" t="inlineStr"/>
      <c r="L1254" t="inlineStr"/>
      <c r="M1254" t="inlineStr">
        <is>
          <t>MOV TÍT COB DISP 19/06S</t>
        </is>
      </c>
    </row>
    <row r="1255">
      <c r="A1255" t="n">
        <v>1254</v>
      </c>
      <c r="B1255" t="inlineStr">
        <is>
          <t>19/06/2026</t>
        </is>
      </c>
      <c r="C1255" t="inlineStr">
        <is>
          <t>PIX TRANSF EXCLUSI19/06</t>
        </is>
      </c>
      <c r="D1255" s="7" t="n">
        <v>3650</v>
      </c>
      <c r="E1255" t="inlineStr">
        <is>
          <t>504</t>
        </is>
      </c>
      <c r="F1255" t="inlineStr">
        <is>
          <t>CLIENTES DIVERSOS</t>
        </is>
      </c>
      <c r="G1255" s="2" t="inlineStr">
        <is>
          <t>504</t>
        </is>
      </c>
      <c r="H1255">
        <f>IFERROR(VLOOKUP(G1255&amp;"",PLANO!A:B,2,FALSE),"CONTA NAO EXISTE NO PLANO")</f>
        <v/>
      </c>
      <c r="I1255" t="inlineStr">
        <is>
          <t>504</t>
        </is>
      </c>
      <c r="J1255" t="inlineStr">
        <is>
          <t>SEM COSMOS</t>
        </is>
      </c>
      <c r="K1255" t="inlineStr"/>
      <c r="L1255" t="inlineStr"/>
      <c r="M1255" t="inlineStr">
        <is>
          <t>PIX TRANSF EXCLUSI19/06</t>
        </is>
      </c>
    </row>
    <row r="1256">
      <c r="A1256" t="n">
        <v>1255</v>
      </c>
      <c r="B1256" t="inlineStr">
        <is>
          <t>19/06/2026</t>
        </is>
      </c>
      <c r="C1256" t="inlineStr">
        <is>
          <t>PIX ENVIADO ADEMIR DOS S</t>
        </is>
      </c>
      <c r="D1256" s="7" t="n">
        <v>-168</v>
      </c>
      <c r="E1256" t="inlineStr">
        <is>
          <t>506</t>
        </is>
      </c>
      <c r="F1256" t="inlineStr">
        <is>
          <t>FORNECEDORES DIVERSOS</t>
        </is>
      </c>
      <c r="G1256" s="2" t="inlineStr">
        <is>
          <t>506</t>
        </is>
      </c>
      <c r="H1256">
        <f>IFERROR(VLOOKUP(G1256&amp;"",PLANO!A:B,2,FALSE),"CONTA NAO EXISTE NO PLANO")</f>
        <v/>
      </c>
      <c r="I1256" t="inlineStr">
        <is>
          <t>506</t>
        </is>
      </c>
      <c r="J1256" t="inlineStr">
        <is>
          <t>SEM COSMOS</t>
        </is>
      </c>
      <c r="K1256" t="inlineStr"/>
      <c r="L1256" t="inlineStr"/>
      <c r="M1256" t="inlineStr">
        <is>
          <t>PIX ENVIADO ADEMIR DOS S</t>
        </is>
      </c>
    </row>
    <row r="1257">
      <c r="A1257" t="n">
        <v>1256</v>
      </c>
      <c r="B1257" t="inlineStr">
        <is>
          <t>19/06/2026</t>
        </is>
      </c>
      <c r="C1257" t="inlineStr">
        <is>
          <t>PIX ENVIADO CARLOS ALEXA</t>
        </is>
      </c>
      <c r="D1257" s="7" t="n">
        <v>-1000</v>
      </c>
      <c r="E1257" t="inlineStr">
        <is>
          <t>362</t>
        </is>
      </c>
      <c r="F1257" t="inlineStr">
        <is>
          <t>SERVIÇOS PRESTADOS POR TERCEIROS</t>
        </is>
      </c>
      <c r="G1257" s="2" t="inlineStr">
        <is>
          <t>362</t>
        </is>
      </c>
      <c r="H1257">
        <f>IFERROR(VLOOKUP(G1257&amp;"",PLANO!A:B,2,FALSE),"CONTA NAO EXISTE NO PLANO")</f>
        <v/>
      </c>
      <c r="I1257" t="inlineStr">
        <is>
          <t>362</t>
        </is>
      </c>
      <c r="J1257" t="inlineStr">
        <is>
          <t>SEM COSMOS</t>
        </is>
      </c>
      <c r="K1257" t="inlineStr"/>
      <c r="L1257" t="inlineStr"/>
      <c r="M1257" t="inlineStr">
        <is>
          <t>PIX ENVIADO CARLOS ALEXA</t>
        </is>
      </c>
    </row>
    <row r="1258">
      <c r="A1258" t="n">
        <v>1257</v>
      </c>
      <c r="B1258" t="inlineStr">
        <is>
          <t>19/06/2026</t>
        </is>
      </c>
      <c r="C1258" t="inlineStr">
        <is>
          <t>BOLETO PAGO URBANO SA SO</t>
        </is>
      </c>
      <c r="D1258" s="7" t="n">
        <v>-3052.13</v>
      </c>
      <c r="E1258" t="inlineStr">
        <is>
          <t>350</t>
        </is>
      </c>
      <c r="F1258" t="inlineStr">
        <is>
          <t>TAXAS DIVERSAS</t>
        </is>
      </c>
      <c r="G1258" s="2" t="inlineStr">
        <is>
          <t>350</t>
        </is>
      </c>
      <c r="H1258">
        <f>IFERROR(VLOOKUP(G1258&amp;"",PLANO!A:B,2,FALSE),"CONTA NAO EXISTE NO PLANO")</f>
        <v/>
      </c>
      <c r="I1258" t="inlineStr">
        <is>
          <t>350</t>
        </is>
      </c>
      <c r="J1258" t="inlineStr">
        <is>
          <t>SEM COSMOS</t>
        </is>
      </c>
      <c r="K1258" t="inlineStr"/>
      <c r="L1258" t="inlineStr"/>
      <c r="M1258" t="inlineStr">
        <is>
          <t>BOLETO PAGO URBANO SA SO</t>
        </is>
      </c>
    </row>
    <row r="1259">
      <c r="A1259" t="n">
        <v>1258</v>
      </c>
      <c r="B1259" t="inlineStr">
        <is>
          <t>19/06/2026</t>
        </is>
      </c>
      <c r="C1259" t="inlineStr">
        <is>
          <t>BOLETO PAGO MHLOG LOGIST</t>
        </is>
      </c>
      <c r="D1259" s="7" t="n">
        <v>-1800</v>
      </c>
      <c r="E1259" t="inlineStr">
        <is>
          <t>312</t>
        </is>
      </c>
      <c r="F1259" t="inlineStr">
        <is>
          <t>FRETES E CARRETOS</t>
        </is>
      </c>
      <c r="G1259" s="2" t="inlineStr">
        <is>
          <t>312</t>
        </is>
      </c>
      <c r="H1259">
        <f>IFERROR(VLOOKUP(G1259&amp;"",PLANO!A:B,2,FALSE),"CONTA NAO EXISTE NO PLANO")</f>
        <v/>
      </c>
      <c r="I1259" t="inlineStr">
        <is>
          <t>312</t>
        </is>
      </c>
      <c r="J1259" t="inlineStr">
        <is>
          <t>SEM COSMOS</t>
        </is>
      </c>
      <c r="K1259" t="inlineStr"/>
      <c r="L1259" t="inlineStr"/>
      <c r="M1259" t="inlineStr">
        <is>
          <t>BOLETO PAGO MHLOG LOGIST</t>
        </is>
      </c>
    </row>
    <row r="1260">
      <c r="A1260" t="n">
        <v>1259</v>
      </c>
      <c r="B1260" t="inlineStr">
        <is>
          <t>22/06/2026</t>
        </is>
      </c>
      <c r="C1260" t="inlineStr">
        <is>
          <t>SISPAG O.S. SECURITIZAD</t>
        </is>
      </c>
      <c r="D1260" s="7" t="n">
        <v>6655.98</v>
      </c>
      <c r="E1260" t="inlineStr">
        <is>
          <t>504</t>
        </is>
      </c>
      <c r="F1260" t="inlineStr">
        <is>
          <t>CLIENTES DIVERSOS</t>
        </is>
      </c>
      <c r="G1260" s="2" t="inlineStr">
        <is>
          <t>504</t>
        </is>
      </c>
      <c r="H1260">
        <f>IFERROR(VLOOKUP(G1260&amp;"",PLANO!A:B,2,FALSE),"CONTA NAO EXISTE NO PLANO")</f>
        <v/>
      </c>
      <c r="I1260" t="inlineStr">
        <is>
          <t>504</t>
        </is>
      </c>
      <c r="J1260" t="inlineStr">
        <is>
          <t>SEM COSMOS</t>
        </is>
      </c>
      <c r="K1260" t="inlineStr"/>
      <c r="L1260" t="inlineStr"/>
      <c r="M1260" t="inlineStr">
        <is>
          <t>SISPAG O.S. SECURITIZAD</t>
        </is>
      </c>
    </row>
    <row r="1261">
      <c r="A1261" t="n">
        <v>1260</v>
      </c>
      <c r="B1261" t="inlineStr">
        <is>
          <t>22/06/2026</t>
        </is>
      </c>
      <c r="C1261" t="inlineStr">
        <is>
          <t>MOV TÍT COB DISP 22/06S</t>
        </is>
      </c>
      <c r="D1261" s="7" t="n">
        <v>11044.29</v>
      </c>
      <c r="E1261" t="inlineStr">
        <is>
          <t>504</t>
        </is>
      </c>
      <c r="F1261" t="inlineStr">
        <is>
          <t>CLIENTES DIVERSOS</t>
        </is>
      </c>
      <c r="G1261" s="2" t="inlineStr">
        <is>
          <t>504</t>
        </is>
      </c>
      <c r="H1261">
        <f>IFERROR(VLOOKUP(G1261&amp;"",PLANO!A:B,2,FALSE),"CONTA NAO EXISTE NO PLANO")</f>
        <v/>
      </c>
      <c r="I1261" t="inlineStr">
        <is>
          <t>504</t>
        </is>
      </c>
      <c r="J1261" t="inlineStr">
        <is>
          <t>SEM COSMOS</t>
        </is>
      </c>
      <c r="K1261" t="inlineStr"/>
      <c r="L1261" t="inlineStr"/>
      <c r="M1261" t="inlineStr">
        <is>
          <t>MOV TÍT COB DISP 22/06S</t>
        </is>
      </c>
    </row>
    <row r="1262">
      <c r="A1262" t="n">
        <v>1261</v>
      </c>
      <c r="B1262" t="inlineStr">
        <is>
          <t>22/06/2026</t>
        </is>
      </c>
      <c r="C1262" t="inlineStr">
        <is>
          <t>REDE VISA AT0081996543</t>
        </is>
      </c>
      <c r="D1262" s="7" t="n">
        <v>1131.08</v>
      </c>
      <c r="E1262" t="inlineStr">
        <is>
          <t>504</t>
        </is>
      </c>
      <c r="F1262" t="inlineStr">
        <is>
          <t>CLIENTES DIVERSOS</t>
        </is>
      </c>
      <c r="G1262" s="2" t="inlineStr">
        <is>
          <t>504</t>
        </is>
      </c>
      <c r="H1262">
        <f>IFERROR(VLOOKUP(G1262&amp;"",PLANO!A:B,2,FALSE),"CONTA NAO EXISTE NO PLANO")</f>
        <v/>
      </c>
      <c r="I1262" t="inlineStr">
        <is>
          <t>504</t>
        </is>
      </c>
      <c r="J1262" t="inlineStr">
        <is>
          <t>SEM COSMOS</t>
        </is>
      </c>
      <c r="K1262" t="inlineStr"/>
      <c r="L1262" t="inlineStr"/>
      <c r="M1262" t="inlineStr">
        <is>
          <t>REDE VISA AT0081996543</t>
        </is>
      </c>
    </row>
    <row r="1263">
      <c r="A1263" t="n">
        <v>1262</v>
      </c>
      <c r="B1263" t="inlineStr">
        <is>
          <t>22/06/2026</t>
        </is>
      </c>
      <c r="C1263" t="inlineStr">
        <is>
          <t>SISPAG CONCESSIONARIA</t>
        </is>
      </c>
      <c r="D1263" s="7" t="n">
        <v>-396.23</v>
      </c>
      <c r="E1263" t="inlineStr">
        <is>
          <t>354</t>
        </is>
      </c>
      <c r="F1263" t="inlineStr">
        <is>
          <t>ENERGIA ELÉTRICA</t>
        </is>
      </c>
      <c r="G1263" s="2" t="inlineStr">
        <is>
          <t>354</t>
        </is>
      </c>
      <c r="H1263">
        <f>IFERROR(VLOOKUP(G1263&amp;"",PLANO!A:B,2,FALSE),"CONTA NAO EXISTE NO PLANO")</f>
        <v/>
      </c>
      <c r="I1263" t="inlineStr">
        <is>
          <t>354</t>
        </is>
      </c>
      <c r="J1263" t="inlineStr">
        <is>
          <t>SEM COSMOS</t>
        </is>
      </c>
      <c r="K1263" t="inlineStr"/>
      <c r="L1263" t="inlineStr"/>
      <c r="M1263" t="inlineStr">
        <is>
          <t>SISPAG CONCESSIONARIA</t>
        </is>
      </c>
    </row>
    <row r="1264">
      <c r="A1264" t="n">
        <v>1263</v>
      </c>
      <c r="B1264" t="inlineStr">
        <is>
          <t>22/06/2026</t>
        </is>
      </c>
      <c r="C1264" t="inlineStr">
        <is>
          <t>PIX ENVIADO LUCIANO PERE</t>
        </is>
      </c>
      <c r="D1264" s="7" t="n">
        <v>-1294</v>
      </c>
      <c r="E1264" t="inlineStr">
        <is>
          <t>187</t>
        </is>
      </c>
      <c r="F1264" t="inlineStr">
        <is>
          <t>SALÁRIOS E ORDENADOS A PAGAR</t>
        </is>
      </c>
      <c r="G1264" s="2" t="inlineStr">
        <is>
          <t>187</t>
        </is>
      </c>
      <c r="H1264">
        <f>IFERROR(VLOOKUP(G1264&amp;"",PLANO!A:B,2,FALSE),"CONTA NAO EXISTE NO PLANO")</f>
        <v/>
      </c>
      <c r="I1264" t="inlineStr">
        <is>
          <t>187</t>
        </is>
      </c>
      <c r="J1264" t="inlineStr">
        <is>
          <t>SEM COSMOS</t>
        </is>
      </c>
      <c r="K1264" t="inlineStr"/>
      <c r="L1264" t="inlineStr"/>
      <c r="M1264" t="inlineStr">
        <is>
          <t>PIX ENVIADO LUCIANO PERE</t>
        </is>
      </c>
    </row>
    <row r="1265">
      <c r="A1265" t="n">
        <v>1264</v>
      </c>
      <c r="B1265" t="inlineStr">
        <is>
          <t>22/06/2026</t>
        </is>
      </c>
      <c r="C1265" t="inlineStr">
        <is>
          <t>PIX ENVIADO LUIZ FELIPE</t>
        </is>
      </c>
      <c r="D1265" s="7" t="n">
        <v>-1152</v>
      </c>
      <c r="E1265" t="inlineStr">
        <is>
          <t>187</t>
        </is>
      </c>
      <c r="F1265" t="inlineStr">
        <is>
          <t>SALÁRIOS E ORDENADOS A PAGAR</t>
        </is>
      </c>
      <c r="G1265" s="2" t="inlineStr">
        <is>
          <t>187</t>
        </is>
      </c>
      <c r="H1265">
        <f>IFERROR(VLOOKUP(G1265&amp;"",PLANO!A:B,2,FALSE),"CONTA NAO EXISTE NO PLANO")</f>
        <v/>
      </c>
      <c r="I1265" t="inlineStr">
        <is>
          <t>187</t>
        </is>
      </c>
      <c r="J1265" t="inlineStr">
        <is>
          <t>SEM COSMOS</t>
        </is>
      </c>
      <c r="K1265" t="inlineStr"/>
      <c r="L1265" t="inlineStr"/>
      <c r="M1265" t="inlineStr">
        <is>
          <t>PIX ENVIADO LUIZ FELIPE</t>
        </is>
      </c>
    </row>
    <row r="1266">
      <c r="A1266" t="n">
        <v>1265</v>
      </c>
      <c r="B1266" t="inlineStr">
        <is>
          <t>22/06/2026</t>
        </is>
      </c>
      <c r="C1266" t="inlineStr">
        <is>
          <t>PIX ENVIADO ADEMIR DOS S</t>
        </is>
      </c>
      <c r="D1266" s="7" t="n">
        <v>-400</v>
      </c>
      <c r="E1266" t="inlineStr">
        <is>
          <t>506</t>
        </is>
      </c>
      <c r="F1266" t="inlineStr">
        <is>
          <t>FORNECEDORES DIVERSOS</t>
        </is>
      </c>
      <c r="G1266" s="2" t="inlineStr">
        <is>
          <t>506</t>
        </is>
      </c>
      <c r="H1266">
        <f>IFERROR(VLOOKUP(G1266&amp;"",PLANO!A:B,2,FALSE),"CONTA NAO EXISTE NO PLANO")</f>
        <v/>
      </c>
      <c r="I1266" t="inlineStr">
        <is>
          <t>506</t>
        </is>
      </c>
      <c r="J1266" t="inlineStr">
        <is>
          <t>SEM COSMOS</t>
        </is>
      </c>
      <c r="K1266" t="inlineStr"/>
      <c r="L1266" t="inlineStr"/>
      <c r="M1266" t="inlineStr">
        <is>
          <t>PIX ENVIADO ADEMIR DOS S</t>
        </is>
      </c>
    </row>
    <row r="1267">
      <c r="A1267" t="n">
        <v>1266</v>
      </c>
      <c r="B1267" t="inlineStr">
        <is>
          <t>22/06/2026</t>
        </is>
      </c>
      <c r="C1267" t="inlineStr">
        <is>
          <t>PIX ENVIADO MARIANE POSS</t>
        </is>
      </c>
      <c r="D1267" s="7" t="n">
        <v>-911</v>
      </c>
      <c r="E1267" t="inlineStr">
        <is>
          <t>187</t>
        </is>
      </c>
      <c r="F1267" t="inlineStr">
        <is>
          <t>SALÁRIOS E ORDENADOS A PAGAR</t>
        </is>
      </c>
      <c r="G1267" s="2" t="inlineStr">
        <is>
          <t>187</t>
        </is>
      </c>
      <c r="H1267">
        <f>IFERROR(VLOOKUP(G1267&amp;"",PLANO!A:B,2,FALSE),"CONTA NAO EXISTE NO PLANO")</f>
        <v/>
      </c>
      <c r="I1267" t="inlineStr">
        <is>
          <t>187</t>
        </is>
      </c>
      <c r="J1267" t="inlineStr">
        <is>
          <t>SEM COSMOS</t>
        </is>
      </c>
      <c r="K1267" t="inlineStr"/>
      <c r="L1267" t="inlineStr"/>
      <c r="M1267" t="inlineStr">
        <is>
          <t>PIX ENVIADO MARIANE POSS</t>
        </is>
      </c>
    </row>
    <row r="1268">
      <c r="A1268" t="n">
        <v>1267</v>
      </c>
      <c r="B1268" t="inlineStr">
        <is>
          <t>22/06/2026</t>
        </is>
      </c>
      <c r="C1268" t="inlineStr">
        <is>
          <t>PIX ENVIADO FERNANDA SIL</t>
        </is>
      </c>
      <c r="D1268" s="7" t="n">
        <v>-767</v>
      </c>
      <c r="E1268" t="inlineStr">
        <is>
          <t>506</t>
        </is>
      </c>
      <c r="F1268" t="inlineStr">
        <is>
          <t>FORNECEDORES DIVERSOS</t>
        </is>
      </c>
      <c r="G1268" s="2" t="inlineStr">
        <is>
          <t>506</t>
        </is>
      </c>
      <c r="H1268">
        <f>IFERROR(VLOOKUP(G1268&amp;"",PLANO!A:B,2,FALSE),"CONTA NAO EXISTE NO PLANO")</f>
        <v/>
      </c>
      <c r="I1268" t="inlineStr">
        <is>
          <t>506</t>
        </is>
      </c>
      <c r="J1268" t="inlineStr">
        <is>
          <t>SEM COSMOS</t>
        </is>
      </c>
      <c r="K1268" t="inlineStr"/>
      <c r="L1268" t="inlineStr"/>
      <c r="M1268" t="inlineStr">
        <is>
          <t>PIX ENVIADO FERNANDA SIL</t>
        </is>
      </c>
    </row>
    <row r="1269">
      <c r="A1269" t="n">
        <v>1268</v>
      </c>
      <c r="B1269" t="inlineStr">
        <is>
          <t>22/06/2026</t>
        </is>
      </c>
      <c r="C1269" t="inlineStr">
        <is>
          <t>PIX ENVIADO INTERCLIN SE</t>
        </is>
      </c>
      <c r="D1269" s="7" t="n">
        <v>-2450</v>
      </c>
      <c r="E1269" t="inlineStr">
        <is>
          <t>506</t>
        </is>
      </c>
      <c r="F1269" t="inlineStr">
        <is>
          <t>FORNECEDORES DIVERSOS</t>
        </is>
      </c>
      <c r="G1269" s="2" t="inlineStr">
        <is>
          <t>506</t>
        </is>
      </c>
      <c r="H1269">
        <f>IFERROR(VLOOKUP(G1269&amp;"",PLANO!A:B,2,FALSE),"CONTA NAO EXISTE NO PLANO")</f>
        <v/>
      </c>
      <c r="I1269" t="inlineStr">
        <is>
          <t>506</t>
        </is>
      </c>
      <c r="J1269" t="inlineStr">
        <is>
          <t>SEM COSMOS</t>
        </is>
      </c>
      <c r="K1269" t="inlineStr"/>
      <c r="L1269" t="inlineStr"/>
      <c r="M1269" t="inlineStr">
        <is>
          <t>PIX ENVIADO INTERCLIN SE</t>
        </is>
      </c>
    </row>
    <row r="1270">
      <c r="A1270" t="n">
        <v>1269</v>
      </c>
      <c r="B1270" t="inlineStr">
        <is>
          <t>22/06/2026</t>
        </is>
      </c>
      <c r="C1270" t="inlineStr">
        <is>
          <t>PIX ENVIADO LUZIA ALVES</t>
        </is>
      </c>
      <c r="D1270" s="7" t="n">
        <v>-767</v>
      </c>
      <c r="E1270" t="inlineStr">
        <is>
          <t>187</t>
        </is>
      </c>
      <c r="F1270" t="inlineStr">
        <is>
          <t>SALÁRIOS E ORDENADOS A PAGAR</t>
        </is>
      </c>
      <c r="G1270" s="2" t="inlineStr">
        <is>
          <t>187</t>
        </is>
      </c>
      <c r="H1270">
        <f>IFERROR(VLOOKUP(G1270&amp;"",PLANO!A:B,2,FALSE),"CONTA NAO EXISTE NO PLANO")</f>
        <v/>
      </c>
      <c r="I1270" t="inlineStr">
        <is>
          <t>187</t>
        </is>
      </c>
      <c r="J1270" t="inlineStr">
        <is>
          <t>SEM COSMOS</t>
        </is>
      </c>
      <c r="K1270" t="inlineStr"/>
      <c r="L1270" t="inlineStr"/>
      <c r="M1270" t="inlineStr">
        <is>
          <t>PIX ENVIADO LUZIA ALVES</t>
        </is>
      </c>
    </row>
    <row r="1271">
      <c r="A1271" t="n">
        <v>1270</v>
      </c>
      <c r="B1271" t="inlineStr">
        <is>
          <t>22/06/2026</t>
        </is>
      </c>
      <c r="C1271" t="inlineStr">
        <is>
          <t>PIX ENVIADO BRUNA CARLA</t>
        </is>
      </c>
      <c r="D1271" s="7" t="n">
        <v>-767</v>
      </c>
      <c r="E1271" t="inlineStr">
        <is>
          <t>187</t>
        </is>
      </c>
      <c r="F1271" t="inlineStr">
        <is>
          <t>SALÁRIOS E ORDENADOS A PAGAR</t>
        </is>
      </c>
      <c r="G1271" s="2" t="inlineStr">
        <is>
          <t>187</t>
        </is>
      </c>
      <c r="H1271">
        <f>IFERROR(VLOOKUP(G1271&amp;"",PLANO!A:B,2,FALSE),"CONTA NAO EXISTE NO PLANO")</f>
        <v/>
      </c>
      <c r="I1271" t="inlineStr">
        <is>
          <t>187</t>
        </is>
      </c>
      <c r="J1271" t="inlineStr">
        <is>
          <t>SEM COSMOS</t>
        </is>
      </c>
      <c r="K1271" t="inlineStr"/>
      <c r="L1271" t="inlineStr"/>
      <c r="M1271" t="inlineStr">
        <is>
          <t>PIX ENVIADO BRUNA CARLA</t>
        </is>
      </c>
    </row>
    <row r="1272">
      <c r="A1272" t="n">
        <v>1271</v>
      </c>
      <c r="B1272" t="inlineStr">
        <is>
          <t>22/06/2026</t>
        </is>
      </c>
      <c r="C1272" t="inlineStr">
        <is>
          <t>PIX ENVIADO PAULO CESAR</t>
        </is>
      </c>
      <c r="D1272" s="7" t="n">
        <v>-771</v>
      </c>
      <c r="E1272" t="inlineStr">
        <is>
          <t>506</t>
        </is>
      </c>
      <c r="F1272" t="inlineStr">
        <is>
          <t>FORNECEDORES DIVERSOS</t>
        </is>
      </c>
      <c r="G1272" s="2" t="inlineStr">
        <is>
          <t>506</t>
        </is>
      </c>
      <c r="H1272">
        <f>IFERROR(VLOOKUP(G1272&amp;"",PLANO!A:B,2,FALSE),"CONTA NAO EXISTE NO PLANO")</f>
        <v/>
      </c>
      <c r="I1272" t="inlineStr">
        <is>
          <t>506</t>
        </is>
      </c>
      <c r="J1272" t="inlineStr">
        <is>
          <t>SEM COSMOS</t>
        </is>
      </c>
      <c r="K1272" t="inlineStr"/>
      <c r="L1272" t="inlineStr"/>
      <c r="M1272" t="inlineStr">
        <is>
          <t>PIX ENVIADO PAULO CESAR</t>
        </is>
      </c>
    </row>
    <row r="1273">
      <c r="A1273" t="n">
        <v>1272</v>
      </c>
      <c r="B1273" t="inlineStr">
        <is>
          <t>22/06/2026</t>
        </is>
      </c>
      <c r="C1273" t="inlineStr">
        <is>
          <t>PIX ENVIADO ROSANE DA SI</t>
        </is>
      </c>
      <c r="D1273" s="7" t="n">
        <v>-1320</v>
      </c>
      <c r="E1273" t="inlineStr">
        <is>
          <t>187</t>
        </is>
      </c>
      <c r="F1273" t="inlineStr">
        <is>
          <t>SALÁRIOS E ORDENADOS A PAGAR</t>
        </is>
      </c>
      <c r="G1273" s="2" t="inlineStr">
        <is>
          <t>187</t>
        </is>
      </c>
      <c r="H1273">
        <f>IFERROR(VLOOKUP(G1273&amp;"",PLANO!A:B,2,FALSE),"CONTA NAO EXISTE NO PLANO")</f>
        <v/>
      </c>
      <c r="I1273" t="inlineStr">
        <is>
          <t>187</t>
        </is>
      </c>
      <c r="J1273" t="inlineStr">
        <is>
          <t>SEM COSMOS</t>
        </is>
      </c>
      <c r="K1273" t="inlineStr"/>
      <c r="L1273" t="inlineStr"/>
      <c r="M1273" t="inlineStr">
        <is>
          <t>PIX ENVIADO ROSANE DA SI</t>
        </is>
      </c>
    </row>
    <row r="1274">
      <c r="A1274" t="n">
        <v>1273</v>
      </c>
      <c r="B1274" t="inlineStr">
        <is>
          <t>22/06/2026</t>
        </is>
      </c>
      <c r="C1274" t="inlineStr">
        <is>
          <t>BOLETO PAGO CARVALIMA TR</t>
        </is>
      </c>
      <c r="D1274" s="7" t="n">
        <v>-196.86</v>
      </c>
      <c r="E1274" t="inlineStr">
        <is>
          <t>312</t>
        </is>
      </c>
      <c r="F1274" t="inlineStr">
        <is>
          <t>FRETES E CARRETOS</t>
        </is>
      </c>
      <c r="G1274" s="2" t="inlineStr">
        <is>
          <t>312</t>
        </is>
      </c>
      <c r="H1274">
        <f>IFERROR(VLOOKUP(G1274&amp;"",PLANO!A:B,2,FALSE),"CONTA NAO EXISTE NO PLANO")</f>
        <v/>
      </c>
      <c r="I1274" t="inlineStr">
        <is>
          <t>312</t>
        </is>
      </c>
      <c r="J1274" t="inlineStr">
        <is>
          <t>SEM COSMOS</t>
        </is>
      </c>
      <c r="K1274" t="inlineStr"/>
      <c r="L1274" t="inlineStr"/>
      <c r="M1274" t="inlineStr">
        <is>
          <t>BOLETO PAGO CARVALIMA TR</t>
        </is>
      </c>
    </row>
    <row r="1275">
      <c r="A1275" t="n">
        <v>1274</v>
      </c>
      <c r="B1275" t="inlineStr">
        <is>
          <t>23/06/2026</t>
        </is>
      </c>
      <c r="C1275" t="inlineStr">
        <is>
          <t>MOV TÍT COB DISP 23/06S</t>
        </is>
      </c>
      <c r="D1275" s="7" t="n">
        <v>5292.44</v>
      </c>
      <c r="E1275" t="inlineStr">
        <is>
          <t>504</t>
        </is>
      </c>
      <c r="F1275" t="inlineStr">
        <is>
          <t>CLIENTES DIVERSOS</t>
        </is>
      </c>
      <c r="G1275" s="2" t="inlineStr">
        <is>
          <t>504</t>
        </is>
      </c>
      <c r="H1275">
        <f>IFERROR(VLOOKUP(G1275&amp;"",PLANO!A:B,2,FALSE),"CONTA NAO EXISTE NO PLANO")</f>
        <v/>
      </c>
      <c r="I1275" t="inlineStr">
        <is>
          <t>504</t>
        </is>
      </c>
      <c r="J1275" t="inlineStr">
        <is>
          <t>SEM COSMOS</t>
        </is>
      </c>
      <c r="K1275" t="inlineStr"/>
      <c r="L1275" t="inlineStr"/>
      <c r="M1275" t="inlineStr">
        <is>
          <t>MOV TÍT COB DISP 23/06S</t>
        </is>
      </c>
    </row>
    <row r="1276">
      <c r="A1276" t="n">
        <v>1275</v>
      </c>
      <c r="B1276" t="inlineStr">
        <is>
          <t>23/06/2026</t>
        </is>
      </c>
      <c r="C1276" t="inlineStr">
        <is>
          <t>PIX TRANSF TOP AMA23/06</t>
        </is>
      </c>
      <c r="D1276" s="7" t="n">
        <v>1644</v>
      </c>
      <c r="E1276" t="inlineStr">
        <is>
          <t>504</t>
        </is>
      </c>
      <c r="F1276" t="inlineStr">
        <is>
          <t>CLIENTES DIVERSOS</t>
        </is>
      </c>
      <c r="G1276" s="2" t="inlineStr">
        <is>
          <t>504</t>
        </is>
      </c>
      <c r="H1276">
        <f>IFERROR(VLOOKUP(G1276&amp;"",PLANO!A:B,2,FALSE),"CONTA NAO EXISTE NO PLANO")</f>
        <v/>
      </c>
      <c r="I1276" t="inlineStr">
        <is>
          <t>504</t>
        </is>
      </c>
      <c r="J1276" t="inlineStr">
        <is>
          <t>SEM COSMOS</t>
        </is>
      </c>
      <c r="K1276" t="inlineStr"/>
      <c r="L1276" t="inlineStr"/>
      <c r="M1276" t="inlineStr">
        <is>
          <t>PIX TRANSF TOP AMA23/06</t>
        </is>
      </c>
    </row>
    <row r="1277">
      <c r="A1277" t="n">
        <v>1276</v>
      </c>
      <c r="B1277" t="inlineStr">
        <is>
          <t>23/06/2026</t>
        </is>
      </c>
      <c r="C1277" t="inlineStr">
        <is>
          <t>TED 363.0001.RNX F M D R</t>
        </is>
      </c>
      <c r="D1277" s="7" t="n">
        <v>0.08</v>
      </c>
      <c r="E1277" t="inlineStr">
        <is>
          <t>504</t>
        </is>
      </c>
      <c r="F1277" t="inlineStr">
        <is>
          <t>CLIENTES DIVERSOS</t>
        </is>
      </c>
      <c r="G1277" s="2" t="inlineStr">
        <is>
          <t>504</t>
        </is>
      </c>
      <c r="H1277">
        <f>IFERROR(VLOOKUP(G1277&amp;"",PLANO!A:B,2,FALSE),"CONTA NAO EXISTE NO PLANO")</f>
        <v/>
      </c>
      <c r="I1277" t="inlineStr">
        <is>
          <t>504</t>
        </is>
      </c>
      <c r="J1277" t="inlineStr">
        <is>
          <t>SEM COSMOS</t>
        </is>
      </c>
      <c r="K1277" t="inlineStr"/>
      <c r="L1277" t="inlineStr"/>
      <c r="M1277" t="inlineStr">
        <is>
          <t>TED 363.0001.RNX F M D R</t>
        </is>
      </c>
    </row>
    <row r="1278">
      <c r="A1278" s="4" t="n">
        <v>1277</v>
      </c>
      <c r="B1278" s="4" t="inlineStr">
        <is>
          <t>23/06/2026</t>
        </is>
      </c>
      <c r="C1278" s="4" t="inlineStr">
        <is>
          <t>RICARDO RICCI</t>
        </is>
      </c>
      <c r="D1278" s="5" t="n">
        <v>-1000</v>
      </c>
      <c r="E1278" s="4" t="inlineStr">
        <is>
          <t>362</t>
        </is>
      </c>
      <c r="F1278" s="4" t="inlineStr">
        <is>
          <t>SERVIÇOS PRESTADOS POR TERCEIROS</t>
        </is>
      </c>
      <c r="G1278" s="6" t="inlineStr">
        <is>
          <t>308</t>
        </is>
      </c>
      <c r="H1278" s="4">
        <f>IFERROR(VLOOKUP(G1278&amp;"",PLANO!A:B,2,FALSE),"CONTA NAO EXISTE NO PLANO")</f>
        <v/>
      </c>
      <c r="I1278" s="4" t="inlineStr">
        <is>
          <t>362</t>
        </is>
      </c>
      <c r="J1278" s="4" t="inlineStr">
        <is>
          <t>AJUSTADO</t>
        </is>
      </c>
      <c r="K1278" s="4" t="inlineStr">
        <is>
          <t>comissao sobre vendas -&gt; 308 COMISSOES (conta existente no plano)</t>
        </is>
      </c>
      <c r="L1278" s="4" t="inlineStr">
        <is>
          <t>RICARDO RICCI | 115/53 | PGTO REF.COMISSÃO S/VENDAS</t>
        </is>
      </c>
      <c r="M1278" s="4" t="inlineStr">
        <is>
          <t>RICARDO RICCI - PGTO REF.COMISSÃO S/VENDAS</t>
        </is>
      </c>
    </row>
    <row r="1279">
      <c r="A1279" t="n">
        <v>1278</v>
      </c>
      <c r="B1279" t="inlineStr">
        <is>
          <t>23/06/2026</t>
        </is>
      </c>
      <c r="C1279" t="inlineStr">
        <is>
          <t>LUIZ HENRIQUE COSTA</t>
        </is>
      </c>
      <c r="D1279" s="7" t="n">
        <v>-2000</v>
      </c>
      <c r="E1279" t="inlineStr">
        <is>
          <t>362</t>
        </is>
      </c>
      <c r="F1279" t="inlineStr">
        <is>
          <t>SERVIÇOS PRESTADOS POR TERCEIROS</t>
        </is>
      </c>
      <c r="G1279" s="2" t="inlineStr">
        <is>
          <t>362</t>
        </is>
      </c>
      <c r="H1279">
        <f>IFERROR(VLOOKUP(G1279&amp;"",PLANO!A:B,2,FALSE),"CONTA NAO EXISTE NO PLANO")</f>
        <v/>
      </c>
      <c r="I1279" t="inlineStr">
        <is>
          <t>362</t>
        </is>
      </c>
      <c r="J1279" t="inlineStr">
        <is>
          <t>OK</t>
        </is>
      </c>
      <c r="K1279" t="inlineStr">
        <is>
          <t>servico prestado</t>
        </is>
      </c>
      <c r="L1279" t="inlineStr">
        <is>
          <t>LUIZ HENRIQUE COSTA | 115/81 | PGTO REF.SERVIÇOS PRESTADOS CONF.CONTRATO</t>
        </is>
      </c>
      <c r="M1279" t="inlineStr">
        <is>
          <t>LUIZ HENRIQUE COSTA - PGTO REF.SERVIÇOS PRESTADOS CONF.CONTRATO</t>
        </is>
      </c>
    </row>
    <row r="1280">
      <c r="A1280" t="n">
        <v>1279</v>
      </c>
      <c r="B1280" t="inlineStr">
        <is>
          <t>23/06/2026</t>
        </is>
      </c>
      <c r="C1280" t="inlineStr">
        <is>
          <t>CLAUDIA APARECIDA RUBIN</t>
        </is>
      </c>
      <c r="D1280" s="7" t="n">
        <v>-1000</v>
      </c>
      <c r="E1280" t="inlineStr">
        <is>
          <t>362</t>
        </is>
      </c>
      <c r="F1280" t="inlineStr">
        <is>
          <t>SERVIÇOS PRESTADOS POR TERCEIROS</t>
        </is>
      </c>
      <c r="G1280" s="2" t="inlineStr">
        <is>
          <t>362</t>
        </is>
      </c>
      <c r="H1280">
        <f>IFERROR(VLOOKUP(G1280&amp;"",PLANO!A:B,2,FALSE),"CONTA NAO EXISTE NO PLANO")</f>
        <v/>
      </c>
      <c r="I1280" t="inlineStr">
        <is>
          <t>362</t>
        </is>
      </c>
      <c r="J1280" t="inlineStr">
        <is>
          <t>OK</t>
        </is>
      </c>
      <c r="K1280" t="inlineStr">
        <is>
          <t>servico prestado</t>
        </is>
      </c>
      <c r="L1280" t="inlineStr">
        <is>
          <t>CLAUDIA APARECIDA RUBIN | 115/81 | PGTO REF.SERVIÇOS PRESTADOS CONF.CONTRATO</t>
        </is>
      </c>
      <c r="M1280" t="inlineStr">
        <is>
          <t>CLAUDIA APARECIDA RUBIN - PGTO REF.SERVIÇOS PRESTADOS CONF.CONTRATO</t>
        </is>
      </c>
    </row>
    <row r="1281">
      <c r="A1281" s="4" t="n">
        <v>1280</v>
      </c>
      <c r="B1281" s="4" t="inlineStr">
        <is>
          <t>23/06/2026</t>
        </is>
      </c>
      <c r="C1281" s="4" t="inlineStr">
        <is>
          <t>JANAINA PEREIRA ELIAS 08802647992</t>
        </is>
      </c>
      <c r="D1281" s="5" t="n">
        <v>-1000</v>
      </c>
      <c r="E1281" s="4" t="inlineStr">
        <is>
          <t>506</t>
        </is>
      </c>
      <c r="F1281" s="4" t="inlineStr">
        <is>
          <t>FORNECEDORES DIVERSOS</t>
        </is>
      </c>
      <c r="G1281" s="6" t="inlineStr">
        <is>
          <t>308</t>
        </is>
      </c>
      <c r="H1281" s="4">
        <f>IFERROR(VLOOKUP(G1281&amp;"",PLANO!A:B,2,FALSE),"CONTA NAO EXISTE NO PLANO")</f>
        <v/>
      </c>
      <c r="I1281" s="4" t="inlineStr">
        <is>
          <t>362</t>
        </is>
      </c>
      <c r="J1281" s="4" t="inlineStr">
        <is>
          <t>AJUSTADO</t>
        </is>
      </c>
      <c r="K1281" s="4" t="inlineStr">
        <is>
          <t>comissao sobre vendas -&gt; 308 COMISSOES (conta existente no plano)</t>
        </is>
      </c>
      <c r="L1281" s="4" t="inlineStr">
        <is>
          <t>JANAINA PEREIRA ELIAS 08802647992 | 115/53 | PGTO REF.COMISSÕES S/VENDAS</t>
        </is>
      </c>
      <c r="M1281" s="4" t="inlineStr">
        <is>
          <t>JANAINA PEREIRA ELIAS 08802647992 - PGTO REF.COMISSÕES S/VENDAS</t>
        </is>
      </c>
    </row>
    <row r="1282">
      <c r="A1282" s="4" t="n">
        <v>1281</v>
      </c>
      <c r="B1282" s="4" t="inlineStr">
        <is>
          <t>23/06/2026</t>
        </is>
      </c>
      <c r="C1282" s="4" t="inlineStr">
        <is>
          <t>ISMAEL CORDEIRO DA SILVA</t>
        </is>
      </c>
      <c r="D1282" s="5" t="n">
        <v>-2000</v>
      </c>
      <c r="E1282" s="4" t="inlineStr">
        <is>
          <t>187</t>
        </is>
      </c>
      <c r="F1282" s="4" t="inlineStr">
        <is>
          <t>SALÁRIOS E ORDENADOS A PAGAR</t>
        </is>
      </c>
      <c r="G1282" s="6" t="inlineStr">
        <is>
          <t>308</t>
        </is>
      </c>
      <c r="H1282" s="4">
        <f>IFERROR(VLOOKUP(G1282&amp;"",PLANO!A:B,2,FALSE),"CONTA NAO EXISTE NO PLANO")</f>
        <v/>
      </c>
      <c r="I1282" s="4" t="inlineStr">
        <is>
          <t>362</t>
        </is>
      </c>
      <c r="J1282" s="4" t="inlineStr">
        <is>
          <t>AJUSTADO</t>
        </is>
      </c>
      <c r="K1282" s="4" t="inlineStr">
        <is>
          <t>comissao sobre vendas -&gt; 308 COMISSOES (conta existente no plano)</t>
        </is>
      </c>
      <c r="L1282" s="4" t="inlineStr">
        <is>
          <t>ISMAEL CORDEIRO DA SILVA | 115/53 | PGTO REF.COMISSÃO S/VENDAS</t>
        </is>
      </c>
      <c r="M1282" s="4" t="inlineStr">
        <is>
          <t>ISMAEL CORDEIRO DA SILVA - PGTO REF.COMISSÃO S/VENDAS</t>
        </is>
      </c>
    </row>
    <row r="1283">
      <c r="A1283" s="8" t="n">
        <v>1282</v>
      </c>
      <c r="B1283" s="8" t="inlineStr">
        <is>
          <t>23/06/2026</t>
        </is>
      </c>
      <c r="C1283" s="8" t="inlineStr">
        <is>
          <t>THIAGO TAIT DAS CHAGAS</t>
        </is>
      </c>
      <c r="D1283" s="9" t="n">
        <v>-1000</v>
      </c>
      <c r="E1283" s="8" t="inlineStr">
        <is>
          <t>25</t>
        </is>
      </c>
      <c r="F1283" s="8" t="inlineStr">
        <is>
          <t>ADIANTAMENTO DE SALÁRIO</t>
        </is>
      </c>
      <c r="G1283" s="10" t="inlineStr">
        <is>
          <t>362</t>
        </is>
      </c>
      <c r="H1283" s="8">
        <f>IFERROR(VLOOKUP(G1283&amp;"",PLANO!A:B,2,FALSE),"CONTA NAO EXISTE NO PLANO")</f>
        <v/>
      </c>
      <c r="I1283" s="8" t="inlineStr">
        <is>
          <t>362</t>
        </is>
      </c>
      <c r="J1283" s="8" t="inlineStr">
        <is>
          <t>CORRIGIR</t>
        </is>
      </c>
      <c r="K1283" s="8" t="inlineStr">
        <is>
          <t>Cosmos: servicos prestados/comissao (nao e folha/adiantamento)</t>
        </is>
      </c>
      <c r="L1283" s="8" t="inlineStr">
        <is>
          <t>THIAGO TAIT DAS CHAGAS | 115/81 | PGTO REF.SERVIÇOS PRESTADOS CONF.CONTRATO</t>
        </is>
      </c>
      <c r="M1283" s="8" t="inlineStr">
        <is>
          <t>THIAGO TAIT DAS CHAGAS - PGTO REF.SERVIÇOS PRESTADOS CONF.CONTRATO</t>
        </is>
      </c>
    </row>
    <row r="1284">
      <c r="A1284" s="4" t="n">
        <v>1283</v>
      </c>
      <c r="B1284" s="4" t="inlineStr">
        <is>
          <t>23/06/2026</t>
        </is>
      </c>
      <c r="C1284" s="4" t="inlineStr">
        <is>
          <t>MARCIA CAUCA</t>
        </is>
      </c>
      <c r="D1284" s="5" t="n">
        <v>-2000</v>
      </c>
      <c r="E1284" s="4" t="inlineStr">
        <is>
          <t>362</t>
        </is>
      </c>
      <c r="F1284" s="4" t="inlineStr">
        <is>
          <t>SERVIÇOS PRESTADOS POR TERCEIROS</t>
        </is>
      </c>
      <c r="G1284" s="6" t="inlineStr">
        <is>
          <t>308</t>
        </is>
      </c>
      <c r="H1284" s="4">
        <f>IFERROR(VLOOKUP(G1284&amp;"",PLANO!A:B,2,FALSE),"CONTA NAO EXISTE NO PLANO")</f>
        <v/>
      </c>
      <c r="I1284" s="4" t="inlineStr">
        <is>
          <t>362</t>
        </is>
      </c>
      <c r="J1284" s="4" t="inlineStr">
        <is>
          <t>AJUSTADO</t>
        </is>
      </c>
      <c r="K1284" s="4" t="inlineStr">
        <is>
          <t>comissao sobre vendas -&gt; 308 COMISSOES (conta existente no plano)</t>
        </is>
      </c>
      <c r="L1284" s="4" t="inlineStr">
        <is>
          <t>MARCIA CAUCA | 115/53 | PGTO REF.COMISSÃO S/VENDAS</t>
        </is>
      </c>
      <c r="M1284" s="4" t="inlineStr">
        <is>
          <t>MARCIA CAUCA - PGTO REF.COMISSÃO S/VENDAS</t>
        </is>
      </c>
    </row>
    <row r="1285">
      <c r="A1285" t="n">
        <v>1284</v>
      </c>
      <c r="B1285" t="inlineStr">
        <is>
          <t>23/06/2026</t>
        </is>
      </c>
      <c r="C1285" t="inlineStr">
        <is>
          <t>PIX ENVIADO RICARDO RICC</t>
        </is>
      </c>
      <c r="D1285" s="7" t="n">
        <v>-1000</v>
      </c>
      <c r="E1285" t="inlineStr">
        <is>
          <t>506</t>
        </is>
      </c>
      <c r="F1285" t="inlineStr">
        <is>
          <t>FORNECEDORES DIVERSOS</t>
        </is>
      </c>
      <c r="G1285" s="2" t="inlineStr">
        <is>
          <t>506</t>
        </is>
      </c>
      <c r="H1285">
        <f>IFERROR(VLOOKUP(G1285&amp;"",PLANO!A:B,2,FALSE),"CONTA NAO EXISTE NO PLANO")</f>
        <v/>
      </c>
      <c r="I1285" t="inlineStr">
        <is>
          <t>506</t>
        </is>
      </c>
      <c r="J1285" t="inlineStr">
        <is>
          <t>SEM COSMOS</t>
        </is>
      </c>
      <c r="K1285" t="inlineStr"/>
      <c r="L1285" t="inlineStr"/>
      <c r="M1285" t="inlineStr">
        <is>
          <t>PIX ENVIADO RICARDO RICC</t>
        </is>
      </c>
    </row>
    <row r="1286">
      <c r="A1286" t="n">
        <v>1285</v>
      </c>
      <c r="B1286" t="inlineStr">
        <is>
          <t>23/06/2026</t>
        </is>
      </c>
      <c r="C1286" t="inlineStr">
        <is>
          <t>BOLETO PAGO EFITRANS TRA</t>
        </is>
      </c>
      <c r="D1286" s="7" t="n">
        <v>-297.23</v>
      </c>
      <c r="E1286" t="inlineStr">
        <is>
          <t>312</t>
        </is>
      </c>
      <c r="F1286" t="inlineStr">
        <is>
          <t>FRETES E CARRETOS</t>
        </is>
      </c>
      <c r="G1286" s="2" t="inlineStr">
        <is>
          <t>312</t>
        </is>
      </c>
      <c r="H1286">
        <f>IFERROR(VLOOKUP(G1286&amp;"",PLANO!A:B,2,FALSE),"CONTA NAO EXISTE NO PLANO")</f>
        <v/>
      </c>
      <c r="I1286" t="inlineStr">
        <is>
          <t>312</t>
        </is>
      </c>
      <c r="J1286" t="inlineStr">
        <is>
          <t>SEM COSMOS</t>
        </is>
      </c>
      <c r="K1286" t="inlineStr"/>
      <c r="L1286" t="inlineStr"/>
      <c r="M1286" t="inlineStr">
        <is>
          <t>BOLETO PAGO EFITRANS TRA</t>
        </is>
      </c>
    </row>
    <row r="1287">
      <c r="A1287" s="8" t="n">
        <v>1286</v>
      </c>
      <c r="B1287" s="8" t="inlineStr">
        <is>
          <t>23/06/2026</t>
        </is>
      </c>
      <c r="C1287" s="8" t="inlineStr">
        <is>
          <t>Rend Pago Aplic Aut Mais</t>
        </is>
      </c>
      <c r="D1287" s="9" t="n">
        <v>0.02</v>
      </c>
      <c r="E1287" s="8" t="inlineStr">
        <is>
          <t>(faltava)</t>
        </is>
      </c>
      <c r="F1287" s="8" t="inlineStr"/>
      <c r="G1287" s="10" t="inlineStr">
        <is>
          <t>432</t>
        </is>
      </c>
      <c r="H1287" s="8">
        <f>IFERROR(VLOOKUP(G1287&amp;"",PLANO!A:B,2,FALSE),"CONTA NAO EXISTE NO PLANO")</f>
        <v/>
      </c>
      <c r="I1287" s="8" t="inlineStr">
        <is>
          <t>432</t>
        </is>
      </c>
      <c r="J1287" s="8" t="inlineStr">
        <is>
          <t>CORRIGIR</t>
        </is>
      </c>
      <c r="K1287" s="8" t="inlineStr">
        <is>
          <t>rendimento de jun/26 nao lancado no TXT de junho</t>
        </is>
      </c>
      <c r="L1287" s="8" t="inlineStr"/>
      <c r="M1287" s="8" t="inlineStr">
        <is>
          <t>RENDIMENTO APLICACAO AUTOMATICA ITAU</t>
        </is>
      </c>
    </row>
    <row r="1288">
      <c r="A1288" s="4" t="n">
        <v>1287</v>
      </c>
      <c r="B1288" s="4" t="inlineStr">
        <is>
          <t>24/06/2026</t>
        </is>
      </c>
      <c r="C1288" s="4" t="inlineStr">
        <is>
          <t>SISPAG GULA COSMETICOS</t>
        </is>
      </c>
      <c r="D1288" s="5" t="n">
        <v>4000</v>
      </c>
      <c r="E1288" s="4" t="inlineStr">
        <is>
          <t>664</t>
        </is>
      </c>
      <c r="F1288" s="4" t="inlineStr">
        <is>
          <t>COSMETICON COMERCIO DE COSMETICOS LTDA</t>
        </is>
      </c>
      <c r="G1288" s="6" t="inlineStr">
        <is>
          <t>366</t>
        </is>
      </c>
      <c r="H1288" s="4">
        <f>IFERROR(VLOOKUP(G1288&amp;"",PLANO!A:B,2,FALSE),"CONTA NAO EXISTE NO PLANO")</f>
        <v/>
      </c>
      <c r="I1288" s="4" t="inlineStr">
        <is>
          <t>672</t>
        </is>
      </c>
      <c r="J1288" s="4" t="inlineStr">
        <is>
          <t>AJUSTADO</t>
        </is>
      </c>
      <c r="K1288" s="4" t="inlineStr">
        <is>
          <t>GULA/FIQUE BEM (mesmo CNPJ, empresa do grupo) - mutuo em EMPRESTIMOS A TERCEIROS (366); nao e fornecedor</t>
        </is>
      </c>
      <c r="L1288" s="4" t="inlineStr"/>
      <c r="M1288" s="4" t="inlineStr">
        <is>
          <t>SISPAG GULA COSMETICOS</t>
        </is>
      </c>
    </row>
    <row r="1289">
      <c r="A1289" t="n">
        <v>1288</v>
      </c>
      <c r="B1289" t="inlineStr">
        <is>
          <t>24/06/2026</t>
        </is>
      </c>
      <c r="C1289" t="inlineStr">
        <is>
          <t>MOV TÍT COB DISP 24/06S</t>
        </is>
      </c>
      <c r="D1289" s="7" t="n">
        <v>2681.86</v>
      </c>
      <c r="E1289" t="inlineStr">
        <is>
          <t>504</t>
        </is>
      </c>
      <c r="F1289" t="inlineStr">
        <is>
          <t>CLIENTES DIVERSOS</t>
        </is>
      </c>
      <c r="G1289" s="2" t="inlineStr">
        <is>
          <t>504</t>
        </is>
      </c>
      <c r="H1289">
        <f>IFERROR(VLOOKUP(G1289&amp;"",PLANO!A:B,2,FALSE),"CONTA NAO EXISTE NO PLANO")</f>
        <v/>
      </c>
      <c r="I1289" t="inlineStr">
        <is>
          <t>504</t>
        </is>
      </c>
      <c r="J1289" t="inlineStr">
        <is>
          <t>SEM COSMOS</t>
        </is>
      </c>
      <c r="K1289" t="inlineStr"/>
      <c r="L1289" t="inlineStr"/>
      <c r="M1289" t="inlineStr">
        <is>
          <t>MOV TÍT COB DISP 24/06S</t>
        </is>
      </c>
    </row>
    <row r="1290">
      <c r="A1290" t="n">
        <v>1289</v>
      </c>
      <c r="B1290" t="inlineStr">
        <is>
          <t>24/06/2026</t>
        </is>
      </c>
      <c r="C1290" t="inlineStr">
        <is>
          <t>PIX TRANSF ATTOZ B24/06</t>
        </is>
      </c>
      <c r="D1290" s="7" t="n">
        <v>3200</v>
      </c>
      <c r="E1290" t="inlineStr">
        <is>
          <t>504</t>
        </is>
      </c>
      <c r="F1290" t="inlineStr">
        <is>
          <t>CLIENTES DIVERSOS</t>
        </is>
      </c>
      <c r="G1290" s="2" t="inlineStr">
        <is>
          <t>504</t>
        </is>
      </c>
      <c r="H1290">
        <f>IFERROR(VLOOKUP(G1290&amp;"",PLANO!A:B,2,FALSE),"CONTA NAO EXISTE NO PLANO")</f>
        <v/>
      </c>
      <c r="I1290" t="inlineStr">
        <is>
          <t>504</t>
        </is>
      </c>
      <c r="J1290" t="inlineStr">
        <is>
          <t>SEM COSMOS</t>
        </is>
      </c>
      <c r="K1290" t="inlineStr"/>
      <c r="L1290" t="inlineStr"/>
      <c r="M1290" t="inlineStr">
        <is>
          <t>PIX TRANSF ATTOZ B24/06</t>
        </is>
      </c>
    </row>
    <row r="1291">
      <c r="A1291" t="n">
        <v>1290</v>
      </c>
      <c r="B1291" t="inlineStr">
        <is>
          <t>24/06/2026</t>
        </is>
      </c>
      <c r="C1291" t="inlineStr">
        <is>
          <t>PIX ENVIADO 50.370.136 A</t>
        </is>
      </c>
      <c r="D1291" s="7" t="n">
        <v>-8447.959999999999</v>
      </c>
      <c r="E1291" t="inlineStr">
        <is>
          <t>493</t>
        </is>
      </c>
      <c r="F1291" t="inlineStr">
        <is>
          <t>DESPESAS DIVERSAS</t>
        </is>
      </c>
      <c r="G1291" s="2" t="inlineStr">
        <is>
          <t>493</t>
        </is>
      </c>
      <c r="H1291">
        <f>IFERROR(VLOOKUP(G1291&amp;"",PLANO!A:B,2,FALSE),"CONTA NAO EXISTE NO PLANO")</f>
        <v/>
      </c>
      <c r="I1291" t="inlineStr">
        <is>
          <t>493</t>
        </is>
      </c>
      <c r="J1291" t="inlineStr">
        <is>
          <t>SEM COSMOS</t>
        </is>
      </c>
      <c r="K1291" t="inlineStr"/>
      <c r="L1291" t="inlineStr"/>
      <c r="M1291" t="inlineStr">
        <is>
          <t>PIX ENVIADO 50.370.136 A</t>
        </is>
      </c>
    </row>
    <row r="1292">
      <c r="A1292" t="n">
        <v>1291</v>
      </c>
      <c r="B1292" t="inlineStr">
        <is>
          <t>24/06/2026</t>
        </is>
      </c>
      <c r="C1292" t="inlineStr">
        <is>
          <t>PIX ENVIADO HIGH CHEM CO</t>
        </is>
      </c>
      <c r="D1292" s="7" t="n">
        <v>-7077</v>
      </c>
      <c r="E1292" t="inlineStr">
        <is>
          <t>506</t>
        </is>
      </c>
      <c r="F1292" t="inlineStr">
        <is>
          <t>FORNECEDORES DIVERSOS</t>
        </is>
      </c>
      <c r="G1292" s="2" t="inlineStr">
        <is>
          <t>506</t>
        </is>
      </c>
      <c r="H1292">
        <f>IFERROR(VLOOKUP(G1292&amp;"",PLANO!A:B,2,FALSE),"CONTA NAO EXISTE NO PLANO")</f>
        <v/>
      </c>
      <c r="I1292" t="inlineStr">
        <is>
          <t>506</t>
        </is>
      </c>
      <c r="J1292" t="inlineStr">
        <is>
          <t>SEM COSMOS</t>
        </is>
      </c>
      <c r="K1292" t="inlineStr"/>
      <c r="L1292" t="inlineStr"/>
      <c r="M1292" t="inlineStr">
        <is>
          <t>PIX ENVIADO HIGH CHEM CO</t>
        </is>
      </c>
    </row>
    <row r="1293">
      <c r="A1293" t="n">
        <v>1292</v>
      </c>
      <c r="B1293" t="inlineStr">
        <is>
          <t>24/06/2026</t>
        </is>
      </c>
      <c r="C1293" t="inlineStr">
        <is>
          <t>PIX ENVIADO PROVITAL DO</t>
        </is>
      </c>
      <c r="D1293" s="7" t="n">
        <v>-4179.46</v>
      </c>
      <c r="E1293" t="inlineStr">
        <is>
          <t>506</t>
        </is>
      </c>
      <c r="F1293" t="inlineStr">
        <is>
          <t>FORNECEDORES DIVERSOS</t>
        </is>
      </c>
      <c r="G1293" s="2" t="inlineStr">
        <is>
          <t>506</t>
        </is>
      </c>
      <c r="H1293">
        <f>IFERROR(VLOOKUP(G1293&amp;"",PLANO!A:B,2,FALSE),"CONTA NAO EXISTE NO PLANO")</f>
        <v/>
      </c>
      <c r="I1293" t="inlineStr">
        <is>
          <t>506</t>
        </is>
      </c>
      <c r="J1293" t="inlineStr">
        <is>
          <t>SEM COSMOS</t>
        </is>
      </c>
      <c r="K1293" t="inlineStr"/>
      <c r="L1293" t="inlineStr"/>
      <c r="M1293" t="inlineStr">
        <is>
          <t>PIX ENVIADO PROVITAL DO</t>
        </is>
      </c>
    </row>
    <row r="1294">
      <c r="A1294" s="8" t="n">
        <v>1293</v>
      </c>
      <c r="B1294" s="8" t="inlineStr">
        <is>
          <t>24/06/2026</t>
        </is>
      </c>
      <c r="C1294" s="8" t="inlineStr">
        <is>
          <t>Rend Pago Aplic Aut Mais</t>
        </is>
      </c>
      <c r="D1294" s="9" t="n">
        <v>0.03</v>
      </c>
      <c r="E1294" s="8" t="inlineStr">
        <is>
          <t>(faltava)</t>
        </is>
      </c>
      <c r="F1294" s="8" t="inlineStr"/>
      <c r="G1294" s="10" t="inlineStr">
        <is>
          <t>432</t>
        </is>
      </c>
      <c r="H1294" s="8">
        <f>IFERROR(VLOOKUP(G1294&amp;"",PLANO!A:B,2,FALSE),"CONTA NAO EXISTE NO PLANO")</f>
        <v/>
      </c>
      <c r="I1294" s="8" t="inlineStr">
        <is>
          <t>432</t>
        </is>
      </c>
      <c r="J1294" s="8" t="inlineStr">
        <is>
          <t>CORRIGIR</t>
        </is>
      </c>
      <c r="K1294" s="8" t="inlineStr">
        <is>
          <t>rendimento de jun/26 nao lancado no TXT de junho</t>
        </is>
      </c>
      <c r="L1294" s="8" t="inlineStr"/>
      <c r="M1294" s="8" t="inlineStr">
        <is>
          <t>RENDIMENTO APLICACAO AUTOMATICA ITAU</t>
        </is>
      </c>
    </row>
    <row r="1295">
      <c r="A1295" t="n">
        <v>1294</v>
      </c>
      <c r="B1295" t="inlineStr">
        <is>
          <t>25/06/2026</t>
        </is>
      </c>
      <c r="C1295" t="inlineStr">
        <is>
          <t>MOV TÍT COB DISP 25/06S</t>
        </is>
      </c>
      <c r="D1295" s="7" t="n">
        <v>3250.44</v>
      </c>
      <c r="E1295" t="inlineStr">
        <is>
          <t>504</t>
        </is>
      </c>
      <c r="F1295" t="inlineStr">
        <is>
          <t>CLIENTES DIVERSOS</t>
        </is>
      </c>
      <c r="G1295" s="2" t="inlineStr">
        <is>
          <t>504</t>
        </is>
      </c>
      <c r="H1295">
        <f>IFERROR(VLOOKUP(G1295&amp;"",PLANO!A:B,2,FALSE),"CONTA NAO EXISTE NO PLANO")</f>
        <v/>
      </c>
      <c r="I1295" t="inlineStr">
        <is>
          <t>504</t>
        </is>
      </c>
      <c r="J1295" t="inlineStr">
        <is>
          <t>SEM COSMOS</t>
        </is>
      </c>
      <c r="K1295" t="inlineStr"/>
      <c r="L1295" t="inlineStr"/>
      <c r="M1295" t="inlineStr">
        <is>
          <t>MOV TÍT COB DISP 25/06S</t>
        </is>
      </c>
    </row>
    <row r="1296">
      <c r="A1296" t="n">
        <v>1295</v>
      </c>
      <c r="B1296" t="inlineStr">
        <is>
          <t>25/06/2026</t>
        </is>
      </c>
      <c r="C1296" t="inlineStr">
        <is>
          <t>PIX TRANSF LDX COM25/06</t>
        </is>
      </c>
      <c r="D1296" s="7" t="n">
        <v>4182</v>
      </c>
      <c r="E1296" t="inlineStr">
        <is>
          <t>504</t>
        </is>
      </c>
      <c r="F1296" t="inlineStr">
        <is>
          <t>CLIENTES DIVERSOS</t>
        </is>
      </c>
      <c r="G1296" s="2" t="inlineStr">
        <is>
          <t>504</t>
        </is>
      </c>
      <c r="H1296">
        <f>IFERROR(VLOOKUP(G1296&amp;"",PLANO!A:B,2,FALSE),"CONTA NAO EXISTE NO PLANO")</f>
        <v/>
      </c>
      <c r="I1296" t="inlineStr">
        <is>
          <t>504</t>
        </is>
      </c>
      <c r="J1296" t="inlineStr">
        <is>
          <t>SEM COSMOS</t>
        </is>
      </c>
      <c r="K1296" t="inlineStr"/>
      <c r="L1296" t="inlineStr"/>
      <c r="M1296" t="inlineStr">
        <is>
          <t>PIX TRANSF LDX COM25/06</t>
        </is>
      </c>
    </row>
    <row r="1297">
      <c r="A1297" t="n">
        <v>1296</v>
      </c>
      <c r="B1297" t="inlineStr">
        <is>
          <t>25/06/2026</t>
        </is>
      </c>
      <c r="C1297" t="inlineStr">
        <is>
          <t>SISPAG CONCESSIONARIA</t>
        </is>
      </c>
      <c r="D1297" s="7" t="n">
        <v>-3569.75</v>
      </c>
      <c r="E1297" t="inlineStr">
        <is>
          <t>354</t>
        </is>
      </c>
      <c r="F1297" t="inlineStr">
        <is>
          <t>ENERGIA ELÉTRICA</t>
        </is>
      </c>
      <c r="G1297" s="2" t="inlineStr">
        <is>
          <t>354</t>
        </is>
      </c>
      <c r="H1297">
        <f>IFERROR(VLOOKUP(G1297&amp;"",PLANO!A:B,2,FALSE),"CONTA NAO EXISTE NO PLANO")</f>
        <v/>
      </c>
      <c r="I1297" t="inlineStr">
        <is>
          <t>354</t>
        </is>
      </c>
      <c r="J1297" t="inlineStr">
        <is>
          <t>SEM COSMOS</t>
        </is>
      </c>
      <c r="K1297" t="inlineStr"/>
      <c r="L1297" t="inlineStr"/>
      <c r="M1297" t="inlineStr">
        <is>
          <t>SISPAG CONCESSIONARIA</t>
        </is>
      </c>
    </row>
    <row r="1298">
      <c r="A1298" t="n">
        <v>1297</v>
      </c>
      <c r="B1298" t="inlineStr">
        <is>
          <t>25/06/2026</t>
        </is>
      </c>
      <c r="C1298" t="inlineStr">
        <is>
          <t>PGTO MÍN-ITAUCARD-1147</t>
        </is>
      </c>
      <c r="D1298" s="7" t="n">
        <v>-3556.72</v>
      </c>
      <c r="E1298" t="inlineStr">
        <is>
          <t>357</t>
        </is>
      </c>
      <c r="F1298" t="inlineStr">
        <is>
          <t>DESPESAS COM CARTÃO DE CREDITO</t>
        </is>
      </c>
      <c r="G1298" s="2" t="inlineStr">
        <is>
          <t>357</t>
        </is>
      </c>
      <c r="H1298">
        <f>IFERROR(VLOOKUP(G1298&amp;"",PLANO!A:B,2,FALSE),"CONTA NAO EXISTE NO PLANO")</f>
        <v/>
      </c>
      <c r="I1298" t="inlineStr">
        <is>
          <t>357</t>
        </is>
      </c>
      <c r="J1298" t="inlineStr">
        <is>
          <t>SEM COSMOS</t>
        </is>
      </c>
      <c r="K1298" t="inlineStr"/>
      <c r="L1298" t="inlineStr"/>
      <c r="M1298" t="inlineStr">
        <is>
          <t>PGTO MÍN-ITAUCARD-1147</t>
        </is>
      </c>
    </row>
    <row r="1299">
      <c r="A1299" t="n">
        <v>1298</v>
      </c>
      <c r="B1299" t="inlineStr">
        <is>
          <t>25/06/2026</t>
        </is>
      </c>
      <c r="C1299" t="inlineStr">
        <is>
          <t>PIX ENVIADO RODONAVES TR</t>
        </is>
      </c>
      <c r="D1299" s="7" t="n">
        <v>-213.87</v>
      </c>
      <c r="E1299" t="inlineStr">
        <is>
          <t>312</t>
        </is>
      </c>
      <c r="F1299" t="inlineStr">
        <is>
          <t>FRETES E CARRETOS</t>
        </is>
      </c>
      <c r="G1299" s="2" t="inlineStr">
        <is>
          <t>312</t>
        </is>
      </c>
      <c r="H1299">
        <f>IFERROR(VLOOKUP(G1299&amp;"",PLANO!A:B,2,FALSE),"CONTA NAO EXISTE NO PLANO")</f>
        <v/>
      </c>
      <c r="I1299" t="inlineStr">
        <is>
          <t>312</t>
        </is>
      </c>
      <c r="J1299" t="inlineStr">
        <is>
          <t>SEM COSMOS</t>
        </is>
      </c>
      <c r="K1299" t="inlineStr"/>
      <c r="L1299" t="inlineStr"/>
      <c r="M1299" t="inlineStr">
        <is>
          <t>PIX ENVIADO RODONAVES TR</t>
        </is>
      </c>
    </row>
    <row r="1300">
      <c r="A1300" t="n">
        <v>1299</v>
      </c>
      <c r="B1300" t="inlineStr">
        <is>
          <t>25/06/2026</t>
        </is>
      </c>
      <c r="C1300" t="inlineStr">
        <is>
          <t>JUROS 8613.52508-1</t>
        </is>
      </c>
      <c r="D1300" s="7" t="n">
        <v>-4086.5</v>
      </c>
      <c r="E1300" t="inlineStr">
        <is>
          <t>375</t>
        </is>
      </c>
      <c r="F1300" t="inlineStr">
        <is>
          <t>JUROS SOBRE EMPRÉSTIMOS E FINANCIAMENTOS</t>
        </is>
      </c>
      <c r="G1300" s="2" t="inlineStr">
        <is>
          <t>375</t>
        </is>
      </c>
      <c r="H1300">
        <f>IFERROR(VLOOKUP(G1300&amp;"",PLANO!A:B,2,FALSE),"CONTA NAO EXISTE NO PLANO")</f>
        <v/>
      </c>
      <c r="I1300" t="inlineStr">
        <is>
          <t>375</t>
        </is>
      </c>
      <c r="J1300" t="inlineStr">
        <is>
          <t>SEM COSMOS</t>
        </is>
      </c>
      <c r="K1300" t="inlineStr"/>
      <c r="L1300" t="inlineStr"/>
      <c r="M1300" t="inlineStr">
        <is>
          <t>JUROS 8613.52508-1</t>
        </is>
      </c>
    </row>
    <row r="1301">
      <c r="A1301" t="n">
        <v>1300</v>
      </c>
      <c r="B1301" t="inlineStr">
        <is>
          <t>26/06/2026</t>
        </is>
      </c>
      <c r="C1301" t="inlineStr">
        <is>
          <t>TED 448.0000FIDC OS RL</t>
        </is>
      </c>
      <c r="D1301" s="7" t="n">
        <v>12982.22</v>
      </c>
      <c r="E1301" t="inlineStr">
        <is>
          <t>504</t>
        </is>
      </c>
      <c r="F1301" t="inlineStr">
        <is>
          <t>CLIENTES DIVERSOS</t>
        </is>
      </c>
      <c r="G1301" s="2" t="inlineStr">
        <is>
          <t>504</t>
        </is>
      </c>
      <c r="H1301">
        <f>IFERROR(VLOOKUP(G1301&amp;"",PLANO!A:B,2,FALSE),"CONTA NAO EXISTE NO PLANO")</f>
        <v/>
      </c>
      <c r="I1301" t="inlineStr">
        <is>
          <t>504</t>
        </is>
      </c>
      <c r="J1301" t="inlineStr">
        <is>
          <t>SEM COSMOS</t>
        </is>
      </c>
      <c r="K1301" t="inlineStr"/>
      <c r="L1301" t="inlineStr"/>
      <c r="M1301" t="inlineStr">
        <is>
          <t>TED 448.0000FIDC OS RL</t>
        </is>
      </c>
    </row>
    <row r="1302">
      <c r="A1302" t="n">
        <v>1301</v>
      </c>
      <c r="B1302" t="inlineStr">
        <is>
          <t>26/06/2026</t>
        </is>
      </c>
      <c r="C1302" t="inlineStr">
        <is>
          <t>MOV TÍT COB DISP 26/06S</t>
        </is>
      </c>
      <c r="D1302" s="7" t="n">
        <v>3168.25</v>
      </c>
      <c r="E1302" t="inlineStr">
        <is>
          <t>504</t>
        </is>
      </c>
      <c r="F1302" t="inlineStr">
        <is>
          <t>CLIENTES DIVERSOS</t>
        </is>
      </c>
      <c r="G1302" s="2" t="inlineStr">
        <is>
          <t>504</t>
        </is>
      </c>
      <c r="H1302">
        <f>IFERROR(VLOOKUP(G1302&amp;"",PLANO!A:B,2,FALSE),"CONTA NAO EXISTE NO PLANO")</f>
        <v/>
      </c>
      <c r="I1302" t="inlineStr">
        <is>
          <t>504</t>
        </is>
      </c>
      <c r="J1302" t="inlineStr">
        <is>
          <t>SEM COSMOS</t>
        </is>
      </c>
      <c r="K1302" t="inlineStr"/>
      <c r="L1302" t="inlineStr"/>
      <c r="M1302" t="inlineStr">
        <is>
          <t>MOV TÍT COB DISP 26/06S</t>
        </is>
      </c>
    </row>
    <row r="1303">
      <c r="A1303" t="n">
        <v>1302</v>
      </c>
      <c r="B1303" t="inlineStr">
        <is>
          <t>26/06/2026</t>
        </is>
      </c>
      <c r="C1303" t="inlineStr">
        <is>
          <t>REDE ELO AT0081996543</t>
        </is>
      </c>
      <c r="D1303" s="7" t="n">
        <v>11402.26</v>
      </c>
      <c r="E1303" t="inlineStr">
        <is>
          <t>504</t>
        </is>
      </c>
      <c r="F1303" t="inlineStr">
        <is>
          <t>CLIENTES DIVERSOS</t>
        </is>
      </c>
      <c r="G1303" s="2" t="inlineStr">
        <is>
          <t>504</t>
        </is>
      </c>
      <c r="H1303">
        <f>IFERROR(VLOOKUP(G1303&amp;"",PLANO!A:B,2,FALSE),"CONTA NAO EXISTE NO PLANO")</f>
        <v/>
      </c>
      <c r="I1303" t="inlineStr">
        <is>
          <t>504</t>
        </is>
      </c>
      <c r="J1303" t="inlineStr">
        <is>
          <t>SEM COSMOS</t>
        </is>
      </c>
      <c r="K1303" t="inlineStr"/>
      <c r="L1303" t="inlineStr"/>
      <c r="M1303" t="inlineStr">
        <is>
          <t>REDE ELO AT0081996543</t>
        </is>
      </c>
    </row>
    <row r="1304">
      <c r="A1304" s="4" t="n">
        <v>1303</v>
      </c>
      <c r="B1304" s="4" t="inlineStr">
        <is>
          <t>26/06/2026</t>
        </is>
      </c>
      <c r="C1304" s="4" t="inlineStr">
        <is>
          <t>PIX ENVIADO GULA COSMETI</t>
        </is>
      </c>
      <c r="D1304" s="5" t="n">
        <v>-16000</v>
      </c>
      <c r="E1304" s="4" t="inlineStr">
        <is>
          <t>506</t>
        </is>
      </c>
      <c r="F1304" s="4" t="inlineStr">
        <is>
          <t>FORNECEDORES DIVERSOS</t>
        </is>
      </c>
      <c r="G1304" s="6" t="inlineStr">
        <is>
          <t>366</t>
        </is>
      </c>
      <c r="H1304" s="4">
        <f>IFERROR(VLOOKUP(G1304&amp;"",PLANO!A:B,2,FALSE),"CONTA NAO EXISTE NO PLANO")</f>
        <v/>
      </c>
      <c r="I1304" s="4" t="inlineStr">
        <is>
          <t>672</t>
        </is>
      </c>
      <c r="J1304" s="4" t="inlineStr">
        <is>
          <t>AJUSTADO</t>
        </is>
      </c>
      <c r="K1304" s="4" t="inlineStr">
        <is>
          <t>GULA/FIQUE BEM (mesmo CNPJ, empresa do grupo) - mutuo em EMPRESTIMOS A TERCEIROS (366); nao e fornecedor</t>
        </is>
      </c>
      <c r="L1304" s="4" t="inlineStr"/>
      <c r="M1304" s="4" t="inlineStr">
        <is>
          <t>PIX ENVIADO GULA COSMETI</t>
        </is>
      </c>
    </row>
    <row r="1305">
      <c r="A1305" t="n">
        <v>1304</v>
      </c>
      <c r="B1305" t="inlineStr">
        <is>
          <t>26/06/2026</t>
        </is>
      </c>
      <c r="C1305" t="inlineStr">
        <is>
          <t>BOLETO PAGO URBANO SA SO</t>
        </is>
      </c>
      <c r="D1305" s="7" t="n">
        <v>-1168</v>
      </c>
      <c r="E1305" t="inlineStr">
        <is>
          <t>350</t>
        </is>
      </c>
      <c r="F1305" t="inlineStr">
        <is>
          <t>TAXAS DIVERSAS</t>
        </is>
      </c>
      <c r="G1305" s="2" t="inlineStr">
        <is>
          <t>350</t>
        </is>
      </c>
      <c r="H1305">
        <f>IFERROR(VLOOKUP(G1305&amp;"",PLANO!A:B,2,FALSE),"CONTA NAO EXISTE NO PLANO")</f>
        <v/>
      </c>
      <c r="I1305" t="inlineStr">
        <is>
          <t>350</t>
        </is>
      </c>
      <c r="J1305" t="inlineStr">
        <is>
          <t>SEM COSMOS</t>
        </is>
      </c>
      <c r="K1305" t="inlineStr"/>
      <c r="L1305" t="inlineStr"/>
      <c r="M1305" t="inlineStr">
        <is>
          <t>BOLETO PAGO URBANO SA SO</t>
        </is>
      </c>
    </row>
    <row r="1306">
      <c r="A1306" t="n">
        <v>1305</v>
      </c>
      <c r="B1306" t="inlineStr">
        <is>
          <t>26/06/2026</t>
        </is>
      </c>
      <c r="C1306" t="inlineStr">
        <is>
          <t>BOLETO PAGO H S INKLASER</t>
        </is>
      </c>
      <c r="D1306" s="7" t="n">
        <v>-1074.5</v>
      </c>
      <c r="E1306" t="inlineStr">
        <is>
          <t>506</t>
        </is>
      </c>
      <c r="F1306" t="inlineStr">
        <is>
          <t>FORNECEDORES DIVERSOS</t>
        </is>
      </c>
      <c r="G1306" s="2" t="inlineStr">
        <is>
          <t>506</t>
        </is>
      </c>
      <c r="H1306">
        <f>IFERROR(VLOOKUP(G1306&amp;"",PLANO!A:B,2,FALSE),"CONTA NAO EXISTE NO PLANO")</f>
        <v/>
      </c>
      <c r="I1306" t="inlineStr">
        <is>
          <t>506</t>
        </is>
      </c>
      <c r="J1306" t="inlineStr">
        <is>
          <t>SEM COSMOS</t>
        </is>
      </c>
      <c r="K1306" t="inlineStr"/>
      <c r="L1306" t="inlineStr"/>
      <c r="M1306" t="inlineStr">
        <is>
          <t>BOLETO PAGO H S INKLASER</t>
        </is>
      </c>
    </row>
    <row r="1307">
      <c r="A1307" t="n">
        <v>1306</v>
      </c>
      <c r="B1307" t="inlineStr">
        <is>
          <t>29/06/2026</t>
        </is>
      </c>
      <c r="C1307" t="inlineStr">
        <is>
          <t>MOV TÍT COB DISP 28/06S</t>
        </is>
      </c>
      <c r="D1307" s="7" t="n">
        <v>425.47</v>
      </c>
      <c r="E1307" t="inlineStr">
        <is>
          <t>504</t>
        </is>
      </c>
      <c r="F1307" t="inlineStr">
        <is>
          <t>CLIENTES DIVERSOS</t>
        </is>
      </c>
      <c r="G1307" s="2" t="inlineStr">
        <is>
          <t>504</t>
        </is>
      </c>
      <c r="H1307">
        <f>IFERROR(VLOOKUP(G1307&amp;"",PLANO!A:B,2,FALSE),"CONTA NAO EXISTE NO PLANO")</f>
        <v/>
      </c>
      <c r="I1307" t="inlineStr">
        <is>
          <t>504</t>
        </is>
      </c>
      <c r="J1307" t="inlineStr">
        <is>
          <t>SEM COSMOS</t>
        </is>
      </c>
      <c r="K1307" t="inlineStr"/>
      <c r="L1307" t="inlineStr"/>
      <c r="M1307" t="inlineStr">
        <is>
          <t>MOV TÍT COB DISP 28/06S</t>
        </is>
      </c>
    </row>
    <row r="1308">
      <c r="A1308" t="n">
        <v>1307</v>
      </c>
      <c r="B1308" t="inlineStr">
        <is>
          <t>29/06/2026</t>
        </is>
      </c>
      <c r="C1308" t="inlineStr">
        <is>
          <t>MOV TÍT COB DISP 29/06S</t>
        </is>
      </c>
      <c r="D1308" s="7" t="n">
        <v>5019.12</v>
      </c>
      <c r="E1308" t="inlineStr">
        <is>
          <t>504</t>
        </is>
      </c>
      <c r="F1308" t="inlineStr">
        <is>
          <t>CLIENTES DIVERSOS</t>
        </is>
      </c>
      <c r="G1308" s="2" t="inlineStr">
        <is>
          <t>504</t>
        </is>
      </c>
      <c r="H1308">
        <f>IFERROR(VLOOKUP(G1308&amp;"",PLANO!A:B,2,FALSE),"CONTA NAO EXISTE NO PLANO")</f>
        <v/>
      </c>
      <c r="I1308" t="inlineStr">
        <is>
          <t>504</t>
        </is>
      </c>
      <c r="J1308" t="inlineStr">
        <is>
          <t>SEM COSMOS</t>
        </is>
      </c>
      <c r="K1308" t="inlineStr"/>
      <c r="L1308" t="inlineStr"/>
      <c r="M1308" t="inlineStr">
        <is>
          <t>MOV TÍT COB DISP 29/06S</t>
        </is>
      </c>
    </row>
    <row r="1309">
      <c r="A1309" s="8" t="n">
        <v>1308</v>
      </c>
      <c r="B1309" s="8" t="inlineStr">
        <is>
          <t>29/06/2026</t>
        </is>
      </c>
      <c r="C1309" s="8" t="inlineStr">
        <is>
          <t>UBER DO BRASIL TECNOLOGIA LTDA.</t>
        </is>
      </c>
      <c r="D1309" s="9" t="n">
        <v>-24.4</v>
      </c>
      <c r="E1309" s="8" t="inlineStr">
        <is>
          <t>555</t>
        </is>
      </c>
      <c r="F1309" s="8" t="inlineStr">
        <is>
          <t>INTERNET</t>
        </is>
      </c>
      <c r="G1309" s="10" t="inlineStr">
        <is>
          <t>312</t>
        </is>
      </c>
      <c r="H1309" s="8">
        <f>IFERROR(VLOOKUP(G1309&amp;"",PLANO!A:B,2,FALSE),"CONTA NAO EXISTE NO PLANO")</f>
        <v/>
      </c>
      <c r="I1309" s="8" t="inlineStr">
        <is>
          <t>312</t>
        </is>
      </c>
      <c r="J1309" s="8" t="inlineStr">
        <is>
          <t>CORRIGIR</t>
        </is>
      </c>
      <c r="K1309" s="8" t="inlineStr">
        <is>
          <t>categoria Cosmos 4</t>
        </is>
      </c>
      <c r="L1309" s="8" t="inlineStr">
        <is>
          <t>UBER DO BRASIL TECNOLOGIA LTDA. | 115/4 | PGTO REF.</t>
        </is>
      </c>
      <c r="M1309" s="8" t="inlineStr">
        <is>
          <t>UBER DO BRASIL TECNOLOGIA LTDA. - PGTO REF.</t>
        </is>
      </c>
    </row>
    <row r="1310">
      <c r="A1310" t="n">
        <v>1309</v>
      </c>
      <c r="B1310" t="inlineStr">
        <is>
          <t>29/06/2026</t>
        </is>
      </c>
      <c r="C1310" t="inlineStr">
        <is>
          <t>SARFAM INDUSTRIA COMERCIO E IMPORTACAO LTDA</t>
        </is>
      </c>
      <c r="D1310" s="7" t="n">
        <v>-1859.4</v>
      </c>
      <c r="E1310" t="inlineStr">
        <is>
          <t>506</t>
        </is>
      </c>
      <c r="F1310" t="inlineStr">
        <is>
          <t>FORNECEDORES DIVERSOS</t>
        </is>
      </c>
      <c r="G1310" s="2" t="inlineStr">
        <is>
          <t>506</t>
        </is>
      </c>
      <c r="H1310">
        <f>IFERROR(VLOOKUP(G1310&amp;"",PLANO!A:B,2,FALSE),"CONTA NAO EXISTE NO PLANO")</f>
        <v/>
      </c>
      <c r="I1310" t="inlineStr">
        <is>
          <t>506</t>
        </is>
      </c>
      <c r="J1310" t="inlineStr">
        <is>
          <t>OK</t>
        </is>
      </c>
      <c r="K1310" t="inlineStr">
        <is>
          <t>fornecedor com NF</t>
        </is>
      </c>
      <c r="L1310" t="inlineStr">
        <is>
          <t xml:space="preserve">SARFAM INDUSTRIA COMERCIO E IMPORTACAO LTDA | 115/6 | </t>
        </is>
      </c>
      <c r="M1310" t="inlineStr">
        <is>
          <t>SARFAM INDUSTRIA COMERCIO E IMPORTACAO LTDA</t>
        </is>
      </c>
    </row>
    <row r="1311">
      <c r="A1311" s="8" t="n">
        <v>1310</v>
      </c>
      <c r="B1311" s="8" t="inlineStr">
        <is>
          <t>29/06/2026</t>
        </is>
      </c>
      <c r="C1311" s="8" t="inlineStr">
        <is>
          <t>DISTRIBUIDORA INDUSTRIAL PARANAENSE LTDA</t>
        </is>
      </c>
      <c r="D1311" s="9" t="n">
        <v>-2000</v>
      </c>
      <c r="E1311" s="8" t="inlineStr">
        <is>
          <t>493</t>
        </is>
      </c>
      <c r="F1311" s="8" t="inlineStr">
        <is>
          <t>DESPESAS DIVERSAS</t>
        </is>
      </c>
      <c r="G1311" s="10" t="inlineStr">
        <is>
          <t>506</t>
        </is>
      </c>
      <c r="H1311" s="8">
        <f>IFERROR(VLOOKUP(G1311&amp;"",PLANO!A:B,2,FALSE),"CONTA NAO EXISTE NO PLANO")</f>
        <v/>
      </c>
      <c r="I1311" s="8" t="inlineStr">
        <is>
          <t>506</t>
        </is>
      </c>
      <c r="J1311" s="8" t="inlineStr">
        <is>
          <t>CORRIGIR</t>
        </is>
      </c>
      <c r="K1311" s="8" t="inlineStr">
        <is>
          <t>fornecedor com NF (Cosmos: compra MP/embalagem) - pagamento deve baixar fornecedores 506</t>
        </is>
      </c>
      <c r="L1311" s="8" t="inlineStr">
        <is>
          <t>DISTRIBUIDORA INDUSTRIAL PARANAENSE LTDA | 115/6 | PAGAMENTO REFERENTE A COMPRA DE MATERIA PRIMA, ALCOOL NEUTRO PARA PRODUTOS, 200KG</t>
        </is>
      </c>
      <c r="M1311" s="8" t="inlineStr">
        <is>
          <t>DISTRIBUIDORA INDUSTRIAL PARANAENSE LTDA - PAGAMENTO REFERENTE A COMPRA DE MATERIA PRIMA, ALCOOL NEUTRO PARA PRODUTOS, 200K</t>
        </is>
      </c>
    </row>
    <row r="1312">
      <c r="A1312" t="n">
        <v>1311</v>
      </c>
      <c r="B1312" t="inlineStr">
        <is>
          <t>29/06/2026</t>
        </is>
      </c>
      <c r="C1312" t="inlineStr">
        <is>
          <t>JOSE DOMINGOS LINARES</t>
        </is>
      </c>
      <c r="D1312" s="7" t="n">
        <v>-2633.32</v>
      </c>
      <c r="E1312" t="inlineStr">
        <is>
          <t>506</t>
        </is>
      </c>
      <c r="F1312" t="inlineStr">
        <is>
          <t>FORNECEDORES DIVERSOS</t>
        </is>
      </c>
      <c r="G1312" s="2" t="inlineStr">
        <is>
          <t>506</t>
        </is>
      </c>
      <c r="H1312">
        <f>IFERROR(VLOOKUP(G1312&amp;"",PLANO!A:B,2,FALSE),"CONTA NAO EXISTE NO PLANO")</f>
        <v/>
      </c>
      <c r="I1312" t="inlineStr">
        <is>
          <t>506</t>
        </is>
      </c>
      <c r="J1312" t="inlineStr">
        <is>
          <t>OK</t>
        </is>
      </c>
      <c r="K1312" t="inlineStr">
        <is>
          <t>fornecedor com NF</t>
        </is>
      </c>
      <c r="L1312" t="inlineStr">
        <is>
          <t>JOSE DOMINGOS LINARES | 115/9 | PAGAMENTO REFERENTE A COMPRA DE CARTUCHO TRIOX</t>
        </is>
      </c>
      <c r="M1312" t="inlineStr">
        <is>
          <t>JOSE DOMINGOS LINARES - PAGAMENTO REFERENTE A COMPRA DE CARTUCHO TRIOX</t>
        </is>
      </c>
    </row>
    <row r="1313">
      <c r="A1313" t="n">
        <v>1312</v>
      </c>
      <c r="B1313" t="inlineStr">
        <is>
          <t>29/06/2026</t>
        </is>
      </c>
      <c r="C1313" t="inlineStr">
        <is>
          <t>JAMEF TRANSPORTES LTDA</t>
        </is>
      </c>
      <c r="D1313" s="7" t="n">
        <v>-560.49</v>
      </c>
      <c r="E1313" t="inlineStr">
        <is>
          <t>312</t>
        </is>
      </c>
      <c r="F1313" t="inlineStr">
        <is>
          <t>FRETES E CARRETOS</t>
        </is>
      </c>
      <c r="G1313" s="2" t="inlineStr">
        <is>
          <t>312</t>
        </is>
      </c>
      <c r="H1313">
        <f>IFERROR(VLOOKUP(G1313&amp;"",PLANO!A:B,2,FALSE),"CONTA NAO EXISTE NO PLANO")</f>
        <v/>
      </c>
      <c r="I1313" t="inlineStr">
        <is>
          <t>312</t>
        </is>
      </c>
      <c r="J1313" t="inlineStr">
        <is>
          <t>OK</t>
        </is>
      </c>
      <c r="K1313" t="inlineStr">
        <is>
          <t>categoria Cosmos 97</t>
        </is>
      </c>
      <c r="L1313" t="inlineStr">
        <is>
          <t>JAMEF TRANSPORTES LTDA | 115/97 | PAG REF A FRETE SOBRE VENDAS</t>
        </is>
      </c>
      <c r="M1313" t="inlineStr">
        <is>
          <t>JAMEF TRANSPORTES LTDA - PAG REF A FRETE SOBRE VENDAS</t>
        </is>
      </c>
    </row>
    <row r="1314">
      <c r="A1314" t="n">
        <v>1313</v>
      </c>
      <c r="B1314" t="inlineStr">
        <is>
          <t>29/06/2026</t>
        </is>
      </c>
      <c r="C1314" t="inlineStr">
        <is>
          <t>INSTITUTO BRASILEIRO DO MEIO AMBIENTE E DOS RECURSOS NATURAIS RENOVAVEI</t>
        </is>
      </c>
      <c r="D1314" s="7" t="n">
        <v>-157.25</v>
      </c>
      <c r="E1314" t="inlineStr">
        <is>
          <t>350</t>
        </is>
      </c>
      <c r="F1314" t="inlineStr">
        <is>
          <t>TAXAS DIVERSAS</t>
        </is>
      </c>
      <c r="G1314" s="2" t="inlineStr">
        <is>
          <t>350</t>
        </is>
      </c>
      <c r="H1314">
        <f>IFERROR(VLOOKUP(G1314&amp;"",PLANO!A:B,2,FALSE),"CONTA NAO EXISTE NO PLANO")</f>
        <v/>
      </c>
      <c r="I1314" t="inlineStr">
        <is>
          <t>350</t>
        </is>
      </c>
      <c r="J1314" t="inlineStr">
        <is>
          <t>OK</t>
        </is>
      </c>
      <c r="K1314" t="inlineStr">
        <is>
          <t>categoria Cosmos 106</t>
        </is>
      </c>
      <c r="L1314" t="inlineStr">
        <is>
          <t>INSTITUTO BRASILEIRO DO MEIO AMBIENTE E DOS RECURSOS NATURAIS RENOVAVEI | 115/106 | PGTO REF.</t>
        </is>
      </c>
      <c r="M1314" t="inlineStr">
        <is>
          <t>INSTITUTO BRASILEIRO DO MEIO AMBIENTE E DOS RECURSOS NATURAIS RENOVAVEI - PGTO REF.</t>
        </is>
      </c>
    </row>
    <row r="1315">
      <c r="A1315" t="n">
        <v>1314</v>
      </c>
      <c r="B1315" t="inlineStr">
        <is>
          <t>29/06/2026</t>
        </is>
      </c>
      <c r="C1315" t="inlineStr">
        <is>
          <t>INSTITUTO BRASILEIRO DO MEIO AMBIENTE E DOS RECURSOS NATURAIS RENOVAVEI</t>
        </is>
      </c>
      <c r="D1315" s="7" t="n">
        <v>-128.82</v>
      </c>
      <c r="E1315" t="inlineStr">
        <is>
          <t>350</t>
        </is>
      </c>
      <c r="F1315" t="inlineStr">
        <is>
          <t>TAXAS DIVERSAS</t>
        </is>
      </c>
      <c r="G1315" s="2" t="inlineStr">
        <is>
          <t>350</t>
        </is>
      </c>
      <c r="H1315">
        <f>IFERROR(VLOOKUP(G1315&amp;"",PLANO!A:B,2,FALSE),"CONTA NAO EXISTE NO PLANO")</f>
        <v/>
      </c>
      <c r="I1315" t="inlineStr">
        <is>
          <t>350</t>
        </is>
      </c>
      <c r="J1315" t="inlineStr">
        <is>
          <t>OK</t>
        </is>
      </c>
      <c r="K1315" t="inlineStr">
        <is>
          <t>categoria Cosmos 106</t>
        </is>
      </c>
      <c r="L1315" t="inlineStr">
        <is>
          <t>INSTITUTO BRASILEIRO DO MEIO AMBIENTE E DOS RECURSOS NATURAIS RENOVAVEI | 115/106 | PGTO REF.</t>
        </is>
      </c>
      <c r="M1315" t="inlineStr">
        <is>
          <t>INSTITUTO BRASILEIRO DO MEIO AMBIENTE E DOS RECURSOS NATURAIS RENOVAVEI - PGTO REF.</t>
        </is>
      </c>
    </row>
    <row r="1316">
      <c r="A1316" t="n">
        <v>1315</v>
      </c>
      <c r="B1316" t="inlineStr">
        <is>
          <t>29/06/2026</t>
        </is>
      </c>
      <c r="C1316" t="inlineStr">
        <is>
          <t>INSTITUTO BRASILEIRO DO MEIO AMBIENTE E DOS RECURSOS NATURAIS RENOVAVEI</t>
        </is>
      </c>
      <c r="D1316" s="7" t="n">
        <v>-128.82</v>
      </c>
      <c r="E1316" t="inlineStr">
        <is>
          <t>350</t>
        </is>
      </c>
      <c r="F1316" t="inlineStr">
        <is>
          <t>TAXAS DIVERSAS</t>
        </is>
      </c>
      <c r="G1316" s="2" t="inlineStr">
        <is>
          <t>350</t>
        </is>
      </c>
      <c r="H1316">
        <f>IFERROR(VLOOKUP(G1316&amp;"",PLANO!A:B,2,FALSE),"CONTA NAO EXISTE NO PLANO")</f>
        <v/>
      </c>
      <c r="I1316" t="inlineStr">
        <is>
          <t>350</t>
        </is>
      </c>
      <c r="J1316" t="inlineStr">
        <is>
          <t>OK</t>
        </is>
      </c>
      <c r="K1316" t="inlineStr">
        <is>
          <t>categoria Cosmos 106</t>
        </is>
      </c>
      <c r="L1316" t="inlineStr">
        <is>
          <t>INSTITUTO BRASILEIRO DO MEIO AMBIENTE E DOS RECURSOS NATURAIS RENOVAVEI | 115/106 | PGTO REF.</t>
        </is>
      </c>
      <c r="M1316" t="inlineStr">
        <is>
          <t>INSTITUTO BRASILEIRO DO MEIO AMBIENTE E DOS RECURSOS NATURAIS RENOVAVEI - PGTO REF.</t>
        </is>
      </c>
    </row>
    <row r="1317">
      <c r="A1317" t="n">
        <v>1316</v>
      </c>
      <c r="B1317" t="inlineStr">
        <is>
          <t>29/06/2026</t>
        </is>
      </c>
      <c r="C1317" t="inlineStr">
        <is>
          <t>INSTITUTO BRASILEIRO DO MEIO AMBIENTE E DOS RECURSOS NATURAIS RENOVAVEI</t>
        </is>
      </c>
      <c r="D1317" s="7" t="n">
        <v>-182.56</v>
      </c>
      <c r="E1317" t="inlineStr">
        <is>
          <t>350</t>
        </is>
      </c>
      <c r="F1317" t="inlineStr">
        <is>
          <t>TAXAS DIVERSAS</t>
        </is>
      </c>
      <c r="G1317" s="2" t="inlineStr">
        <is>
          <t>350</t>
        </is>
      </c>
      <c r="H1317">
        <f>IFERROR(VLOOKUP(G1317&amp;"",PLANO!A:B,2,FALSE),"CONTA NAO EXISTE NO PLANO")</f>
        <v/>
      </c>
      <c r="I1317" t="inlineStr">
        <is>
          <t>350</t>
        </is>
      </c>
      <c r="J1317" t="inlineStr">
        <is>
          <t>OK</t>
        </is>
      </c>
      <c r="K1317" t="inlineStr">
        <is>
          <t>categoria Cosmos 106</t>
        </is>
      </c>
      <c r="L1317" t="inlineStr">
        <is>
          <t>INSTITUTO BRASILEIRO DO MEIO AMBIENTE E DOS RECURSOS NATURAIS RENOVAVEI | 115/106 | PGTO REF.</t>
        </is>
      </c>
      <c r="M1317" t="inlineStr">
        <is>
          <t>INSTITUTO BRASILEIRO DO MEIO AMBIENTE E DOS RECURSOS NATURAIS RENOVAVEI - PGTO REF.</t>
        </is>
      </c>
    </row>
    <row r="1318">
      <c r="A1318" t="n">
        <v>1317</v>
      </c>
      <c r="B1318" t="inlineStr">
        <is>
          <t>29/06/2026</t>
        </is>
      </c>
      <c r="C1318" t="inlineStr">
        <is>
          <t>INSTITUTO BRASILEIRO DO MEIO AMBIENTE E DOS RECURSOS NATURAIS RENOVAVEI</t>
        </is>
      </c>
      <c r="D1318" s="7" t="n">
        <v>-128.82</v>
      </c>
      <c r="E1318" t="inlineStr">
        <is>
          <t>350</t>
        </is>
      </c>
      <c r="F1318" t="inlineStr">
        <is>
          <t>TAXAS DIVERSAS</t>
        </is>
      </c>
      <c r="G1318" s="2" t="inlineStr">
        <is>
          <t>350</t>
        </is>
      </c>
      <c r="H1318">
        <f>IFERROR(VLOOKUP(G1318&amp;"",PLANO!A:B,2,FALSE),"CONTA NAO EXISTE NO PLANO")</f>
        <v/>
      </c>
      <c r="I1318" t="inlineStr">
        <is>
          <t>350</t>
        </is>
      </c>
      <c r="J1318" t="inlineStr">
        <is>
          <t>OK</t>
        </is>
      </c>
      <c r="K1318" t="inlineStr">
        <is>
          <t>categoria Cosmos 106</t>
        </is>
      </c>
      <c r="L1318" t="inlineStr">
        <is>
          <t>INSTITUTO BRASILEIRO DO MEIO AMBIENTE E DOS RECURSOS NATURAIS RENOVAVEI | 115/106 | PGTO REF.</t>
        </is>
      </c>
      <c r="M1318" t="inlineStr">
        <is>
          <t>INSTITUTO BRASILEIRO DO MEIO AMBIENTE E DOS RECURSOS NATURAIS RENOVAVEI - PGTO REF.</t>
        </is>
      </c>
    </row>
    <row r="1319">
      <c r="A1319" t="n">
        <v>1318</v>
      </c>
      <c r="B1319" t="inlineStr">
        <is>
          <t>29/06/2026</t>
        </is>
      </c>
      <c r="C1319" t="inlineStr">
        <is>
          <t>INSTITUTO BRASILEIRO DO MEIO AMBIENTE E DOS RECURSOS NATURAIS RENOVAVEI</t>
        </is>
      </c>
      <c r="D1319" s="7" t="n">
        <v>-161.5</v>
      </c>
      <c r="E1319" t="inlineStr">
        <is>
          <t>350</t>
        </is>
      </c>
      <c r="F1319" t="inlineStr">
        <is>
          <t>TAXAS DIVERSAS</t>
        </is>
      </c>
      <c r="G1319" s="2" t="inlineStr">
        <is>
          <t>350</t>
        </is>
      </c>
      <c r="H1319">
        <f>IFERROR(VLOOKUP(G1319&amp;"",PLANO!A:B,2,FALSE),"CONTA NAO EXISTE NO PLANO")</f>
        <v/>
      </c>
      <c r="I1319" t="inlineStr">
        <is>
          <t>350</t>
        </is>
      </c>
      <c r="J1319" t="inlineStr">
        <is>
          <t>OK</t>
        </is>
      </c>
      <c r="K1319" t="inlineStr">
        <is>
          <t>categoria Cosmos 106</t>
        </is>
      </c>
      <c r="L1319" t="inlineStr">
        <is>
          <t>INSTITUTO BRASILEIRO DO MEIO AMBIENTE E DOS RECURSOS NATURAIS RENOVAVEI | 115/106 | PGTO REF.</t>
        </is>
      </c>
      <c r="M1319" t="inlineStr">
        <is>
          <t>INSTITUTO BRASILEIRO DO MEIO AMBIENTE E DOS RECURSOS NATURAIS RENOVAVEI - PGTO REF.</t>
        </is>
      </c>
    </row>
    <row r="1320">
      <c r="A1320" s="8" t="n">
        <v>1319</v>
      </c>
      <c r="B1320" s="8" t="inlineStr">
        <is>
          <t>29/06/2026</t>
        </is>
      </c>
      <c r="C1320" s="8" t="inlineStr">
        <is>
          <t>BANCO ITAU UNIBANCO</t>
        </is>
      </c>
      <c r="D1320" s="9" t="n">
        <v>-295.51</v>
      </c>
      <c r="E1320" s="8" t="inlineStr">
        <is>
          <t>506</t>
        </is>
      </c>
      <c r="F1320" s="8" t="inlineStr">
        <is>
          <t>FORNECEDORES DIVERSOS</t>
        </is>
      </c>
      <c r="G1320" s="10" t="inlineStr">
        <is>
          <t>642</t>
        </is>
      </c>
      <c r="H1320" s="8">
        <f>IFERROR(VLOOKUP(G1320&amp;"",PLANO!A:B,2,FALSE),"CONTA NAO EXISTE NO PLANO")</f>
        <v/>
      </c>
      <c r="I1320" s="8" t="inlineStr">
        <is>
          <t>642</t>
        </is>
      </c>
      <c r="J1320" s="8" t="inlineStr">
        <is>
          <t>CORRIGIR</t>
        </is>
      </c>
      <c r="K1320" s="8" t="inlineStr">
        <is>
          <t>categoria Cosmos 86</t>
        </is>
      </c>
      <c r="L1320" s="8" t="inlineStr">
        <is>
          <t>BANCO ITAU UNIBANCO | 115/86 | PGTO REF.GLOBAL</t>
        </is>
      </c>
      <c r="M1320" s="8" t="inlineStr">
        <is>
          <t>BANCO ITAU UNIBANCO - PGTO REF.GLOBAL</t>
        </is>
      </c>
    </row>
    <row r="1321">
      <c r="A1321" s="8" t="n">
        <v>1320</v>
      </c>
      <c r="B1321" s="8" t="inlineStr">
        <is>
          <t>29/06/2026</t>
        </is>
      </c>
      <c r="C1321" s="8" t="inlineStr">
        <is>
          <t>Rend Pago Aplic Aut Mais</t>
        </is>
      </c>
      <c r="D1321" s="9" t="n">
        <v>0.01</v>
      </c>
      <c r="E1321" s="8" t="inlineStr">
        <is>
          <t>(faltava)</t>
        </is>
      </c>
      <c r="F1321" s="8" t="inlineStr"/>
      <c r="G1321" s="10" t="inlineStr">
        <is>
          <t>432</t>
        </is>
      </c>
      <c r="H1321" s="8">
        <f>IFERROR(VLOOKUP(G1321&amp;"",PLANO!A:B,2,FALSE),"CONTA NAO EXISTE NO PLANO")</f>
        <v/>
      </c>
      <c r="I1321" s="8" t="inlineStr">
        <is>
          <t>432</t>
        </is>
      </c>
      <c r="J1321" s="8" t="inlineStr">
        <is>
          <t>CORRIGIR</t>
        </is>
      </c>
      <c r="K1321" s="8" t="inlineStr">
        <is>
          <t>rendimento de jun/26 nao lancado no TXT de junho</t>
        </is>
      </c>
      <c r="L1321" s="8" t="inlineStr"/>
      <c r="M1321" s="8" t="inlineStr">
        <is>
          <t>RENDIMENTO APLICACAO AUTOMATICA ITAU</t>
        </is>
      </c>
    </row>
    <row r="1322">
      <c r="A1322" t="n">
        <v>1321</v>
      </c>
      <c r="B1322" t="inlineStr">
        <is>
          <t>30/06/2026</t>
        </is>
      </c>
      <c r="C1322" t="inlineStr">
        <is>
          <t>MOV TÍT COB DISP 30/06S</t>
        </is>
      </c>
      <c r="D1322" s="7" t="n">
        <v>1706.35</v>
      </c>
      <c r="E1322" t="inlineStr">
        <is>
          <t>504</t>
        </is>
      </c>
      <c r="F1322" t="inlineStr">
        <is>
          <t>CLIENTES DIVERSOS</t>
        </is>
      </c>
      <c r="G1322" s="2" t="inlineStr">
        <is>
          <t>504</t>
        </is>
      </c>
      <c r="H1322">
        <f>IFERROR(VLOOKUP(G1322&amp;"",PLANO!A:B,2,FALSE),"CONTA NAO EXISTE NO PLANO")</f>
        <v/>
      </c>
      <c r="I1322" t="inlineStr">
        <is>
          <t>504</t>
        </is>
      </c>
      <c r="J1322" t="inlineStr">
        <is>
          <t>SEM COSMOS</t>
        </is>
      </c>
      <c r="K1322" t="inlineStr"/>
      <c r="L1322" t="inlineStr"/>
      <c r="M1322" t="inlineStr">
        <is>
          <t>MOV TÍT COB DISP 30/06S</t>
        </is>
      </c>
    </row>
    <row r="1323">
      <c r="A1323" t="n">
        <v>1322</v>
      </c>
      <c r="B1323" t="inlineStr">
        <is>
          <t>30/06/2026</t>
        </is>
      </c>
      <c r="C1323" t="inlineStr">
        <is>
          <t>REDE VISA AT0081996543</t>
        </is>
      </c>
      <c r="D1323" s="7" t="n">
        <v>13020.56</v>
      </c>
      <c r="E1323" t="inlineStr">
        <is>
          <t>504</t>
        </is>
      </c>
      <c r="F1323" t="inlineStr">
        <is>
          <t>CLIENTES DIVERSOS</t>
        </is>
      </c>
      <c r="G1323" s="2" t="inlineStr">
        <is>
          <t>504</t>
        </is>
      </c>
      <c r="H1323">
        <f>IFERROR(VLOOKUP(G1323&amp;"",PLANO!A:B,2,FALSE),"CONTA NAO EXISTE NO PLANO")</f>
        <v/>
      </c>
      <c r="I1323" t="inlineStr">
        <is>
          <t>504</t>
        </is>
      </c>
      <c r="J1323" t="inlineStr">
        <is>
          <t>SEM COSMOS</t>
        </is>
      </c>
      <c r="K1323" t="inlineStr"/>
      <c r="L1323" t="inlineStr"/>
      <c r="M1323" t="inlineStr">
        <is>
          <t>REDE VISA AT0081996543</t>
        </is>
      </c>
    </row>
    <row r="1324">
      <c r="A1324" t="n">
        <v>1323</v>
      </c>
      <c r="B1324" t="inlineStr">
        <is>
          <t>30/06/2026</t>
        </is>
      </c>
      <c r="C1324" t="inlineStr">
        <is>
          <t>PIX TRANSF INST TE30/06</t>
        </is>
      </c>
      <c r="D1324" s="7" t="n">
        <v>2060.42</v>
      </c>
      <c r="E1324" t="inlineStr">
        <is>
          <t>504</t>
        </is>
      </c>
      <c r="F1324" t="inlineStr">
        <is>
          <t>CLIENTES DIVERSOS</t>
        </is>
      </c>
      <c r="G1324" s="2" t="inlineStr">
        <is>
          <t>504</t>
        </is>
      </c>
      <c r="H1324">
        <f>IFERROR(VLOOKUP(G1324&amp;"",PLANO!A:B,2,FALSE),"CONTA NAO EXISTE NO PLANO")</f>
        <v/>
      </c>
      <c r="I1324" t="inlineStr">
        <is>
          <t>504</t>
        </is>
      </c>
      <c r="J1324" t="inlineStr">
        <is>
          <t>SEM COSMOS</t>
        </is>
      </c>
      <c r="K1324" t="inlineStr"/>
      <c r="L1324" t="inlineStr"/>
      <c r="M1324" t="inlineStr">
        <is>
          <t>PIX TRANSF INST TE30/06</t>
        </is>
      </c>
    </row>
    <row r="1325">
      <c r="A1325" s="4" t="n">
        <v>1324</v>
      </c>
      <c r="B1325" s="4" t="inlineStr">
        <is>
          <t>30/06/2026</t>
        </is>
      </c>
      <c r="C1325" s="4" t="inlineStr">
        <is>
          <t>PIX ENVIADO GULA COSMETI</t>
        </is>
      </c>
      <c r="D1325" s="5" t="n">
        <v>-5000</v>
      </c>
      <c r="E1325" s="4" t="inlineStr">
        <is>
          <t>506</t>
        </is>
      </c>
      <c r="F1325" s="4" t="inlineStr">
        <is>
          <t>FORNECEDORES DIVERSOS</t>
        </is>
      </c>
      <c r="G1325" s="6" t="inlineStr">
        <is>
          <t>366</t>
        </is>
      </c>
      <c r="H1325" s="4">
        <f>IFERROR(VLOOKUP(G1325&amp;"",PLANO!A:B,2,FALSE),"CONTA NAO EXISTE NO PLANO")</f>
        <v/>
      </c>
      <c r="I1325" s="4" t="inlineStr">
        <is>
          <t>672</t>
        </is>
      </c>
      <c r="J1325" s="4" t="inlineStr">
        <is>
          <t>AJUSTADO</t>
        </is>
      </c>
      <c r="K1325" s="4" t="inlineStr">
        <is>
          <t>GULA/FIQUE BEM (mesmo CNPJ, empresa do grupo) - mutuo em EMPRESTIMOS A TERCEIROS (366); nao e fornecedor</t>
        </is>
      </c>
      <c r="L1325" s="4" t="inlineStr">
        <is>
          <t xml:space="preserve">OUTRAS SAIDAS | 123/71 | </t>
        </is>
      </c>
      <c r="M1325" s="4" t="inlineStr">
        <is>
          <t>PIX ENVIADO GULA COSMETI</t>
        </is>
      </c>
    </row>
    <row r="1326">
      <c r="A1326" s="4" t="n">
        <v>1325</v>
      </c>
      <c r="B1326" s="4" t="inlineStr">
        <is>
          <t>30/06/2026</t>
        </is>
      </c>
      <c r="C1326" s="4" t="inlineStr">
        <is>
          <t>BEAUTY FAIR EVENTOS E PROMOCOES LTDA</t>
        </is>
      </c>
      <c r="D1326" s="5" t="n">
        <v>-12755.43</v>
      </c>
      <c r="E1326" s="4" t="inlineStr">
        <is>
          <t>506</t>
        </is>
      </c>
      <c r="F1326" s="4" t="inlineStr">
        <is>
          <t>FORNECEDORES DIVERSOS</t>
        </is>
      </c>
      <c r="G1326" s="6" t="inlineStr">
        <is>
          <t>688</t>
        </is>
      </c>
      <c r="H1326" s="4">
        <f>IFERROR(VLOOKUP(G1326&amp;"",PLANO!A:B,2,FALSE),"CONTA NAO EXISTE NO PLANO")</f>
        <v/>
      </c>
      <c r="I1326" s="4" t="inlineStr">
        <is>
          <t>506</t>
        </is>
      </c>
      <c r="J1326" s="4" t="inlineStr">
        <is>
          <t>AJUSTADO</t>
        </is>
      </c>
      <c r="K1326" s="4" t="inlineStr">
        <is>
          <t>Beauty Fair -&gt; 688 FEIRAS E EVENTOS</t>
        </is>
      </c>
      <c r="L1326" s="4" t="inlineStr">
        <is>
          <t>BEAUTY FAIR EVENTOS E PROMOCOES LTDA | 115/184 | PGTO REF.ACORDO EM 30/04/2026 DE PAGAMENTO DO CTR 000011343 - FIRMADO EM 15-09-2025, FOI EFETUADO PAGAMENTOS DAS PARCELA</t>
        </is>
      </c>
      <c r="M1326" s="4" t="inlineStr">
        <is>
          <t>BEAUTY FAIR EVENTOS E PROMOCOES LTDA - PGTO REF.ACORDO EM 30/04/2026 DE PAGAMENTO DO CTR 000011343 - FIRMADO EM 15-09-2</t>
        </is>
      </c>
    </row>
    <row r="1327">
      <c r="A1327" t="n">
        <v>1326</v>
      </c>
      <c r="B1327" t="inlineStr">
        <is>
          <t>30/06/2026</t>
        </is>
      </c>
      <c r="C1327" t="inlineStr">
        <is>
          <t>TEX COURIER S.A</t>
        </is>
      </c>
      <c r="D1327" s="7" t="n">
        <v>-715.8099999999999</v>
      </c>
      <c r="E1327" t="inlineStr">
        <is>
          <t>312</t>
        </is>
      </c>
      <c r="F1327" t="inlineStr">
        <is>
          <t>FRETES E CARRETOS</t>
        </is>
      </c>
      <c r="G1327" s="2" t="inlineStr">
        <is>
          <t>312</t>
        </is>
      </c>
      <c r="H1327">
        <f>IFERROR(VLOOKUP(G1327&amp;"",PLANO!A:B,2,FALSE),"CONTA NAO EXISTE NO PLANO")</f>
        <v/>
      </c>
      <c r="I1327" t="inlineStr">
        <is>
          <t>312</t>
        </is>
      </c>
      <c r="J1327" t="inlineStr">
        <is>
          <t>OK</t>
        </is>
      </c>
      <c r="K1327" t="inlineStr">
        <is>
          <t>categoria Cosmos 97</t>
        </is>
      </c>
      <c r="L1327" t="inlineStr">
        <is>
          <t>TEX COURIER S.A | 115/97 | PAG REF A FRETE SOBRE VENDAS</t>
        </is>
      </c>
      <c r="M1327" t="inlineStr">
        <is>
          <t>TEX COURIER S.A - PAG REF A FRETE SOBRE VENDAS</t>
        </is>
      </c>
    </row>
    <row r="1328">
      <c r="A1328" t="n">
        <v>1327</v>
      </c>
      <c r="B1328" t="inlineStr">
        <is>
          <t>30/06/2026</t>
        </is>
      </c>
      <c r="C1328" t="inlineStr">
        <is>
          <t>AZUL LINHAS AEREAS BRASILEIRAS S.A.</t>
        </is>
      </c>
      <c r="D1328" s="7" t="n">
        <v>-411.4</v>
      </c>
      <c r="E1328" t="inlineStr">
        <is>
          <t>312</t>
        </is>
      </c>
      <c r="F1328" t="inlineStr">
        <is>
          <t>FRETES E CARRETOS</t>
        </is>
      </c>
      <c r="G1328" s="2" t="inlineStr">
        <is>
          <t>312</t>
        </is>
      </c>
      <c r="H1328">
        <f>IFERROR(VLOOKUP(G1328&amp;"",PLANO!A:B,2,FALSE),"CONTA NAO EXISTE NO PLANO")</f>
        <v/>
      </c>
      <c r="I1328" t="inlineStr">
        <is>
          <t>312</t>
        </is>
      </c>
      <c r="J1328" t="inlineStr">
        <is>
          <t>OK</t>
        </is>
      </c>
      <c r="K1328" t="inlineStr">
        <is>
          <t>categoria Cosmos 97</t>
        </is>
      </c>
      <c r="L1328" t="inlineStr">
        <is>
          <t>AZUL LINHAS AEREAS BRASILEIRAS S.A. | 115/97 | PAG REF A FRETE SOBRE VENDAS NF</t>
        </is>
      </c>
      <c r="M1328" t="inlineStr">
        <is>
          <t>AZUL LINHAS AEREAS BRASILEIRAS S.A. - PAG REF A FRETE SOBRE VENDAS NF</t>
        </is>
      </c>
    </row>
    <row r="1329">
      <c r="A1329" s="4" t="n">
        <v>1328</v>
      </c>
      <c r="B1329" s="4" t="inlineStr">
        <is>
          <t>30/06/2026</t>
        </is>
      </c>
      <c r="C1329" s="4" t="inlineStr">
        <is>
          <t>TECNOPONTO TEC AVAN CONT DE PONTO ACESSO LTDA</t>
        </is>
      </c>
      <c r="D1329" s="5" t="n">
        <v>-74.90000000000001</v>
      </c>
      <c r="E1329" s="4" t="inlineStr">
        <is>
          <t>506</t>
        </is>
      </c>
      <c r="F1329" s="4" t="inlineStr">
        <is>
          <t>FORNECEDORES DIVERSOS</t>
        </is>
      </c>
      <c r="G1329" s="6" t="inlineStr">
        <is>
          <t>640</t>
        </is>
      </c>
      <c r="H1329" s="4">
        <f>IFERROR(VLOOKUP(G1329&amp;"",PLANO!A:B,2,FALSE),"CONTA NAO EXISTE NO PLANO")</f>
        <v/>
      </c>
      <c r="I1329" s="4" t="inlineStr">
        <is>
          <t>506</t>
        </is>
      </c>
      <c r="J1329" s="4" t="inlineStr">
        <is>
          <t>AJUSTADO</t>
        </is>
      </c>
      <c r="K1329" s="4" t="inlineStr">
        <is>
          <t>software/sistema (Cosmos cat. 47)</t>
        </is>
      </c>
      <c r="L1329" s="4" t="inlineStr">
        <is>
          <t>TECNOPONTO TEC AVAN CONT DE PONTO ACESSO LTDA | 115/47 | PGTO REF.SISTEMA DE REGISTRO DE PONTO</t>
        </is>
      </c>
      <c r="M1329" s="4" t="inlineStr">
        <is>
          <t>TECNOPONTO TEC AVAN CONT DE PONTO ACESSO LTDA - PGTO REF.SISTEMA DE REGISTRO DE PONTO</t>
        </is>
      </c>
    </row>
    <row r="1330">
      <c r="A1330" s="8" t="n">
        <v>1329</v>
      </c>
      <c r="B1330" s="8" t="inlineStr">
        <is>
          <t>30/06/2026</t>
        </is>
      </c>
      <c r="C1330" s="8" t="inlineStr">
        <is>
          <t>Rend Pago Aplic Aut Mais</t>
        </is>
      </c>
      <c r="D1330" s="9" t="n">
        <v>0.01</v>
      </c>
      <c r="E1330" s="8" t="inlineStr">
        <is>
          <t>(faltava)</t>
        </is>
      </c>
      <c r="F1330" s="8" t="inlineStr"/>
      <c r="G1330" s="10" t="inlineStr">
        <is>
          <t>432</t>
        </is>
      </c>
      <c r="H1330" s="8">
        <f>IFERROR(VLOOKUP(G1330&amp;"",PLANO!A:B,2,FALSE),"CONTA NAO EXISTE NO PLANO")</f>
        <v/>
      </c>
      <c r="I1330" s="8" t="inlineStr">
        <is>
          <t>432</t>
        </is>
      </c>
      <c r="J1330" s="8" t="inlineStr">
        <is>
          <t>CORRIGIR</t>
        </is>
      </c>
      <c r="K1330" s="8" t="inlineStr">
        <is>
          <t>rendimento de jun/26 nao lancado no TXT de junho</t>
        </is>
      </c>
      <c r="L1330" s="8" t="inlineStr"/>
      <c r="M1330" s="8" t="inlineStr">
        <is>
          <t>RENDIMENTO APLICACAO AUTOMATICA ITAU</t>
        </is>
      </c>
    </row>
    <row r="1331">
      <c r="A1331" t="n">
        <v>1330</v>
      </c>
      <c r="B1331" t="inlineStr">
        <is>
          <t>01/07/2026</t>
        </is>
      </c>
      <c r="C1331" t="inlineStr">
        <is>
          <t>PIX ENVIADO CARLOS ALEXA</t>
        </is>
      </c>
      <c r="D1331" s="7" t="n">
        <v>-1000</v>
      </c>
      <c r="E1331" t="inlineStr">
        <is>
          <t>(novo)</t>
        </is>
      </c>
      <c r="F1331" t="inlineStr"/>
      <c r="G1331" s="2" t="inlineStr">
        <is>
          <t>362</t>
        </is>
      </c>
      <c r="H1331">
        <f>IFERROR(VLOOKUP(G1331&amp;"",PLANO!A:B,2,FALSE),"CONTA NAO EXISTE NO PLANO")</f>
        <v/>
      </c>
      <c r="I1331" t="inlineStr">
        <is>
          <t>362</t>
        </is>
      </c>
      <c r="J1331" t="inlineStr">
        <is>
          <t>OK</t>
        </is>
      </c>
      <c r="K1331" t="inlineStr"/>
      <c r="L1331" t="inlineStr">
        <is>
          <t>CARLOS ALEXANDRE MAZZONI / PGTO REF.PRO-LABORE</t>
        </is>
      </c>
      <c r="M1331" t="inlineStr">
        <is>
          <t>CARLOS ALEXANDRE MAZZONI</t>
        </is>
      </c>
    </row>
    <row r="1332">
      <c r="A1332" s="11" t="n">
        <v>1331</v>
      </c>
      <c r="B1332" s="11" t="inlineStr">
        <is>
          <t>01/07/2026</t>
        </is>
      </c>
      <c r="C1332" s="11" t="inlineStr">
        <is>
          <t>PIX ENVIADO MARCELO HENR</t>
        </is>
      </c>
      <c r="D1332" s="12" t="n">
        <v>-3105</v>
      </c>
      <c r="E1332" s="11" t="inlineStr">
        <is>
          <t>(novo)</t>
        </is>
      </c>
      <c r="F1332" s="11" t="inlineStr"/>
      <c r="G1332" s="13" t="inlineStr">
        <is>
          <t>362</t>
        </is>
      </c>
      <c r="H1332" s="11">
        <f>IFERROR(VLOOKUP(G1332&amp;"",PLANO!A:B,2,FALSE),"CONTA NAO EXISTE NO PLANO")</f>
        <v/>
      </c>
      <c r="I1332" s="11" t="inlineStr">
        <is>
          <t>362</t>
        </is>
      </c>
      <c r="J1332" s="11" t="inlineStr">
        <is>
          <t>MANTIDO</t>
        </is>
      </c>
      <c r="K1332" s="11" t="inlineStr">
        <is>
          <t>MARCELO HENRIQUE MAZZONI - TXT jun/26 usou 362</t>
        </is>
      </c>
      <c r="L1332" s="11" t="inlineStr">
        <is>
          <t>MARCELO HENRIQUE MAZZONI / PGTO REF.PARCELA</t>
        </is>
      </c>
      <c r="M1332" s="11" t="inlineStr">
        <is>
          <t>MARCELO HENRIQUE MAZZONI</t>
        </is>
      </c>
    </row>
    <row r="1333">
      <c r="A1333" s="14" t="n">
        <v>1332</v>
      </c>
      <c r="B1333" s="14" t="inlineStr">
        <is>
          <t>01/07/2026</t>
        </is>
      </c>
      <c r="C1333" s="14" t="inlineStr">
        <is>
          <t>PIX ENVIADO MARCOS HENRI</t>
        </is>
      </c>
      <c r="D1333" s="15" t="n">
        <v>-1600</v>
      </c>
      <c r="E1333" s="14" t="inlineStr">
        <is>
          <t>(novo)</t>
        </is>
      </c>
      <c r="F1333" s="14" t="inlineStr"/>
      <c r="G1333" s="16" t="inlineStr">
        <is>
          <t>375</t>
        </is>
      </c>
      <c r="H1333" s="14">
        <f>IFERROR(VLOOKUP(G1333&amp;"",PLANO!A:B,2,FALSE),"CONTA NAO EXISTE NO PLANO")</f>
        <v/>
      </c>
      <c r="I1333" s="14" t="inlineStr">
        <is>
          <t>375</t>
        </is>
      </c>
      <c r="J1333" s="14" t="inlineStr">
        <is>
          <t>CORRIGIDO</t>
        </is>
      </c>
      <c r="K1333" s="14" t="inlineStr">
        <is>
          <t>retificado 362-&gt;375: juros s/ emprestimo (Cosmos cat. 84)</t>
        </is>
      </c>
      <c r="L1333" s="14" t="inlineStr">
        <is>
          <t>MARCOS HENRIQUE SOTHER / PGTO REF.JUROS S/EMPRESTIMOS A LONGO PRAZO</t>
        </is>
      </c>
      <c r="M1333" s="14" t="inlineStr">
        <is>
          <t>MARCOS HENRIQUE SOTHER</t>
        </is>
      </c>
    </row>
    <row r="1334">
      <c r="A1334" t="n">
        <v>1333</v>
      </c>
      <c r="B1334" t="inlineStr">
        <is>
          <t>01/07/2026</t>
        </is>
      </c>
      <c r="C1334" t="inlineStr">
        <is>
          <t>BOLETO PAGO SINDICATO DO</t>
        </is>
      </c>
      <c r="D1334" s="7" t="n">
        <v>-247</v>
      </c>
      <c r="E1334" t="inlineStr">
        <is>
          <t>(novo)</t>
        </is>
      </c>
      <c r="F1334" t="inlineStr"/>
      <c r="G1334" s="2" t="inlineStr">
        <is>
          <t>350</t>
        </is>
      </c>
      <c r="H1334">
        <f>IFERROR(VLOOKUP(G1334&amp;"",PLANO!A:B,2,FALSE),"CONTA NAO EXISTE NO PLANO")</f>
        <v/>
      </c>
      <c r="I1334" t="inlineStr">
        <is>
          <t>350</t>
        </is>
      </c>
      <c r="J1334" t="inlineStr">
        <is>
          <t>OK</t>
        </is>
      </c>
      <c r="K1334" t="inlineStr"/>
      <c r="L1334" t="inlineStr">
        <is>
          <t>SINDICATO DOS TRABS NAS INDUST QUIMICAS E FARM DO ESTPR / PGTO REF.CONTRIÇÃO FUNERAL CONF.CCT 2025-2026</t>
        </is>
      </c>
      <c r="M1334" t="inlineStr">
        <is>
          <t>SINDICATO DOS TRABS NAS INDUST QUIMICAS E FARM DO ESTPR</t>
        </is>
      </c>
    </row>
    <row r="1335">
      <c r="A1335" t="n">
        <v>1334</v>
      </c>
      <c r="B1335" t="inlineStr">
        <is>
          <t>01/07/2026</t>
        </is>
      </c>
      <c r="C1335" t="inlineStr">
        <is>
          <t>BOLETO PAGO SANTANDER SO</t>
        </is>
      </c>
      <c r="D1335" s="7" t="n">
        <v>-2622.29</v>
      </c>
      <c r="E1335" t="inlineStr">
        <is>
          <t>(novo)</t>
        </is>
      </c>
      <c r="F1335" t="inlineStr"/>
      <c r="G1335" s="2" t="inlineStr">
        <is>
          <t>362</t>
        </is>
      </c>
      <c r="H1335">
        <f>IFERROR(VLOOKUP(G1335&amp;"",PLANO!A:B,2,FALSE),"CONTA NAO EXISTE NO PLANO")</f>
        <v/>
      </c>
      <c r="I1335" t="inlineStr">
        <is>
          <t>362</t>
        </is>
      </c>
      <c r="J1335" t="inlineStr">
        <is>
          <t>OK</t>
        </is>
      </c>
      <c r="K1335" t="inlineStr"/>
      <c r="L1335" t="inlineStr">
        <is>
          <t>CARLOS ALEXANDRE MAZZONI / PGTO REF.PRO-LABORE</t>
        </is>
      </c>
      <c r="M1335" t="inlineStr">
        <is>
          <t>CARLOS ALEXANDRE MAZZONI</t>
        </is>
      </c>
    </row>
    <row r="1336">
      <c r="A1336" t="n">
        <v>1335</v>
      </c>
      <c r="B1336" t="inlineStr">
        <is>
          <t>01/07/2026</t>
        </is>
      </c>
      <c r="C1336" t="inlineStr">
        <is>
          <t>BOLETO PAGO EMPRESA BRAS</t>
        </is>
      </c>
      <c r="D1336" s="7" t="n">
        <v>-2976.11</v>
      </c>
      <c r="E1336" t="inlineStr">
        <is>
          <t>(novo)</t>
        </is>
      </c>
      <c r="F1336" t="inlineStr"/>
      <c r="G1336" s="2" t="inlineStr">
        <is>
          <t>312</t>
        </is>
      </c>
      <c r="H1336">
        <f>IFERROR(VLOOKUP(G1336&amp;"",PLANO!A:B,2,FALSE),"CONTA NAO EXISTE NO PLANO")</f>
        <v/>
      </c>
      <c r="I1336" t="inlineStr">
        <is>
          <t>312</t>
        </is>
      </c>
      <c r="J1336" t="inlineStr">
        <is>
          <t>OK</t>
        </is>
      </c>
      <c r="K1336" t="inlineStr"/>
      <c r="L1336" t="inlineStr">
        <is>
          <t>EMPRESA BRASILEIRA DE CORREIOS E TELEGRAFOS / PGTO REF.</t>
        </is>
      </c>
      <c r="M1336" t="inlineStr">
        <is>
          <t>EMPRESA BRASILEIRA DE CORREIOS E TELEGRAFOS</t>
        </is>
      </c>
    </row>
    <row r="1337">
      <c r="A1337" t="n">
        <v>1336</v>
      </c>
      <c r="B1337" t="inlineStr">
        <is>
          <t>01/07/2026</t>
        </is>
      </c>
      <c r="C1337" t="inlineStr">
        <is>
          <t>Mov Tít Cob Disp 01/07S</t>
        </is>
      </c>
      <c r="D1337" s="7" t="n">
        <v>1501.32</v>
      </c>
      <c r="E1337" t="inlineStr">
        <is>
          <t>(novo)</t>
        </is>
      </c>
      <c r="F1337" t="inlineStr"/>
      <c r="G1337" s="2" t="inlineStr">
        <is>
          <t>504</t>
        </is>
      </c>
      <c r="H1337">
        <f>IFERROR(VLOOKUP(G1337&amp;"",PLANO!A:B,2,FALSE),"CONTA NAO EXISTE NO PLANO")</f>
        <v/>
      </c>
      <c r="I1337" t="inlineStr">
        <is>
          <t>504</t>
        </is>
      </c>
      <c r="J1337" t="inlineStr">
        <is>
          <t>OK</t>
        </is>
      </c>
      <c r="K1337" t="inlineStr"/>
      <c r="L1337" t="inlineStr"/>
      <c r="M1337" t="inlineStr">
        <is>
          <t>MOV TÍT COB DISP 01/07S</t>
        </is>
      </c>
    </row>
    <row r="1338">
      <c r="A1338" t="n">
        <v>1337</v>
      </c>
      <c r="B1338" t="inlineStr">
        <is>
          <t>01/07/2026</t>
        </is>
      </c>
      <c r="C1338" t="inlineStr">
        <is>
          <t>Rede VISA AT0081996543</t>
        </is>
      </c>
      <c r="D1338" s="7" t="n">
        <v>7810.37</v>
      </c>
      <c r="E1338" t="inlineStr">
        <is>
          <t>(novo)</t>
        </is>
      </c>
      <c r="F1338" t="inlineStr"/>
      <c r="G1338" s="2" t="inlineStr">
        <is>
          <t>504</t>
        </is>
      </c>
      <c r="H1338">
        <f>IFERROR(VLOOKUP(G1338&amp;"",PLANO!A:B,2,FALSE),"CONTA NAO EXISTE NO PLANO")</f>
        <v/>
      </c>
      <c r="I1338" t="inlineStr">
        <is>
          <t>504</t>
        </is>
      </c>
      <c r="J1338" t="inlineStr">
        <is>
          <t>OK</t>
        </is>
      </c>
      <c r="K1338" t="inlineStr"/>
      <c r="L1338" t="inlineStr"/>
      <c r="M1338" t="inlineStr">
        <is>
          <t>REDE VISA AT0081996543</t>
        </is>
      </c>
    </row>
    <row r="1339">
      <c r="A1339" t="n">
        <v>1338</v>
      </c>
      <c r="B1339" t="inlineStr">
        <is>
          <t>01/07/2026</t>
        </is>
      </c>
      <c r="C1339" t="inlineStr">
        <is>
          <t>TED 363.0001.RNX F M D R</t>
        </is>
      </c>
      <c r="D1339" s="7" t="n">
        <v>16955.02</v>
      </c>
      <c r="E1339" t="inlineStr">
        <is>
          <t>(novo)</t>
        </is>
      </c>
      <c r="F1339" t="inlineStr"/>
      <c r="G1339" s="2" t="inlineStr">
        <is>
          <t>504</t>
        </is>
      </c>
      <c r="H1339">
        <f>IFERROR(VLOOKUP(G1339&amp;"",PLANO!A:B,2,FALSE),"CONTA NAO EXISTE NO PLANO")</f>
        <v/>
      </c>
      <c r="I1339" t="inlineStr">
        <is>
          <t>504</t>
        </is>
      </c>
      <c r="J1339" t="inlineStr">
        <is>
          <t>OK</t>
        </is>
      </c>
      <c r="K1339" t="inlineStr"/>
      <c r="L1339" t="inlineStr"/>
      <c r="M1339" t="inlineStr">
        <is>
          <t>TED 363.0001.RNX F M D R</t>
        </is>
      </c>
    </row>
    <row r="1340">
      <c r="A1340" t="n">
        <v>1339</v>
      </c>
      <c r="B1340" t="inlineStr">
        <is>
          <t>01/07/2026</t>
        </is>
      </c>
      <c r="C1340" t="inlineStr">
        <is>
          <t>JUROS EXCESSO LIM CONTA</t>
        </is>
      </c>
      <c r="D1340" s="7" t="n">
        <v>-7.7</v>
      </c>
      <c r="E1340" t="inlineStr">
        <is>
          <t>(novo)</t>
        </is>
      </c>
      <c r="F1340" t="inlineStr"/>
      <c r="G1340" s="2" t="inlineStr">
        <is>
          <t>375</t>
        </is>
      </c>
      <c r="H1340">
        <f>IFERROR(VLOOKUP(G1340&amp;"",PLANO!A:B,2,FALSE),"CONTA NAO EXISTE NO PLANO")</f>
        <v/>
      </c>
      <c r="I1340" t="inlineStr">
        <is>
          <t>375</t>
        </is>
      </c>
      <c r="J1340" t="inlineStr">
        <is>
          <t>OK</t>
        </is>
      </c>
      <c r="K1340" t="inlineStr"/>
      <c r="L1340" t="inlineStr">
        <is>
          <t>BANCO ITAU UNIBANCO / PGTO REF.TARIFAS</t>
        </is>
      </c>
      <c r="M1340" t="inlineStr">
        <is>
          <t>BANCO ITAU UNIBANCO</t>
        </is>
      </c>
    </row>
    <row r="1341">
      <c r="A1341" t="n">
        <v>1340</v>
      </c>
      <c r="B1341" t="inlineStr">
        <is>
          <t>02/07/2026</t>
        </is>
      </c>
      <c r="C1341" t="inlineStr">
        <is>
          <t>IOF 8613.52508-1/ C/C</t>
        </is>
      </c>
      <c r="D1341" s="7" t="n">
        <v>-135.3</v>
      </c>
      <c r="E1341" t="inlineStr">
        <is>
          <t>(novo)</t>
        </is>
      </c>
      <c r="F1341" t="inlineStr"/>
      <c r="G1341" s="2" t="inlineStr">
        <is>
          <t>625</t>
        </is>
      </c>
      <c r="H1341">
        <f>IFERROR(VLOOKUP(G1341&amp;"",PLANO!A:B,2,FALSE),"CONTA NAO EXISTE NO PLANO")</f>
        <v/>
      </c>
      <c r="I1341" t="inlineStr">
        <is>
          <t>625</t>
        </is>
      </c>
      <c r="J1341" t="inlineStr">
        <is>
          <t>OK</t>
        </is>
      </c>
      <c r="K1341" t="inlineStr"/>
      <c r="L1341" t="inlineStr">
        <is>
          <t>BANCO ITAU UNIBANCO / PGTO REF.IOF, COBRANÇA, PIX, MAQUINETA E ETC.</t>
        </is>
      </c>
      <c r="M1341" t="inlineStr">
        <is>
          <t>BANCO ITAU UNIBANCO</t>
        </is>
      </c>
    </row>
    <row r="1342">
      <c r="A1342" t="n">
        <v>1341</v>
      </c>
      <c r="B1342" t="inlineStr">
        <is>
          <t>02/07/2026</t>
        </is>
      </c>
      <c r="C1342" t="inlineStr">
        <is>
          <t>Sispag PIX QR-CODE</t>
        </is>
      </c>
      <c r="D1342" s="7" t="n">
        <v>-118.56</v>
      </c>
      <c r="E1342" t="inlineStr">
        <is>
          <t>(novo)</t>
        </is>
      </c>
      <c r="F1342" t="inlineStr"/>
      <c r="G1342" s="2" t="inlineStr">
        <is>
          <t>555</t>
        </is>
      </c>
      <c r="H1342">
        <f>IFERROR(VLOOKUP(G1342&amp;"",PLANO!A:B,2,FALSE),"CONTA NAO EXISTE NO PLANO")</f>
        <v/>
      </c>
      <c r="I1342" t="inlineStr">
        <is>
          <t>555</t>
        </is>
      </c>
      <c r="J1342" t="inlineStr">
        <is>
          <t>OK</t>
        </is>
      </c>
      <c r="K1342" t="inlineStr"/>
      <c r="L1342" t="inlineStr">
        <is>
          <t>IBAZAR.COM ATIVIDADES DE INTERNET LTDA. / PGTO REF.COMPRA DE PRODUTOS PARA CONTRATIPAGEM</t>
        </is>
      </c>
      <c r="M1342" t="inlineStr">
        <is>
          <t>IBAZAR.COM ATIVIDADES DE INTERNET LTDA.</t>
        </is>
      </c>
    </row>
    <row r="1343">
      <c r="A1343" t="n">
        <v>1342</v>
      </c>
      <c r="B1343" t="inlineStr">
        <is>
          <t>02/07/2026</t>
        </is>
      </c>
      <c r="C1343" t="inlineStr">
        <is>
          <t>Sispag PIX QR-CODE</t>
        </is>
      </c>
      <c r="D1343" s="7" t="n">
        <v>-85.13</v>
      </c>
      <c r="E1343" t="inlineStr">
        <is>
          <t>(novo)</t>
        </is>
      </c>
      <c r="F1343" t="inlineStr"/>
      <c r="G1343" s="2" t="inlineStr">
        <is>
          <t>555</t>
        </is>
      </c>
      <c r="H1343">
        <f>IFERROR(VLOOKUP(G1343&amp;"",PLANO!A:B,2,FALSE),"CONTA NAO EXISTE NO PLANO")</f>
        <v/>
      </c>
      <c r="I1343" t="inlineStr">
        <is>
          <t>555</t>
        </is>
      </c>
      <c r="J1343" t="inlineStr">
        <is>
          <t>OK</t>
        </is>
      </c>
      <c r="K1343" t="inlineStr"/>
      <c r="L1343" t="inlineStr">
        <is>
          <t>IBAZAR.COM ATIVIDADES DE INTERNET LTDA. / PGTO REF.COMPRA DE PRODUTOS PARA CONTRATIPAGEM</t>
        </is>
      </c>
      <c r="M1343" t="inlineStr">
        <is>
          <t>IBAZAR.COM ATIVIDADES DE INTERNET LTDA.</t>
        </is>
      </c>
    </row>
    <row r="1344">
      <c r="A1344" t="n">
        <v>1343</v>
      </c>
      <c r="B1344" t="inlineStr">
        <is>
          <t>02/07/2026</t>
        </is>
      </c>
      <c r="C1344" t="inlineStr">
        <is>
          <t>Sispag PIX QR-CODE</t>
        </is>
      </c>
      <c r="D1344" s="7" t="n">
        <v>-175.48</v>
      </c>
      <c r="E1344" t="inlineStr">
        <is>
          <t>(novo)</t>
        </is>
      </c>
      <c r="F1344" t="inlineStr"/>
      <c r="G1344" s="2" t="inlineStr">
        <is>
          <t>555</t>
        </is>
      </c>
      <c r="H1344">
        <f>IFERROR(VLOOKUP(G1344&amp;"",PLANO!A:B,2,FALSE),"CONTA NAO EXISTE NO PLANO")</f>
        <v/>
      </c>
      <c r="I1344" t="inlineStr">
        <is>
          <t>555</t>
        </is>
      </c>
      <c r="J1344" t="inlineStr">
        <is>
          <t>OK</t>
        </is>
      </c>
      <c r="K1344" t="inlineStr"/>
      <c r="L1344" t="inlineStr">
        <is>
          <t>IBAZAR.COM ATIVIDADES DE INTERNET LTDA. / PGTO REF.COMPRA DE PRODUTOS PARA CONTRATIPAGEM</t>
        </is>
      </c>
      <c r="M1344" t="inlineStr">
        <is>
          <t>IBAZAR.COM ATIVIDADES DE INTERNET LTDA.</t>
        </is>
      </c>
    </row>
    <row r="1345">
      <c r="A1345" t="n">
        <v>1344</v>
      </c>
      <c r="B1345" t="inlineStr">
        <is>
          <t>02/07/2026</t>
        </is>
      </c>
      <c r="C1345" t="inlineStr">
        <is>
          <t>IOF</t>
        </is>
      </c>
      <c r="D1345" s="7" t="n">
        <v>-87.95999999999999</v>
      </c>
      <c r="E1345" t="inlineStr">
        <is>
          <t>(novo)</t>
        </is>
      </c>
      <c r="F1345" t="inlineStr"/>
      <c r="G1345" s="2" t="inlineStr">
        <is>
          <t>625</t>
        </is>
      </c>
      <c r="H1345">
        <f>IFERROR(VLOOKUP(G1345&amp;"",PLANO!A:B,2,FALSE),"CONTA NAO EXISTE NO PLANO")</f>
        <v/>
      </c>
      <c r="I1345" t="inlineStr">
        <is>
          <t>625</t>
        </is>
      </c>
      <c r="J1345" t="inlineStr">
        <is>
          <t>OK</t>
        </is>
      </c>
      <c r="K1345" t="inlineStr"/>
      <c r="L1345" t="inlineStr">
        <is>
          <t>BANCO ITAU UNIBANCO / PGTO REF.IOF, COBRANÇA, PIX, MAQUINETA E ETC.</t>
        </is>
      </c>
      <c r="M1345" t="inlineStr">
        <is>
          <t>BANCO ITAU UNIBANCO</t>
        </is>
      </c>
    </row>
    <row r="1346">
      <c r="A1346" t="n">
        <v>1345</v>
      </c>
      <c r="B1346" t="inlineStr">
        <is>
          <t>02/07/2026</t>
        </is>
      </c>
      <c r="C1346" t="inlineStr">
        <is>
          <t>PIX ENVIADO CELSO MAICZA</t>
        </is>
      </c>
      <c r="D1346" s="7" t="n">
        <v>-1930</v>
      </c>
      <c r="E1346" t="inlineStr">
        <is>
          <t>(novo)</t>
        </is>
      </c>
      <c r="F1346" t="inlineStr"/>
      <c r="G1346" s="2" t="inlineStr">
        <is>
          <t>506</t>
        </is>
      </c>
      <c r="H1346">
        <f>IFERROR(VLOOKUP(G1346&amp;"",PLANO!A:B,2,FALSE),"CONTA NAO EXISTE NO PLANO")</f>
        <v/>
      </c>
      <c r="I1346" t="inlineStr">
        <is>
          <t>506</t>
        </is>
      </c>
      <c r="J1346" t="inlineStr">
        <is>
          <t>OK</t>
        </is>
      </c>
      <c r="K1346" t="inlineStr"/>
      <c r="L1346" t="inlineStr">
        <is>
          <t>MZK FERRAMENTARIA LTDA / PAGAMENTO REFERENTE A SERVIÇO DE FERRAMENTARIA</t>
        </is>
      </c>
      <c r="M1346" t="inlineStr">
        <is>
          <t>MZK FERRAMENTARIA LTDA</t>
        </is>
      </c>
    </row>
    <row r="1347">
      <c r="A1347" s="14" t="n">
        <v>1346</v>
      </c>
      <c r="B1347" s="14" t="inlineStr">
        <is>
          <t>02/07/2026</t>
        </is>
      </c>
      <c r="C1347" s="14" t="inlineStr">
        <is>
          <t>PIX ENVIADO IGOR FERNAND</t>
        </is>
      </c>
      <c r="D1347" s="15" t="n">
        <v>-1600</v>
      </c>
      <c r="E1347" s="14" t="inlineStr">
        <is>
          <t>(novo)</t>
        </is>
      </c>
      <c r="F1347" s="14" t="inlineStr"/>
      <c r="G1347" s="16" t="inlineStr">
        <is>
          <t>375</t>
        </is>
      </c>
      <c r="H1347" s="14">
        <f>IFERROR(VLOOKUP(G1347&amp;"",PLANO!A:B,2,FALSE),"CONTA NAO EXISTE NO PLANO")</f>
        <v/>
      </c>
      <c r="I1347" s="14" t="inlineStr">
        <is>
          <t>375</t>
        </is>
      </c>
      <c r="J1347" s="14" t="inlineStr">
        <is>
          <t>CORRIGIDO</t>
        </is>
      </c>
      <c r="K1347" s="14" t="inlineStr">
        <is>
          <t>retificado 362-&gt;375: juros s/ emprestimo (Cosmos cat. 84)</t>
        </is>
      </c>
      <c r="L1347" s="14" t="inlineStr">
        <is>
          <t>IGOR FERNANDO PEREIRA / PGTO REF.JUROS DE EMPRESTIMO A LONGO PRAZO</t>
        </is>
      </c>
      <c r="M1347" s="14" t="inlineStr">
        <is>
          <t>IGOR FERNANDO PEREIRA</t>
        </is>
      </c>
    </row>
    <row r="1348">
      <c r="A1348" t="n">
        <v>1347</v>
      </c>
      <c r="B1348" t="inlineStr">
        <is>
          <t>02/07/2026</t>
        </is>
      </c>
      <c r="C1348" t="inlineStr">
        <is>
          <t>PIX ENVIADO MARCIO ANTON</t>
        </is>
      </c>
      <c r="D1348" s="7" t="n">
        <v>-1000</v>
      </c>
      <c r="E1348" t="inlineStr">
        <is>
          <t>(novo)</t>
        </is>
      </c>
      <c r="F1348" t="inlineStr"/>
      <c r="G1348" s="2" t="inlineStr">
        <is>
          <t>506</t>
        </is>
      </c>
      <c r="H1348">
        <f>IFERROR(VLOOKUP(G1348&amp;"",PLANO!A:B,2,FALSE),"CONTA NAO EXISTE NO PLANO")</f>
        <v/>
      </c>
      <c r="I1348" t="inlineStr">
        <is>
          <t>506</t>
        </is>
      </c>
      <c r="J1348" t="inlineStr">
        <is>
          <t>OK</t>
        </is>
      </c>
      <c r="K1348" t="inlineStr"/>
      <c r="L1348" t="inlineStr">
        <is>
          <t>MARCIO ANTONIO RUSSO 64538427934 / PGTO REF.SERVIÇOS PRESTADOS CONF.CONTRATO</t>
        </is>
      </c>
      <c r="M1348" t="inlineStr">
        <is>
          <t>MARCIO ANTONIO RUSSO 64538427934</t>
        </is>
      </c>
    </row>
    <row r="1349">
      <c r="A1349" t="n">
        <v>1348</v>
      </c>
      <c r="B1349" t="inlineStr">
        <is>
          <t>02/07/2026</t>
        </is>
      </c>
      <c r="C1349" t="inlineStr">
        <is>
          <t>PIX ENVIADO IGOR RENATO</t>
        </is>
      </c>
      <c r="D1349" s="7" t="n">
        <v>-1000</v>
      </c>
      <c r="E1349" t="inlineStr">
        <is>
          <t>(novo)</t>
        </is>
      </c>
      <c r="F1349" t="inlineStr"/>
      <c r="G1349" s="2" t="inlineStr">
        <is>
          <t>506</t>
        </is>
      </c>
      <c r="H1349">
        <f>IFERROR(VLOOKUP(G1349&amp;"",PLANO!A:B,2,FALSE),"CONTA NAO EXISTE NO PLANO")</f>
        <v/>
      </c>
      <c r="I1349" t="inlineStr">
        <is>
          <t>506</t>
        </is>
      </c>
      <c r="J1349" t="inlineStr">
        <is>
          <t>OK</t>
        </is>
      </c>
      <c r="K1349" t="inlineStr"/>
      <c r="L1349" t="inlineStr">
        <is>
          <t>IGOR RENATO MORESCHI 00575611928 / PGTO REF.SERVIÇOS PRESTADOS CONF.CONTRATO</t>
        </is>
      </c>
      <c r="M1349" t="inlineStr">
        <is>
          <t>IGOR RENATO MORESCHI 00575611928</t>
        </is>
      </c>
    </row>
    <row r="1350">
      <c r="A1350" t="n">
        <v>1349</v>
      </c>
      <c r="B1350" t="inlineStr">
        <is>
          <t>02/07/2026</t>
        </is>
      </c>
      <c r="C1350" t="inlineStr">
        <is>
          <t>PIX ENVIADO SUL TAPE COM</t>
        </is>
      </c>
      <c r="D1350" s="7" t="n">
        <v>-1242.6</v>
      </c>
      <c r="E1350" t="inlineStr">
        <is>
          <t>(novo)</t>
        </is>
      </c>
      <c r="F1350" t="inlineStr"/>
      <c r="G1350" s="2" t="inlineStr">
        <is>
          <t>506</t>
        </is>
      </c>
      <c r="H1350">
        <f>IFERROR(VLOOKUP(G1350&amp;"",PLANO!A:B,2,FALSE),"CONTA NAO EXISTE NO PLANO")</f>
        <v/>
      </c>
      <c r="I1350" t="inlineStr">
        <is>
          <t>506</t>
        </is>
      </c>
      <c r="J1350" t="inlineStr">
        <is>
          <t>OK</t>
        </is>
      </c>
      <c r="K1350" t="inlineStr"/>
      <c r="L1350" t="inlineStr"/>
      <c r="M1350" t="inlineStr">
        <is>
          <t>SUL TAPE COMERCIO DE EMBALAGENS EIRELIPGTO REF. A COMPRA DE PLASTICO BOLHA</t>
        </is>
      </c>
    </row>
    <row r="1351">
      <c r="A1351" s="4" t="n">
        <v>1350</v>
      </c>
      <c r="B1351" s="4" t="inlineStr">
        <is>
          <t>02/07/2026</t>
        </is>
      </c>
      <c r="C1351" s="4" t="inlineStr">
        <is>
          <t>PIX ENVIADO JANAINA PERE</t>
        </is>
      </c>
      <c r="D1351" s="5" t="n">
        <v>-1000</v>
      </c>
      <c r="E1351" s="4" t="inlineStr">
        <is>
          <t>(novo)</t>
        </is>
      </c>
      <c r="F1351" s="4" t="inlineStr"/>
      <c r="G1351" s="6" t="inlineStr">
        <is>
          <t>308</t>
        </is>
      </c>
      <c r="H1351" s="4">
        <f>IFERROR(VLOOKUP(G1351&amp;"",PLANO!A:B,2,FALSE),"CONTA NAO EXISTE NO PLANO")</f>
        <v/>
      </c>
      <c r="I1351" s="4" t="inlineStr">
        <is>
          <t>506</t>
        </is>
      </c>
      <c r="J1351" s="4" t="inlineStr">
        <is>
          <t>AJUSTADO</t>
        </is>
      </c>
      <c r="K1351" s="4" t="inlineStr">
        <is>
          <t>comissao sobre vendas -&gt; 308</t>
        </is>
      </c>
      <c r="L1351" s="4" t="inlineStr">
        <is>
          <t>JANAINA PEREIRA ELIAS 08802647992 / PGTO REF.COMISSÕES S/VENDAS</t>
        </is>
      </c>
      <c r="M1351" s="4" t="inlineStr">
        <is>
          <t>JANAINA PEREIRA ELIAS 08802647992</t>
        </is>
      </c>
    </row>
    <row r="1352">
      <c r="A1352" t="n">
        <v>1351</v>
      </c>
      <c r="B1352" t="inlineStr">
        <is>
          <t>02/07/2026</t>
        </is>
      </c>
      <c r="C1352" t="inlineStr">
        <is>
          <t>PIX ENVIADO CLAUDIA APAR</t>
        </is>
      </c>
      <c r="D1352" s="7" t="n">
        <v>-1000</v>
      </c>
      <c r="E1352" t="inlineStr">
        <is>
          <t>(novo)</t>
        </is>
      </c>
      <c r="F1352" t="inlineStr"/>
      <c r="G1352" s="2" t="inlineStr">
        <is>
          <t>362</t>
        </is>
      </c>
      <c r="H1352">
        <f>IFERROR(VLOOKUP(G1352&amp;"",PLANO!A:B,2,FALSE),"CONTA NAO EXISTE NO PLANO")</f>
        <v/>
      </c>
      <c r="I1352" t="inlineStr">
        <is>
          <t>362</t>
        </is>
      </c>
      <c r="J1352" t="inlineStr">
        <is>
          <t>OK</t>
        </is>
      </c>
      <c r="K1352" t="inlineStr"/>
      <c r="L1352" t="inlineStr">
        <is>
          <t>CLAUDIA APARECIDA RUBIN / PGTO REF.SERVIÇOS PRESTADOS CONF.CONTRATO</t>
        </is>
      </c>
      <c r="M1352" t="inlineStr">
        <is>
          <t>CLAUDIA APARECIDA RUBIN</t>
        </is>
      </c>
    </row>
    <row r="1353">
      <c r="A1353" t="n">
        <v>1352</v>
      </c>
      <c r="B1353" t="inlineStr">
        <is>
          <t>02/07/2026</t>
        </is>
      </c>
      <c r="C1353" t="inlineStr">
        <is>
          <t>PIX ENVIADO ISAIAS PREST</t>
        </is>
      </c>
      <c r="D1353" s="7" t="n">
        <v>-1950</v>
      </c>
      <c r="E1353" t="inlineStr">
        <is>
          <t>(novo)</t>
        </is>
      </c>
      <c r="F1353" t="inlineStr"/>
      <c r="G1353" s="2" t="inlineStr">
        <is>
          <t>506</t>
        </is>
      </c>
      <c r="H1353">
        <f>IFERROR(VLOOKUP(G1353&amp;"",PLANO!A:B,2,FALSE),"CONTA NAO EXISTE NO PLANO")</f>
        <v/>
      </c>
      <c r="I1353" t="inlineStr">
        <is>
          <t>506</t>
        </is>
      </c>
      <c r="J1353" t="inlineStr">
        <is>
          <t>OK</t>
        </is>
      </c>
      <c r="K1353" t="inlineStr"/>
      <c r="L1353" t="inlineStr">
        <is>
          <t>DECORAR COMERCIO E PRESTACAO DE SERVICOS LTDA / PGTO REF.SERVIÇOS PRESTADOS</t>
        </is>
      </c>
      <c r="M1353" t="inlineStr">
        <is>
          <t>DECORAR COMERCIO E PRESTACAO DE SERVICOS LTDA</t>
        </is>
      </c>
    </row>
    <row r="1354">
      <c r="A1354" t="n">
        <v>1353</v>
      </c>
      <c r="B1354" t="inlineStr">
        <is>
          <t>02/07/2026</t>
        </is>
      </c>
      <c r="C1354" t="inlineStr">
        <is>
          <t>PIX ENVIADO SUZAN CRISTI</t>
        </is>
      </c>
      <c r="D1354" s="7" t="n">
        <v>-1000</v>
      </c>
      <c r="E1354" t="inlineStr">
        <is>
          <t>(novo)</t>
        </is>
      </c>
      <c r="F1354" t="inlineStr"/>
      <c r="G1354" s="2" t="inlineStr">
        <is>
          <t>362</t>
        </is>
      </c>
      <c r="H1354">
        <f>IFERROR(VLOOKUP(G1354&amp;"",PLANO!A:B,2,FALSE),"CONTA NAO EXISTE NO PLANO")</f>
        <v/>
      </c>
      <c r="I1354" t="inlineStr">
        <is>
          <t>362</t>
        </is>
      </c>
      <c r="J1354" t="inlineStr">
        <is>
          <t>OK</t>
        </is>
      </c>
      <c r="K1354" t="inlineStr"/>
      <c r="L1354" t="inlineStr">
        <is>
          <t>SUZAN CRISTINA ROSSI / PGTO REF.SERVIÇOS PRESTADOS CONF.CONTRATO</t>
        </is>
      </c>
      <c r="M1354" t="inlineStr">
        <is>
          <t>SUZAN CRISTINA ROSSI</t>
        </is>
      </c>
    </row>
    <row r="1355">
      <c r="A1355" s="4" t="n">
        <v>1354</v>
      </c>
      <c r="B1355" s="4" t="inlineStr">
        <is>
          <t>02/07/2026</t>
        </is>
      </c>
      <c r="C1355" s="4" t="inlineStr">
        <is>
          <t>PIX ENVIADO CLARISSA DAV</t>
        </is>
      </c>
      <c r="D1355" s="5" t="n">
        <v>-3000</v>
      </c>
      <c r="E1355" s="4" t="inlineStr">
        <is>
          <t>(novo)</t>
        </is>
      </c>
      <c r="F1355" s="4" t="inlineStr"/>
      <c r="G1355" s="6" t="inlineStr">
        <is>
          <t>362</t>
        </is>
      </c>
      <c r="H1355" s="4">
        <f>IFERROR(VLOOKUP(G1355&amp;"",PLANO!A:B,2,FALSE),"CONTA NAO EXISTE NO PLANO")</f>
        <v/>
      </c>
      <c r="I1355" s="4" t="inlineStr">
        <is>
          <t>506</t>
        </is>
      </c>
      <c r="J1355" s="4" t="inlineStr">
        <is>
          <t>AJUSTADO</t>
        </is>
      </c>
      <c r="K1355" s="4" t="inlineStr">
        <is>
          <t>pessoa fisica - servicos</t>
        </is>
      </c>
      <c r="L1355" s="4" t="inlineStr"/>
      <c r="M1355" s="4" t="inlineStr">
        <is>
          <t>PIX ENVIADO CLARISSA DAV</t>
        </is>
      </c>
    </row>
    <row r="1356">
      <c r="A1356" t="n">
        <v>1355</v>
      </c>
      <c r="B1356" t="inlineStr">
        <is>
          <t>02/07/2026</t>
        </is>
      </c>
      <c r="C1356" t="inlineStr">
        <is>
          <t>Mov Tít Cob Disp 02/07S</t>
        </is>
      </c>
      <c r="D1356" s="7" t="n">
        <v>4625.32</v>
      </c>
      <c r="E1356" t="inlineStr">
        <is>
          <t>(novo)</t>
        </is>
      </c>
      <c r="F1356" t="inlineStr"/>
      <c r="G1356" s="2" t="inlineStr">
        <is>
          <t>504</t>
        </is>
      </c>
      <c r="H1356">
        <f>IFERROR(VLOOKUP(G1356&amp;"",PLANO!A:B,2,FALSE),"CONTA NAO EXISTE NO PLANO")</f>
        <v/>
      </c>
      <c r="I1356" t="inlineStr">
        <is>
          <t>504</t>
        </is>
      </c>
      <c r="J1356" t="inlineStr">
        <is>
          <t>OK</t>
        </is>
      </c>
      <c r="K1356" t="inlineStr"/>
      <c r="L1356" t="inlineStr"/>
      <c r="M1356" t="inlineStr">
        <is>
          <t>MOV TÍT COB DISP 02/07S</t>
        </is>
      </c>
    </row>
    <row r="1357">
      <c r="A1357" t="n">
        <v>1356</v>
      </c>
      <c r="B1357" t="inlineStr">
        <is>
          <t>02/07/2026</t>
        </is>
      </c>
      <c r="C1357" t="inlineStr">
        <is>
          <t>Rede VISA AT0081996543</t>
        </is>
      </c>
      <c r="D1357" s="7" t="n">
        <v>8460</v>
      </c>
      <c r="E1357" t="inlineStr">
        <is>
          <t>(novo)</t>
        </is>
      </c>
      <c r="F1357" t="inlineStr"/>
      <c r="G1357" s="2" t="inlineStr">
        <is>
          <t>504</t>
        </is>
      </c>
      <c r="H1357">
        <f>IFERROR(VLOOKUP(G1357&amp;"",PLANO!A:B,2,FALSE),"CONTA NAO EXISTE NO PLANO")</f>
        <v/>
      </c>
      <c r="I1357" t="inlineStr">
        <is>
          <t>504</t>
        </is>
      </c>
      <c r="J1357" t="inlineStr">
        <is>
          <t>OK</t>
        </is>
      </c>
      <c r="K1357" t="inlineStr"/>
      <c r="L1357" t="inlineStr"/>
      <c r="M1357" t="inlineStr">
        <is>
          <t>REDE VISA AT0081996543</t>
        </is>
      </c>
    </row>
    <row r="1358">
      <c r="A1358" t="n">
        <v>1357</v>
      </c>
      <c r="B1358" t="inlineStr">
        <is>
          <t>02/07/2026</t>
        </is>
      </c>
      <c r="C1358" t="inlineStr">
        <is>
          <t>Tar Cobrança Exp</t>
        </is>
      </c>
      <c r="D1358" s="7" t="n">
        <v>-632.7</v>
      </c>
      <c r="E1358" t="inlineStr">
        <is>
          <t>(novo)</t>
        </is>
      </c>
      <c r="F1358" t="inlineStr"/>
      <c r="G1358" s="2" t="inlineStr">
        <is>
          <t>626</t>
        </is>
      </c>
      <c r="H1358">
        <f>IFERROR(VLOOKUP(G1358&amp;"",PLANO!A:B,2,FALSE),"CONTA NAO EXISTE NO PLANO")</f>
        <v/>
      </c>
      <c r="I1358" t="inlineStr">
        <is>
          <t>626</t>
        </is>
      </c>
      <c r="J1358" t="inlineStr">
        <is>
          <t>OK</t>
        </is>
      </c>
      <c r="K1358" t="inlineStr"/>
      <c r="L1358" t="inlineStr">
        <is>
          <t>BANCO ITAU UNIBANCO / PGTO REF.IOF, COBRANÇA, PIX, MAQUINETA E ETC.</t>
        </is>
      </c>
      <c r="M1358" t="inlineStr">
        <is>
          <t>BANCO ITAU UNIBANCO</t>
        </is>
      </c>
    </row>
    <row r="1359">
      <c r="A1359" t="n">
        <v>1358</v>
      </c>
      <c r="B1359" t="inlineStr">
        <is>
          <t>02/07/2026</t>
        </is>
      </c>
      <c r="C1359" t="inlineStr">
        <is>
          <t>Tar Cobrança Exp</t>
        </is>
      </c>
      <c r="D1359" s="7" t="n">
        <v>-11.1</v>
      </c>
      <c r="E1359" t="inlineStr">
        <is>
          <t>(novo)</t>
        </is>
      </c>
      <c r="F1359" t="inlineStr"/>
      <c r="G1359" s="2" t="inlineStr">
        <is>
          <t>626</t>
        </is>
      </c>
      <c r="H1359">
        <f>IFERROR(VLOOKUP(G1359&amp;"",PLANO!A:B,2,FALSE),"CONTA NAO EXISTE NO PLANO")</f>
        <v/>
      </c>
      <c r="I1359" t="inlineStr">
        <is>
          <t>626</t>
        </is>
      </c>
      <c r="J1359" t="inlineStr">
        <is>
          <t>OK</t>
        </is>
      </c>
      <c r="K1359" t="inlineStr"/>
      <c r="L1359" t="inlineStr">
        <is>
          <t>BANCO ITAU UNIBANCO / PGTO REF.IOF, COBRANÇA, PIX, MAQUINETA E ETC.</t>
        </is>
      </c>
      <c r="M1359" t="inlineStr">
        <is>
          <t>BANCO ITAU UNIBANCO</t>
        </is>
      </c>
    </row>
    <row r="1360">
      <c r="A1360" t="n">
        <v>1359</v>
      </c>
      <c r="B1360" t="inlineStr">
        <is>
          <t>02/07/2026</t>
        </is>
      </c>
      <c r="C1360" t="inlineStr">
        <is>
          <t>TAR PIX PGTO TRANSF</t>
        </is>
      </c>
      <c r="D1360" s="7" t="n">
        <v>-319.34</v>
      </c>
      <c r="E1360" t="inlineStr">
        <is>
          <t>(novo)</t>
        </is>
      </c>
      <c r="F1360" t="inlineStr"/>
      <c r="G1360" s="2" t="inlineStr">
        <is>
          <t>626</t>
        </is>
      </c>
      <c r="H1360">
        <f>IFERROR(VLOOKUP(G1360&amp;"",PLANO!A:B,2,FALSE),"CONTA NAO EXISTE NO PLANO")</f>
        <v/>
      </c>
      <c r="I1360" t="inlineStr">
        <is>
          <t>626</t>
        </is>
      </c>
      <c r="J1360" t="inlineStr">
        <is>
          <t>OK</t>
        </is>
      </c>
      <c r="K1360" t="inlineStr"/>
      <c r="L1360" t="inlineStr">
        <is>
          <t>BANCO ITAU UNIBANCO / PGTO REF.IOF, COBRANÇA, PIX, MAQUINETA E ETC.</t>
        </is>
      </c>
      <c r="M1360" t="inlineStr">
        <is>
          <t>BANCO ITAU UNIBANCO</t>
        </is>
      </c>
    </row>
    <row r="1361">
      <c r="A1361" t="n">
        <v>1360</v>
      </c>
      <c r="B1361" t="inlineStr">
        <is>
          <t>02/07/2026</t>
        </is>
      </c>
      <c r="C1361" t="inlineStr">
        <is>
          <t>TAR PIXQR LIQ MAQUININHA</t>
        </is>
      </c>
      <c r="D1361" s="7" t="n">
        <v>-7.58</v>
      </c>
      <c r="E1361" t="inlineStr">
        <is>
          <t>(novo)</t>
        </is>
      </c>
      <c r="F1361" t="inlineStr"/>
      <c r="G1361" s="2" t="inlineStr">
        <is>
          <t>626</t>
        </is>
      </c>
      <c r="H1361">
        <f>IFERROR(VLOOKUP(G1361&amp;"",PLANO!A:B,2,FALSE),"CONTA NAO EXISTE NO PLANO")</f>
        <v/>
      </c>
      <c r="I1361" t="inlineStr">
        <is>
          <t>626</t>
        </is>
      </c>
      <c r="J1361" t="inlineStr">
        <is>
          <t>OK</t>
        </is>
      </c>
      <c r="K1361" t="inlineStr"/>
      <c r="L1361" t="inlineStr">
        <is>
          <t>BANCO ITAU UNIBANCO / PGTO REF.IOF, COBRANÇA, PIX, MAQUINETA E ETC.</t>
        </is>
      </c>
      <c r="M1361" t="inlineStr">
        <is>
          <t>BANCO ITAU UNIBANCO</t>
        </is>
      </c>
    </row>
    <row r="1362">
      <c r="A1362" t="n">
        <v>1361</v>
      </c>
      <c r="B1362" t="inlineStr">
        <is>
          <t>02/07/2026</t>
        </is>
      </c>
      <c r="C1362" t="inlineStr">
        <is>
          <t>Rend Pago Aplic Aut Mais</t>
        </is>
      </c>
      <c r="D1362" s="7" t="n">
        <v>0.01</v>
      </c>
      <c r="E1362" t="inlineStr">
        <is>
          <t>(novo)</t>
        </is>
      </c>
      <c r="F1362" t="inlineStr"/>
      <c r="G1362" s="2" t="inlineStr">
        <is>
          <t>432</t>
        </is>
      </c>
      <c r="H1362">
        <f>IFERROR(VLOOKUP(G1362&amp;"",PLANO!A:B,2,FALSE),"CONTA NAO EXISTE NO PLANO")</f>
        <v/>
      </c>
      <c r="I1362" t="inlineStr">
        <is>
          <t>432</t>
        </is>
      </c>
      <c r="J1362" t="inlineStr">
        <is>
          <t>OK</t>
        </is>
      </c>
      <c r="K1362" t="inlineStr"/>
      <c r="L1362" t="inlineStr"/>
      <c r="M1362" t="inlineStr">
        <is>
          <t>RENDIMENTO APLICACAO AUTOMATICA ITAU</t>
        </is>
      </c>
    </row>
    <row r="1363">
      <c r="A1363" s="14" t="n">
        <v>1362</v>
      </c>
      <c r="B1363" s="14" t="inlineStr">
        <is>
          <t>03/07/2026</t>
        </is>
      </c>
      <c r="C1363" s="14" t="inlineStr">
        <is>
          <t>BOLETO PAGO URBANO SA SO</t>
        </is>
      </c>
      <c r="D1363" s="15" t="n">
        <v>-3192.34</v>
      </c>
      <c r="E1363" s="14" t="inlineStr">
        <is>
          <t>(novo)</t>
        </is>
      </c>
      <c r="F1363" s="14" t="inlineStr"/>
      <c r="G1363" s="16" t="inlineStr">
        <is>
          <t>312</t>
        </is>
      </c>
      <c r="H1363" s="14">
        <f>IFERROR(VLOOKUP(G1363&amp;"",PLANO!A:B,2,FALSE),"CONTA NAO EXISTE NO PLANO")</f>
        <v/>
      </c>
      <c r="I1363" s="14" t="inlineStr">
        <is>
          <t>312</t>
        </is>
      </c>
      <c r="J1363" s="14" t="inlineStr">
        <is>
          <t>CORRIGIDO</t>
        </is>
      </c>
      <c r="K1363" s="14" t="inlineStr">
        <is>
          <t>retificado 350-&gt;312: Braspress via Urbano = frete s/ vendas (Cosmos)</t>
        </is>
      </c>
      <c r="L1363" s="14" t="inlineStr">
        <is>
          <t>BRASPRESS TRANSPORTES URGENTES LTDA / PAG REF A FRETE SOBRE VENDAS</t>
        </is>
      </c>
      <c r="M1363" s="14" t="inlineStr">
        <is>
          <t>BRASPRESS TRANSPORTES URGENTES LTDA</t>
        </is>
      </c>
    </row>
    <row r="1364">
      <c r="A1364" t="n">
        <v>1363</v>
      </c>
      <c r="B1364" t="inlineStr">
        <is>
          <t>03/07/2026</t>
        </is>
      </c>
      <c r="C1364" t="inlineStr">
        <is>
          <t>BOLETO PAGO M GRINGS E C</t>
        </is>
      </c>
      <c r="D1364" s="7" t="n">
        <v>-1063</v>
      </c>
      <c r="E1364" t="inlineStr">
        <is>
          <t>(novo)</t>
        </is>
      </c>
      <c r="F1364" t="inlineStr"/>
      <c r="G1364" s="2" t="inlineStr">
        <is>
          <t>506</t>
        </is>
      </c>
      <c r="H1364">
        <f>IFERROR(VLOOKUP(G1364&amp;"",PLANO!A:B,2,FALSE),"CONTA NAO EXISTE NO PLANO")</f>
        <v/>
      </c>
      <c r="I1364" t="inlineStr">
        <is>
          <t>506</t>
        </is>
      </c>
      <c r="J1364" t="inlineStr">
        <is>
          <t>OK</t>
        </is>
      </c>
      <c r="K1364" t="inlineStr"/>
      <c r="L1364" t="inlineStr">
        <is>
          <t>M. GRINGS E CIA LTDA ME / PGTO REF.LOCAÇÃO DE IMPRESSORAS</t>
        </is>
      </c>
      <c r="M1364" t="inlineStr">
        <is>
          <t>M. GRINGS E CIA LTDA ME</t>
        </is>
      </c>
    </row>
    <row r="1365">
      <c r="A1365" t="n">
        <v>1364</v>
      </c>
      <c r="B1365" t="inlineStr">
        <is>
          <t>03/07/2026</t>
        </is>
      </c>
      <c r="C1365" t="inlineStr">
        <is>
          <t>BOLETO PAGO PRUDENTIAL</t>
        </is>
      </c>
      <c r="D1365" s="7" t="n">
        <v>-623.26</v>
      </c>
      <c r="E1365" t="inlineStr">
        <is>
          <t>(novo)</t>
        </is>
      </c>
      <c r="F1365" t="inlineStr"/>
      <c r="G1365" s="2" t="inlineStr">
        <is>
          <t>362</t>
        </is>
      </c>
      <c r="H1365">
        <f>IFERROR(VLOOKUP(G1365&amp;"",PLANO!A:B,2,FALSE),"CONTA NAO EXISTE NO PLANO")</f>
        <v/>
      </c>
      <c r="I1365" t="inlineStr">
        <is>
          <t>362</t>
        </is>
      </c>
      <c r="J1365" t="inlineStr">
        <is>
          <t>OK</t>
        </is>
      </c>
      <c r="K1365" t="inlineStr"/>
      <c r="L1365" t="inlineStr">
        <is>
          <t>CARLOS ALEXANDRE MAZZONI / PGTO REF.PRO-LABORE</t>
        </is>
      </c>
      <c r="M1365" t="inlineStr">
        <is>
          <t>CARLOS ALEXANDRE MAZZONI</t>
        </is>
      </c>
    </row>
    <row r="1366">
      <c r="A1366" t="n">
        <v>1365</v>
      </c>
      <c r="B1366" t="inlineStr">
        <is>
          <t>03/07/2026</t>
        </is>
      </c>
      <c r="C1366" t="inlineStr">
        <is>
          <t>BOLETO PAGO EXPRESSO SAO</t>
        </is>
      </c>
      <c r="D1366" s="7" t="n">
        <v>-400.61</v>
      </c>
      <c r="E1366" t="inlineStr">
        <is>
          <t>(novo)</t>
        </is>
      </c>
      <c r="F1366" t="inlineStr"/>
      <c r="G1366" s="2" t="inlineStr">
        <is>
          <t>312</t>
        </is>
      </c>
      <c r="H1366">
        <f>IFERROR(VLOOKUP(G1366&amp;"",PLANO!A:B,2,FALSE),"CONTA NAO EXISTE NO PLANO")</f>
        <v/>
      </c>
      <c r="I1366" t="inlineStr">
        <is>
          <t>312</t>
        </is>
      </c>
      <c r="J1366" t="inlineStr">
        <is>
          <t>OK</t>
        </is>
      </c>
      <c r="K1366" t="inlineStr"/>
      <c r="L1366" t="inlineStr">
        <is>
          <t>EXPRESSO SAO MIGUEL LTDA / PAG REF A FRETE SOBRE VENDAS</t>
        </is>
      </c>
      <c r="M1366" t="inlineStr">
        <is>
          <t>EXPRESSO SAO MIGUEL LTDA</t>
        </is>
      </c>
    </row>
    <row r="1367">
      <c r="A1367" t="n">
        <v>1366</v>
      </c>
      <c r="B1367" t="inlineStr">
        <is>
          <t>03/07/2026</t>
        </is>
      </c>
      <c r="C1367" t="inlineStr">
        <is>
          <t>Mov Tít Cob Disp 03/07S</t>
        </is>
      </c>
      <c r="D1367" s="7" t="n">
        <v>3710.48</v>
      </c>
      <c r="E1367" t="inlineStr">
        <is>
          <t>(novo)</t>
        </is>
      </c>
      <c r="F1367" t="inlineStr"/>
      <c r="G1367" s="2" t="inlineStr">
        <is>
          <t>504</t>
        </is>
      </c>
      <c r="H1367">
        <f>IFERROR(VLOOKUP(G1367&amp;"",PLANO!A:B,2,FALSE),"CONTA NAO EXISTE NO PLANO")</f>
        <v/>
      </c>
      <c r="I1367" t="inlineStr">
        <is>
          <t>504</t>
        </is>
      </c>
      <c r="J1367" t="inlineStr">
        <is>
          <t>OK</t>
        </is>
      </c>
      <c r="K1367" t="inlineStr"/>
      <c r="L1367" t="inlineStr"/>
      <c r="M1367" t="inlineStr">
        <is>
          <t>MOV TÍT COB DISP 03/07S</t>
        </is>
      </c>
    </row>
    <row r="1368">
      <c r="A1368" t="n">
        <v>1367</v>
      </c>
      <c r="B1368" t="inlineStr">
        <is>
          <t>03/07/2026</t>
        </is>
      </c>
      <c r="C1368" t="inlineStr">
        <is>
          <t>Rend Pago Aplic Aut Mais</t>
        </is>
      </c>
      <c r="D1368" s="7" t="n">
        <v>0.01</v>
      </c>
      <c r="E1368" t="inlineStr">
        <is>
          <t>(novo)</t>
        </is>
      </c>
      <c r="F1368" t="inlineStr"/>
      <c r="G1368" s="2" t="inlineStr">
        <is>
          <t>432</t>
        </is>
      </c>
      <c r="H1368">
        <f>IFERROR(VLOOKUP(G1368&amp;"",PLANO!A:B,2,FALSE),"CONTA NAO EXISTE NO PLANO")</f>
        <v/>
      </c>
      <c r="I1368" t="inlineStr">
        <is>
          <t>432</t>
        </is>
      </c>
      <c r="J1368" t="inlineStr">
        <is>
          <t>OK</t>
        </is>
      </c>
      <c r="K1368" t="inlineStr"/>
      <c r="L1368" t="inlineStr"/>
      <c r="M1368" t="inlineStr">
        <is>
          <t>RENDIMENTO APLICACAO AUTOMATICA ITAU</t>
        </is>
      </c>
    </row>
    <row r="1369">
      <c r="A1369" t="n">
        <v>1368</v>
      </c>
      <c r="B1369" t="inlineStr">
        <is>
          <t>06/07/2026</t>
        </is>
      </c>
      <c r="C1369" t="inlineStr">
        <is>
          <t>Pgto Mín-ITAUCARD-2941</t>
        </is>
      </c>
      <c r="D1369" s="7" t="n">
        <v>-1119.88</v>
      </c>
      <c r="E1369" t="inlineStr">
        <is>
          <t>(novo)</t>
        </is>
      </c>
      <c r="F1369" t="inlineStr"/>
      <c r="G1369" s="2" t="inlineStr">
        <is>
          <t>357</t>
        </is>
      </c>
      <c r="H1369">
        <f>IFERROR(VLOOKUP(G1369&amp;"",PLANO!A:B,2,FALSE),"CONTA NAO EXISTE NO PLANO")</f>
        <v/>
      </c>
      <c r="I1369" t="inlineStr">
        <is>
          <t>357</t>
        </is>
      </c>
      <c r="J1369" t="inlineStr">
        <is>
          <t>OK</t>
        </is>
      </c>
      <c r="K1369" t="inlineStr"/>
      <c r="L1369" t="inlineStr">
        <is>
          <t>BANCO ITAU UNIBANCO / PGTO REF.UTILIZAÇÃO DE CARTÃO</t>
        </is>
      </c>
      <c r="M1369" t="inlineStr">
        <is>
          <t>BANCO ITAU UNIBANCO</t>
        </is>
      </c>
    </row>
    <row r="1370">
      <c r="A1370" s="4" t="n">
        <v>1369</v>
      </c>
      <c r="B1370" s="4" t="inlineStr">
        <is>
          <t>06/07/2026</t>
        </is>
      </c>
      <c r="C1370" s="4" t="inlineStr">
        <is>
          <t>PIX ENVIADO COSMETICON C</t>
        </is>
      </c>
      <c r="D1370" s="5" t="n">
        <v>-1000</v>
      </c>
      <c r="E1370" s="4" t="inlineStr">
        <is>
          <t>(novo)</t>
        </is>
      </c>
      <c r="F1370" s="4" t="inlineStr"/>
      <c r="G1370" s="6" t="inlineStr">
        <is>
          <t>663</t>
        </is>
      </c>
      <c r="H1370" s="4">
        <f>IFERROR(VLOOKUP(G1370&amp;"",PLANO!A:B,2,FALSE),"CONTA NAO EXISTE NO PLANO")</f>
        <v/>
      </c>
      <c r="I1370" s="4" t="inlineStr">
        <is>
          <t>663</t>
        </is>
      </c>
      <c r="J1370" s="4" t="inlineStr">
        <is>
          <t>AJUSTADO</t>
        </is>
      </c>
      <c r="K1370" s="4" t="inlineStr">
        <is>
          <t>COSMETICON - conta-corrente unica de mutuo (663)</t>
        </is>
      </c>
      <c r="L1370" s="4" t="inlineStr">
        <is>
          <t>OUTRAS SAIDAS / ------------------------------------------------------------</t>
        </is>
      </c>
      <c r="M1370" s="4" t="inlineStr">
        <is>
          <t>OUTRAS SAIDAS</t>
        </is>
      </c>
    </row>
    <row r="1371">
      <c r="A1371" s="11" t="n">
        <v>1370</v>
      </c>
      <c r="B1371" s="11" t="inlineStr">
        <is>
          <t>06/07/2026</t>
        </is>
      </c>
      <c r="C1371" s="11" t="inlineStr">
        <is>
          <t>BOLETO PAGO AKG ADM DE I</t>
        </is>
      </c>
      <c r="D1371" s="12" t="n">
        <v>-16878.58</v>
      </c>
      <c r="E1371" s="11" t="inlineStr">
        <is>
          <t>(novo)</t>
        </is>
      </c>
      <c r="F1371" s="11" t="inlineStr"/>
      <c r="G1371" s="13" t="inlineStr">
        <is>
          <t>320</t>
        </is>
      </c>
      <c r="H1371" s="11">
        <f>IFERROR(VLOOKUP(G1371&amp;"",PLANO!A:B,2,FALSE),"CONTA NAO EXISTE NO PLANO")</f>
        <v/>
      </c>
      <c r="I1371" s="11" t="inlineStr">
        <is>
          <t>320</t>
        </is>
      </c>
      <c r="J1371" s="11" t="inlineStr">
        <is>
          <t>MANTIDO</t>
        </is>
      </c>
      <c r="K1371" s="11" t="inlineStr">
        <is>
          <t>AKG ADMINISTRACAO E IMOVEIS - locacao Barracao 42</t>
        </is>
      </c>
      <c r="L1371" s="11" t="inlineStr">
        <is>
          <t>AKG ADMINISTRAÇÃO E IMÓVEIS LTDA / PGTO REF.LOCAÇÃO BARRACÃO 42</t>
        </is>
      </c>
      <c r="M1371" s="11" t="inlineStr">
        <is>
          <t>AKG ADMINISTRAÇÃO E IMÓVEIS LTDA</t>
        </is>
      </c>
    </row>
    <row r="1372">
      <c r="A1372" t="n">
        <v>1371</v>
      </c>
      <c r="B1372" t="inlineStr">
        <is>
          <t>06/07/2026</t>
        </is>
      </c>
      <c r="C1372" t="inlineStr">
        <is>
          <t>Sispag A F VOLCAO</t>
        </is>
      </c>
      <c r="D1372" s="7" t="n">
        <v>1326</v>
      </c>
      <c r="E1372" t="inlineStr">
        <is>
          <t>(novo)</t>
        </is>
      </c>
      <c r="F1372" t="inlineStr"/>
      <c r="G1372" s="2" t="inlineStr">
        <is>
          <t>504</t>
        </is>
      </c>
      <c r="H1372">
        <f>IFERROR(VLOOKUP(G1372&amp;"",PLANO!A:B,2,FALSE),"CONTA NAO EXISTE NO PLANO")</f>
        <v/>
      </c>
      <c r="I1372" t="inlineStr">
        <is>
          <t>504</t>
        </is>
      </c>
      <c r="J1372" t="inlineStr">
        <is>
          <t>OK</t>
        </is>
      </c>
      <c r="K1372" t="inlineStr"/>
      <c r="L1372" t="inlineStr"/>
      <c r="M1372" t="inlineStr">
        <is>
          <t>SISPAG A F VOLCAO</t>
        </is>
      </c>
    </row>
    <row r="1373">
      <c r="A1373" t="n">
        <v>1372</v>
      </c>
      <c r="B1373" t="inlineStr">
        <is>
          <t>06/07/2026</t>
        </is>
      </c>
      <c r="C1373" t="inlineStr">
        <is>
          <t>Sispag O.S. SECURITIZAD</t>
        </is>
      </c>
      <c r="D1373" s="7" t="n">
        <v>5931.9</v>
      </c>
      <c r="E1373" t="inlineStr">
        <is>
          <t>(novo)</t>
        </is>
      </c>
      <c r="F1373" t="inlineStr"/>
      <c r="G1373" s="2" t="inlineStr">
        <is>
          <t>504</t>
        </is>
      </c>
      <c r="H1373">
        <f>IFERROR(VLOOKUP(G1373&amp;"",PLANO!A:B,2,FALSE),"CONTA NAO EXISTE NO PLANO")</f>
        <v/>
      </c>
      <c r="I1373" t="inlineStr">
        <is>
          <t>504</t>
        </is>
      </c>
      <c r="J1373" t="inlineStr">
        <is>
          <t>OK</t>
        </is>
      </c>
      <c r="K1373" t="inlineStr"/>
      <c r="L1373" t="inlineStr"/>
      <c r="M1373" t="inlineStr">
        <is>
          <t>SISPAG O.S. SECURITIZAD</t>
        </is>
      </c>
    </row>
    <row r="1374">
      <c r="A1374" t="n">
        <v>1373</v>
      </c>
      <c r="B1374" t="inlineStr">
        <is>
          <t>06/07/2026</t>
        </is>
      </c>
      <c r="C1374" t="inlineStr">
        <is>
          <t>Mov Tít Cob Disp 06/07S</t>
        </is>
      </c>
      <c r="D1374" s="7" t="n">
        <v>2961.66</v>
      </c>
      <c r="E1374" t="inlineStr">
        <is>
          <t>(novo)</t>
        </is>
      </c>
      <c r="F1374" t="inlineStr"/>
      <c r="G1374" s="2" t="inlineStr">
        <is>
          <t>504</t>
        </is>
      </c>
      <c r="H1374">
        <f>IFERROR(VLOOKUP(G1374&amp;"",PLANO!A:B,2,FALSE),"CONTA NAO EXISTE NO PLANO")</f>
        <v/>
      </c>
      <c r="I1374" t="inlineStr">
        <is>
          <t>504</t>
        </is>
      </c>
      <c r="J1374" t="inlineStr">
        <is>
          <t>OK</t>
        </is>
      </c>
      <c r="K1374" t="inlineStr"/>
      <c r="L1374" t="inlineStr"/>
      <c r="M1374" t="inlineStr">
        <is>
          <t>MOV TÍT COB DISP 06/07S</t>
        </is>
      </c>
    </row>
    <row r="1375">
      <c r="A1375" t="n">
        <v>1374</v>
      </c>
      <c r="B1375" t="inlineStr">
        <is>
          <t>06/07/2026</t>
        </is>
      </c>
      <c r="C1375" t="inlineStr">
        <is>
          <t>JUROS LIMITE DA CONTA</t>
        </is>
      </c>
      <c r="D1375" s="7" t="n">
        <v>-357.02</v>
      </c>
      <c r="E1375" t="inlineStr">
        <is>
          <t>(novo)</t>
        </is>
      </c>
      <c r="F1375" t="inlineStr"/>
      <c r="G1375" s="2" t="inlineStr">
        <is>
          <t>375</t>
        </is>
      </c>
      <c r="H1375">
        <f>IFERROR(VLOOKUP(G1375&amp;"",PLANO!A:B,2,FALSE),"CONTA NAO EXISTE NO PLANO")</f>
        <v/>
      </c>
      <c r="I1375" t="inlineStr">
        <is>
          <t>375</t>
        </is>
      </c>
      <c r="J1375" t="inlineStr">
        <is>
          <t>OK</t>
        </is>
      </c>
      <c r="K1375" t="inlineStr"/>
      <c r="L1375" t="inlineStr">
        <is>
          <t>BANCO ITAU UNIBANCO / PGTO REF.UTILIZAÇÃO DE LIMITE</t>
        </is>
      </c>
      <c r="M1375" t="inlineStr">
        <is>
          <t>BANCO ITAU UNIBANCO</t>
        </is>
      </c>
    </row>
    <row r="1376">
      <c r="A1376" t="n">
        <v>1375</v>
      </c>
      <c r="B1376" t="inlineStr">
        <is>
          <t>06/07/2026</t>
        </is>
      </c>
      <c r="C1376" t="inlineStr">
        <is>
          <t>Rend Pago Aplic Aut Mais</t>
        </is>
      </c>
      <c r="D1376" s="7" t="n">
        <v>0.04</v>
      </c>
      <c r="E1376" t="inlineStr">
        <is>
          <t>(novo)</t>
        </is>
      </c>
      <c r="F1376" t="inlineStr"/>
      <c r="G1376" s="2" t="inlineStr">
        <is>
          <t>432</t>
        </is>
      </c>
      <c r="H1376">
        <f>IFERROR(VLOOKUP(G1376&amp;"",PLANO!A:B,2,FALSE),"CONTA NAO EXISTE NO PLANO")</f>
        <v/>
      </c>
      <c r="I1376" t="inlineStr">
        <is>
          <t>432</t>
        </is>
      </c>
      <c r="J1376" t="inlineStr">
        <is>
          <t>OK</t>
        </is>
      </c>
      <c r="K1376" t="inlineStr"/>
      <c r="L1376" t="inlineStr"/>
      <c r="M1376" t="inlineStr">
        <is>
          <t>RENDIMENTO APLICACAO AUTOMATICA ITAU</t>
        </is>
      </c>
    </row>
    <row r="1377">
      <c r="A1377" s="4" t="n">
        <v>1376</v>
      </c>
      <c r="B1377" s="4" t="inlineStr">
        <is>
          <t>07/07/2026</t>
        </is>
      </c>
      <c r="C1377" s="4" t="inlineStr">
        <is>
          <t>PIX ENVIADO GULA COSMETI</t>
        </is>
      </c>
      <c r="D1377" s="5" t="n">
        <v>-2200</v>
      </c>
      <c r="E1377" s="4" t="inlineStr">
        <is>
          <t>(novo)</t>
        </is>
      </c>
      <c r="F1377" s="4" t="inlineStr"/>
      <c r="G1377" s="6" t="inlineStr">
        <is>
          <t>366</t>
        </is>
      </c>
      <c r="H1377" s="4">
        <f>IFERROR(VLOOKUP(G1377&amp;"",PLANO!A:B,2,FALSE),"CONTA NAO EXISTE NO PLANO")</f>
        <v/>
      </c>
      <c r="I1377" s="4" t="inlineStr">
        <is>
          <t>672</t>
        </is>
      </c>
      <c r="J1377" s="4" t="inlineStr">
        <is>
          <t>AJUSTADO</t>
        </is>
      </c>
      <c r="K1377" s="4" t="inlineStr">
        <is>
          <t>GULA/FIQUE BEM (mesmo CNPJ, empresa do grupo) - mutuo em EMPRESTIMOS A TERCEIROS (366); nao e fornecedor</t>
        </is>
      </c>
      <c r="L1377" s="4" t="inlineStr">
        <is>
          <t>OUTRAS SAIDAS / ------------------------------------------------------------</t>
        </is>
      </c>
      <c r="M1377" s="4" t="inlineStr">
        <is>
          <t>OUTRAS SAIDAS</t>
        </is>
      </c>
    </row>
    <row r="1378">
      <c r="A1378" s="11" t="n">
        <v>1377</v>
      </c>
      <c r="B1378" s="11" t="inlineStr">
        <is>
          <t>07/07/2026</t>
        </is>
      </c>
      <c r="C1378" s="11" t="inlineStr">
        <is>
          <t>BOLETO PAGO ITAU UNIBANC</t>
        </is>
      </c>
      <c r="D1378" s="12" t="n">
        <v>-4172.5</v>
      </c>
      <c r="E1378" s="11" t="inlineStr">
        <is>
          <t>(novo)</t>
        </is>
      </c>
      <c r="F1378" s="11" t="inlineStr"/>
      <c r="G1378" s="13" t="inlineStr">
        <is>
          <t>357</t>
        </is>
      </c>
      <c r="H1378" s="11">
        <f>IFERROR(VLOOKUP(G1378&amp;"",PLANO!A:B,2,FALSE),"CONTA NAO EXISTE NO PLANO")</f>
        <v/>
      </c>
      <c r="I1378" s="11" t="inlineStr">
        <is>
          <t>357</t>
        </is>
      </c>
      <c r="J1378" s="11" t="inlineStr">
        <is>
          <t>MANTIDO</t>
        </is>
      </c>
      <c r="K1378" s="11" t="inlineStr">
        <is>
          <t>ERP: utilizacao de cartao de credito (razao jan-jun usou 364 uma vez)</t>
        </is>
      </c>
      <c r="L1378" s="11" t="inlineStr">
        <is>
          <t>BANCO ITAU UNIBANCO / PGTO REF.UTILIZAÇÃO DE CARTÃO DE CREDITO</t>
        </is>
      </c>
      <c r="M1378" s="11" t="inlineStr">
        <is>
          <t>BANCO ITAU UNIBANCO</t>
        </is>
      </c>
    </row>
    <row r="1379">
      <c r="A1379" t="n">
        <v>1378</v>
      </c>
      <c r="B1379" t="inlineStr">
        <is>
          <t>07/07/2026</t>
        </is>
      </c>
      <c r="C1379" t="inlineStr">
        <is>
          <t>BOLETO PAGO INSETCONTROL</t>
        </is>
      </c>
      <c r="D1379" s="7" t="n">
        <v>-730</v>
      </c>
      <c r="E1379" t="inlineStr">
        <is>
          <t>(novo)</t>
        </is>
      </c>
      <c r="F1379" t="inlineStr"/>
      <c r="G1379" s="2" t="inlineStr">
        <is>
          <t>506</t>
        </is>
      </c>
      <c r="H1379">
        <f>IFERROR(VLOOKUP(G1379&amp;"",PLANO!A:B,2,FALSE),"CONTA NAO EXISTE NO PLANO")</f>
        <v/>
      </c>
      <c r="I1379" t="inlineStr">
        <is>
          <t>506</t>
        </is>
      </c>
      <c r="J1379" t="inlineStr">
        <is>
          <t>OK</t>
        </is>
      </c>
      <c r="K1379" t="inlineStr"/>
      <c r="L1379" t="inlineStr">
        <is>
          <t>INSETCONTROL SERVICOS DE HIGIENE LTDA / PGTO REF.SERVIÇOS PRESTADOS CONF.CONTRATO</t>
        </is>
      </c>
      <c r="M1379" t="inlineStr">
        <is>
          <t>INSETCONTROL SERVICOS DE HIGIENE LTDA</t>
        </is>
      </c>
    </row>
    <row r="1380">
      <c r="A1380" s="11" t="n">
        <v>1379</v>
      </c>
      <c r="B1380" s="11" t="inlineStr">
        <is>
          <t>07/07/2026</t>
        </is>
      </c>
      <c r="C1380" s="11" t="inlineStr">
        <is>
          <t>Sispag STALL COMERCIO D</t>
        </is>
      </c>
      <c r="D1380" s="12" t="n">
        <v>2935</v>
      </c>
      <c r="E1380" s="11" t="inlineStr">
        <is>
          <t>(novo)</t>
        </is>
      </c>
      <c r="F1380" s="11" t="inlineStr"/>
      <c r="G1380" s="13" t="inlineStr">
        <is>
          <t>504</t>
        </is>
      </c>
      <c r="H1380" s="11">
        <f>IFERROR(VLOOKUP(G1380&amp;"",PLANO!A:B,2,FALSE),"CONTA NAO EXISTE NO PLANO")</f>
        <v/>
      </c>
      <c r="I1380" s="11" t="inlineStr">
        <is>
          <t>504</t>
        </is>
      </c>
      <c r="J1380" s="11" t="inlineStr">
        <is>
          <t>MANTIDO</t>
        </is>
      </c>
      <c r="K1380" s="11" t="inlineStr">
        <is>
          <t>credito sem referencia - tratado como recebimento de cliente (504)</t>
        </is>
      </c>
      <c r="L1380" s="11" t="inlineStr"/>
      <c r="M1380" s="11" t="inlineStr">
        <is>
          <t>SISPAG STALL COMERCIO D</t>
        </is>
      </c>
    </row>
    <row r="1381">
      <c r="A1381" t="n">
        <v>1380</v>
      </c>
      <c r="B1381" t="inlineStr">
        <is>
          <t>07/07/2026</t>
        </is>
      </c>
      <c r="C1381" t="inlineStr">
        <is>
          <t>Mov Tít Cob Disp 07/07S</t>
        </is>
      </c>
      <c r="D1381" s="7" t="n">
        <v>1207.9</v>
      </c>
      <c r="E1381" t="inlineStr">
        <is>
          <t>(novo)</t>
        </is>
      </c>
      <c r="F1381" t="inlineStr"/>
      <c r="G1381" s="2" t="inlineStr">
        <is>
          <t>504</t>
        </is>
      </c>
      <c r="H1381">
        <f>IFERROR(VLOOKUP(G1381&amp;"",PLANO!A:B,2,FALSE),"CONTA NAO EXISTE NO PLANO")</f>
        <v/>
      </c>
      <c r="I1381" t="inlineStr">
        <is>
          <t>504</t>
        </is>
      </c>
      <c r="J1381" t="inlineStr">
        <is>
          <t>OK</t>
        </is>
      </c>
      <c r="K1381" t="inlineStr"/>
      <c r="L1381" t="inlineStr"/>
      <c r="M1381" t="inlineStr">
        <is>
          <t>MOV TÍT COB DISP 07/07S</t>
        </is>
      </c>
    </row>
    <row r="1382">
      <c r="A1382" t="n">
        <v>1381</v>
      </c>
      <c r="B1382" t="inlineStr">
        <is>
          <t>07/07/2026</t>
        </is>
      </c>
      <c r="C1382" t="inlineStr">
        <is>
          <t>PIX TRANSF Valdire07/07</t>
        </is>
      </c>
      <c r="D1382" s="7" t="n">
        <v>75.90000000000001</v>
      </c>
      <c r="E1382" t="inlineStr">
        <is>
          <t>(novo)</t>
        </is>
      </c>
      <c r="F1382" t="inlineStr"/>
      <c r="G1382" s="2" t="inlineStr">
        <is>
          <t>504</t>
        </is>
      </c>
      <c r="H1382">
        <f>IFERROR(VLOOKUP(G1382&amp;"",PLANO!A:B,2,FALSE),"CONTA NAO EXISTE NO PLANO")</f>
        <v/>
      </c>
      <c r="I1382" t="inlineStr">
        <is>
          <t>504</t>
        </is>
      </c>
      <c r="J1382" t="inlineStr">
        <is>
          <t>OK</t>
        </is>
      </c>
      <c r="K1382" t="inlineStr"/>
      <c r="L1382" t="inlineStr"/>
      <c r="M1382" t="inlineStr">
        <is>
          <t>PIX TRANSF VALDIRE07/07</t>
        </is>
      </c>
    </row>
    <row r="1383">
      <c r="A1383" s="11" t="n">
        <v>1382</v>
      </c>
      <c r="B1383" s="11" t="inlineStr">
        <is>
          <t>08/07/2026</t>
        </is>
      </c>
      <c r="C1383" s="11" t="inlineStr">
        <is>
          <t>PIX ENVIADO ECOLOGICA DE</t>
        </is>
      </c>
      <c r="D1383" s="12" t="n">
        <v>-1250</v>
      </c>
      <c r="E1383" s="11" t="inlineStr">
        <is>
          <t>(novo)</t>
        </is>
      </c>
      <c r="F1383" s="11" t="inlineStr"/>
      <c r="G1383" s="13" t="inlineStr">
        <is>
          <t>506</t>
        </is>
      </c>
      <c r="H1383" s="11">
        <f>IFERROR(VLOOKUP(G1383&amp;"",PLANO!A:B,2,FALSE),"CONTA NAO EXISTE NO PLANO")</f>
        <v/>
      </c>
      <c r="I1383" s="11" t="inlineStr">
        <is>
          <t>506</t>
        </is>
      </c>
      <c r="J1383" s="11" t="inlineStr">
        <is>
          <t>MANTIDO</t>
        </is>
      </c>
      <c r="K1383" s="11" t="inlineStr">
        <is>
          <t>pagamento sem referencia - tratado como fornecedor (506)</t>
        </is>
      </c>
      <c r="L1383" s="11" t="inlineStr"/>
      <c r="M1383" s="11" t="inlineStr">
        <is>
          <t>PIX ENVIADO ECOLOGICA DE</t>
        </is>
      </c>
    </row>
    <row r="1384">
      <c r="A1384" t="n">
        <v>1383</v>
      </c>
      <c r="B1384" t="inlineStr">
        <is>
          <t>08/07/2026</t>
        </is>
      </c>
      <c r="C1384" t="inlineStr">
        <is>
          <t>PIX ENVIADO ANDRADE ENGE</t>
        </is>
      </c>
      <c r="D1384" s="7" t="n">
        <v>-1124.56</v>
      </c>
      <c r="E1384" t="inlineStr">
        <is>
          <t>(novo)</t>
        </is>
      </c>
      <c r="F1384" t="inlineStr"/>
      <c r="G1384" s="2" t="inlineStr">
        <is>
          <t>362</t>
        </is>
      </c>
      <c r="H1384">
        <f>IFERROR(VLOOKUP(G1384&amp;"",PLANO!A:B,2,FALSE),"CONTA NAO EXISTE NO PLANO")</f>
        <v/>
      </c>
      <c r="I1384" t="inlineStr">
        <is>
          <t>362</t>
        </is>
      </c>
      <c r="J1384" t="inlineStr">
        <is>
          <t>OK</t>
        </is>
      </c>
      <c r="K1384" t="inlineStr"/>
      <c r="L1384" t="inlineStr">
        <is>
          <t>ANDRADE ENGENHARIA LTDA. / PGTO REF.PRESTAÇÃO DE SERVIÇOS DE LICENÇAS</t>
        </is>
      </c>
      <c r="M1384" t="inlineStr">
        <is>
          <t>ANDRADE ENGENHARIA LTDA.</t>
        </is>
      </c>
    </row>
    <row r="1385">
      <c r="A1385" t="n">
        <v>1384</v>
      </c>
      <c r="B1385" t="inlineStr">
        <is>
          <t>08/07/2026</t>
        </is>
      </c>
      <c r="C1385" t="inlineStr">
        <is>
          <t>BOLETO PAGO JOVII COSM.</t>
        </is>
      </c>
      <c r="D1385" s="7" t="n">
        <v>-2482.91</v>
      </c>
      <c r="E1385" t="inlineStr">
        <is>
          <t>(novo)</t>
        </is>
      </c>
      <c r="F1385" t="inlineStr"/>
      <c r="G1385" s="2" t="inlineStr">
        <is>
          <t>506</t>
        </is>
      </c>
      <c r="H1385">
        <f>IFERROR(VLOOKUP(G1385&amp;"",PLANO!A:B,2,FALSE),"CONTA NAO EXISTE NO PLANO")</f>
        <v/>
      </c>
      <c r="I1385" t="inlineStr">
        <is>
          <t>506</t>
        </is>
      </c>
      <c r="J1385" t="inlineStr">
        <is>
          <t>OK</t>
        </is>
      </c>
      <c r="K1385" t="inlineStr"/>
      <c r="L1385" t="inlineStr">
        <is>
          <t>JOVII COSMECEUTICA LTDA / PAGAMENTO REFERENTE A COMPRA DE MATERIA PRIMA,LUNA</t>
        </is>
      </c>
      <c r="M1385" t="inlineStr">
        <is>
          <t>JOVII COSMECEUTICA LTDA</t>
        </is>
      </c>
    </row>
    <row r="1386">
      <c r="A1386" t="n">
        <v>1385</v>
      </c>
      <c r="B1386" t="inlineStr">
        <is>
          <t>08/07/2026</t>
        </is>
      </c>
      <c r="C1386" t="inlineStr">
        <is>
          <t>Mov Tít Cob Disp 08/07S</t>
        </is>
      </c>
      <c r="D1386" s="7" t="n">
        <v>3968.79</v>
      </c>
      <c r="E1386" t="inlineStr">
        <is>
          <t>(novo)</t>
        </is>
      </c>
      <c r="F1386" t="inlineStr"/>
      <c r="G1386" s="2" t="inlineStr">
        <is>
          <t>504</t>
        </is>
      </c>
      <c r="H1386">
        <f>IFERROR(VLOOKUP(G1386&amp;"",PLANO!A:B,2,FALSE),"CONTA NAO EXISTE NO PLANO")</f>
        <v/>
      </c>
      <c r="I1386" t="inlineStr">
        <is>
          <t>504</t>
        </is>
      </c>
      <c r="J1386" t="inlineStr">
        <is>
          <t>OK</t>
        </is>
      </c>
      <c r="K1386" t="inlineStr"/>
      <c r="L1386" t="inlineStr"/>
      <c r="M1386" t="inlineStr">
        <is>
          <t>MOV TÍT COB DISP 08/07S</t>
        </is>
      </c>
    </row>
    <row r="1387">
      <c r="A1387" t="n">
        <v>1386</v>
      </c>
      <c r="B1387" t="inlineStr">
        <is>
          <t>08/07/2026</t>
        </is>
      </c>
      <c r="C1387" t="inlineStr">
        <is>
          <t>Rede MAST AT0081996543</t>
        </is>
      </c>
      <c r="D1387" s="7" t="n">
        <v>6009.14</v>
      </c>
      <c r="E1387" t="inlineStr">
        <is>
          <t>(novo)</t>
        </is>
      </c>
      <c r="F1387" t="inlineStr"/>
      <c r="G1387" s="2" t="inlineStr">
        <is>
          <t>504</t>
        </is>
      </c>
      <c r="H1387">
        <f>IFERROR(VLOOKUP(G1387&amp;"",PLANO!A:B,2,FALSE),"CONTA NAO EXISTE NO PLANO")</f>
        <v/>
      </c>
      <c r="I1387" t="inlineStr">
        <is>
          <t>504</t>
        </is>
      </c>
      <c r="J1387" t="inlineStr">
        <is>
          <t>OK</t>
        </is>
      </c>
      <c r="K1387" t="inlineStr"/>
      <c r="L1387" t="inlineStr"/>
      <c r="M1387" t="inlineStr">
        <is>
          <t>REDE MAST AT0081996543</t>
        </is>
      </c>
    </row>
    <row r="1388">
      <c r="A1388" t="n">
        <v>1387</v>
      </c>
      <c r="B1388" t="inlineStr">
        <is>
          <t>08/07/2026</t>
        </is>
      </c>
      <c r="C1388" t="inlineStr">
        <is>
          <t>Rede VISA AT0081996543</t>
        </is>
      </c>
      <c r="D1388" s="7" t="n">
        <v>2703.19</v>
      </c>
      <c r="E1388" t="inlineStr">
        <is>
          <t>(novo)</t>
        </is>
      </c>
      <c r="F1388" t="inlineStr"/>
      <c r="G1388" s="2" t="inlineStr">
        <is>
          <t>504</t>
        </is>
      </c>
      <c r="H1388">
        <f>IFERROR(VLOOKUP(G1388&amp;"",PLANO!A:B,2,FALSE),"CONTA NAO EXISTE NO PLANO")</f>
        <v/>
      </c>
      <c r="I1388" t="inlineStr">
        <is>
          <t>504</t>
        </is>
      </c>
      <c r="J1388" t="inlineStr">
        <is>
          <t>OK</t>
        </is>
      </c>
      <c r="K1388" t="inlineStr"/>
      <c r="L1388" t="inlineStr"/>
      <c r="M1388" t="inlineStr">
        <is>
          <t>REDE VISA AT0081996543</t>
        </is>
      </c>
    </row>
    <row r="1389">
      <c r="A1389" t="n">
        <v>1388</v>
      </c>
      <c r="B1389" t="inlineStr">
        <is>
          <t>09/07/2026</t>
        </is>
      </c>
      <c r="C1389" t="inlineStr">
        <is>
          <t>Sispag PIX QR-CODE</t>
        </is>
      </c>
      <c r="D1389" s="7" t="n">
        <v>-199.99</v>
      </c>
      <c r="E1389" t="inlineStr">
        <is>
          <t>(novo)</t>
        </is>
      </c>
      <c r="F1389" t="inlineStr"/>
      <c r="G1389" s="2" t="inlineStr">
        <is>
          <t>555</t>
        </is>
      </c>
      <c r="H1389">
        <f>IFERROR(VLOOKUP(G1389&amp;"",PLANO!A:B,2,FALSE),"CONTA NAO EXISTE NO PLANO")</f>
        <v/>
      </c>
      <c r="I1389" t="inlineStr">
        <is>
          <t>555</t>
        </is>
      </c>
      <c r="J1389" t="inlineStr">
        <is>
          <t>OK</t>
        </is>
      </c>
      <c r="K1389" t="inlineStr"/>
      <c r="L1389" t="inlineStr">
        <is>
          <t>LOVIZ ENTRETENIMENTO E TELECOMUNICACOES LTDA / PGTO REF.INTERNET 10 GIGA</t>
        </is>
      </c>
      <c r="M1389" t="inlineStr">
        <is>
          <t>LOVIZ ENTRETENIMENTO E TELECOMUNICACOES LTDA</t>
        </is>
      </c>
    </row>
    <row r="1390">
      <c r="A1390" t="n">
        <v>1389</v>
      </c>
      <c r="B1390" t="inlineStr">
        <is>
          <t>09/07/2026</t>
        </is>
      </c>
      <c r="C1390" t="inlineStr">
        <is>
          <t>PIX ENVIADO SUZAN CRISTI</t>
        </is>
      </c>
      <c r="D1390" s="7" t="n">
        <v>-3000</v>
      </c>
      <c r="E1390" t="inlineStr">
        <is>
          <t>(novo)</t>
        </is>
      </c>
      <c r="F1390" t="inlineStr"/>
      <c r="G1390" s="2" t="inlineStr">
        <is>
          <t>362</t>
        </is>
      </c>
      <c r="H1390">
        <f>IFERROR(VLOOKUP(G1390&amp;"",PLANO!A:B,2,FALSE),"CONTA NAO EXISTE NO PLANO")</f>
        <v/>
      </c>
      <c r="I1390" t="inlineStr">
        <is>
          <t>362</t>
        </is>
      </c>
      <c r="J1390" t="inlineStr">
        <is>
          <t>OK</t>
        </is>
      </c>
      <c r="K1390" t="inlineStr"/>
      <c r="L1390" t="inlineStr">
        <is>
          <t>SUZAN CRISTINA ROSSI / PGTO REF.SERVIÇOS PRESTADOS CONF.CONTRATO</t>
        </is>
      </c>
      <c r="M1390" t="inlineStr">
        <is>
          <t>SUZAN CRISTINA ROSSI</t>
        </is>
      </c>
    </row>
    <row r="1391">
      <c r="A1391" s="4" t="n">
        <v>1390</v>
      </c>
      <c r="B1391" s="4" t="inlineStr">
        <is>
          <t>09/07/2026</t>
        </is>
      </c>
      <c r="C1391" s="4" t="inlineStr">
        <is>
          <t>PIX ENVIADO RICARDO RICC</t>
        </is>
      </c>
      <c r="D1391" s="5" t="n">
        <v>-2000</v>
      </c>
      <c r="E1391" s="4" t="inlineStr">
        <is>
          <t>(novo)</t>
        </is>
      </c>
      <c r="F1391" s="4" t="inlineStr"/>
      <c r="G1391" s="6" t="inlineStr">
        <is>
          <t>308</t>
        </is>
      </c>
      <c r="H1391" s="4">
        <f>IFERROR(VLOOKUP(G1391&amp;"",PLANO!A:B,2,FALSE),"CONTA NAO EXISTE NO PLANO")</f>
        <v/>
      </c>
      <c r="I1391" s="4" t="inlineStr">
        <is>
          <t>506</t>
        </is>
      </c>
      <c r="J1391" s="4" t="inlineStr">
        <is>
          <t>AJUSTADO</t>
        </is>
      </c>
      <c r="K1391" s="4" t="inlineStr">
        <is>
          <t>comissao sobre vendas -&gt; 308</t>
        </is>
      </c>
      <c r="L1391" s="4" t="inlineStr">
        <is>
          <t>RICARDO RICCI / PGTO REF.COMISSÃO S/VENDAS</t>
        </is>
      </c>
      <c r="M1391" s="4" t="inlineStr">
        <is>
          <t>RICARDO RICCI</t>
        </is>
      </c>
    </row>
    <row r="1392">
      <c r="A1392" t="n">
        <v>1391</v>
      </c>
      <c r="B1392" t="inlineStr">
        <is>
          <t>09/07/2026</t>
        </is>
      </c>
      <c r="C1392" t="inlineStr">
        <is>
          <t>PIX ENVIADO CLAUDIA APAR</t>
        </is>
      </c>
      <c r="D1392" s="7" t="n">
        <v>-2000</v>
      </c>
      <c r="E1392" t="inlineStr">
        <is>
          <t>(novo)</t>
        </is>
      </c>
      <c r="F1392" t="inlineStr"/>
      <c r="G1392" s="2" t="inlineStr">
        <is>
          <t>362</t>
        </is>
      </c>
      <c r="H1392">
        <f>IFERROR(VLOOKUP(G1392&amp;"",PLANO!A:B,2,FALSE),"CONTA NAO EXISTE NO PLANO")</f>
        <v/>
      </c>
      <c r="I1392" t="inlineStr">
        <is>
          <t>362</t>
        </is>
      </c>
      <c r="J1392" t="inlineStr">
        <is>
          <t>OK</t>
        </is>
      </c>
      <c r="K1392" t="inlineStr"/>
      <c r="L1392" t="inlineStr">
        <is>
          <t>CLAUDIA APARECIDA RUBIN / PGTO REF.SERVIÇOS PRESTADOS CONF.CONTRATO</t>
        </is>
      </c>
      <c r="M1392" t="inlineStr">
        <is>
          <t>CLAUDIA APARECIDA RUBIN</t>
        </is>
      </c>
    </row>
    <row r="1393">
      <c r="A1393" t="n">
        <v>1392</v>
      </c>
      <c r="B1393" t="inlineStr">
        <is>
          <t>09/07/2026</t>
        </is>
      </c>
      <c r="C1393" t="inlineStr">
        <is>
          <t>PIX ENVIADO L ESSENCE IN</t>
        </is>
      </c>
      <c r="D1393" s="7" t="n">
        <v>-1618.94</v>
      </c>
      <c r="E1393" t="inlineStr">
        <is>
          <t>(novo)</t>
        </is>
      </c>
      <c r="F1393" t="inlineStr"/>
      <c r="G1393" s="2" t="inlineStr">
        <is>
          <t>506</t>
        </is>
      </c>
      <c r="H1393">
        <f>IFERROR(VLOOKUP(G1393&amp;"",PLANO!A:B,2,FALSE),"CONTA NAO EXISTE NO PLANO")</f>
        <v/>
      </c>
      <c r="I1393" t="inlineStr">
        <is>
          <t>506</t>
        </is>
      </c>
      <c r="J1393" t="inlineStr">
        <is>
          <t>OK</t>
        </is>
      </c>
      <c r="K1393" t="inlineStr"/>
      <c r="L1393" t="inlineStr">
        <is>
          <t>L ESSENCE INDUSTRIA E COMERCIO LTDA EM RECUPERACAO JUDICIAL / PAGAMENTO REFERENTE A COMPRA DE FRAGRANCIA</t>
        </is>
      </c>
      <c r="M1393" t="inlineStr">
        <is>
          <t>L ESSENCE INDUSTRIA E COMERCIO LTDA EM RECUPERACAO JUDICIAL</t>
        </is>
      </c>
    </row>
    <row r="1394">
      <c r="A1394" t="n">
        <v>1393</v>
      </c>
      <c r="B1394" t="inlineStr">
        <is>
          <t>09/07/2026</t>
        </is>
      </c>
      <c r="C1394" t="inlineStr">
        <is>
          <t>PIX ENVIADO JFC - CONSUL</t>
        </is>
      </c>
      <c r="D1394" s="7" t="n">
        <v>-2000</v>
      </c>
      <c r="E1394" t="inlineStr">
        <is>
          <t>(novo)</t>
        </is>
      </c>
      <c r="F1394" t="inlineStr"/>
      <c r="G1394" s="2" t="inlineStr">
        <is>
          <t>506</t>
        </is>
      </c>
      <c r="H1394">
        <f>IFERROR(VLOOKUP(G1394&amp;"",PLANO!A:B,2,FALSE),"CONTA NAO EXISTE NO PLANO")</f>
        <v/>
      </c>
      <c r="I1394" t="inlineStr">
        <is>
          <t>506</t>
        </is>
      </c>
      <c r="J1394" t="inlineStr">
        <is>
          <t>OK</t>
        </is>
      </c>
      <c r="K1394" t="inlineStr"/>
      <c r="L1394" t="inlineStr">
        <is>
          <t>JFC - CONSULTORIA, GESTAO E REPRESENTACAO COMERCIAL LTDA / PGTO REF.SERVIÇOS PRESTADOS CONF.CONTRATO</t>
        </is>
      </c>
      <c r="M1394" t="inlineStr">
        <is>
          <t>JFC - CONSULTORIA, GESTAO E REPRESENTACAO COMERCIAL LTDA</t>
        </is>
      </c>
    </row>
    <row r="1395">
      <c r="A1395" s="4" t="n">
        <v>1394</v>
      </c>
      <c r="B1395" s="4" t="inlineStr">
        <is>
          <t>09/07/2026</t>
        </is>
      </c>
      <c r="C1395" s="4" t="inlineStr">
        <is>
          <t>PIX ENVIADO ANTONIA PIRE</t>
        </is>
      </c>
      <c r="D1395" s="5" t="n">
        <v>-4000</v>
      </c>
      <c r="E1395" s="4" t="inlineStr">
        <is>
          <t>(novo)</t>
        </is>
      </c>
      <c r="F1395" s="4" t="inlineStr"/>
      <c r="G1395" s="6" t="inlineStr">
        <is>
          <t>362</t>
        </is>
      </c>
      <c r="H1395" s="4">
        <f>IFERROR(VLOOKUP(G1395&amp;"",PLANO!A:B,2,FALSE),"CONTA NAO EXISTE NO PLANO")</f>
        <v/>
      </c>
      <c r="I1395" s="4" t="inlineStr">
        <is>
          <t>506</t>
        </is>
      </c>
      <c r="J1395" s="4" t="inlineStr">
        <is>
          <t>AJUSTADO</t>
        </is>
      </c>
      <c r="K1395" s="4" t="inlineStr">
        <is>
          <t>pessoa fisica - servicos</t>
        </is>
      </c>
      <c r="L1395" s="4" t="inlineStr"/>
      <c r="M1395" s="4" t="inlineStr">
        <is>
          <t>PIX ENVIADO ANTONIA PIRE</t>
        </is>
      </c>
    </row>
    <row r="1396">
      <c r="A1396" t="n">
        <v>1395</v>
      </c>
      <c r="B1396" t="inlineStr">
        <is>
          <t>09/07/2026</t>
        </is>
      </c>
      <c r="C1396" t="inlineStr">
        <is>
          <t>PIX ENVIADO ISAIAS PREST</t>
        </is>
      </c>
      <c r="D1396" s="7" t="n">
        <v>-1000</v>
      </c>
      <c r="E1396" t="inlineStr">
        <is>
          <t>(novo)</t>
        </is>
      </c>
      <c r="F1396" t="inlineStr"/>
      <c r="G1396" s="2" t="inlineStr">
        <is>
          <t>506</t>
        </is>
      </c>
      <c r="H1396">
        <f>IFERROR(VLOOKUP(G1396&amp;"",PLANO!A:B,2,FALSE),"CONTA NAO EXISTE NO PLANO")</f>
        <v/>
      </c>
      <c r="I1396" t="inlineStr">
        <is>
          <t>506</t>
        </is>
      </c>
      <c r="J1396" t="inlineStr">
        <is>
          <t>OK</t>
        </is>
      </c>
      <c r="K1396" t="inlineStr"/>
      <c r="L1396" t="inlineStr"/>
      <c r="M1396" t="inlineStr">
        <is>
          <t>PIX ENVIADO ISAIAS PREST</t>
        </is>
      </c>
    </row>
    <row r="1397">
      <c r="A1397" t="n">
        <v>1396</v>
      </c>
      <c r="B1397" t="inlineStr">
        <is>
          <t>09/07/2026</t>
        </is>
      </c>
      <c r="C1397" t="inlineStr">
        <is>
          <t>PIX ENVIADO MARCIO ANTON</t>
        </is>
      </c>
      <c r="D1397" s="7" t="n">
        <v>-3000</v>
      </c>
      <c r="E1397" t="inlineStr">
        <is>
          <t>(novo)</t>
        </is>
      </c>
      <c r="F1397" t="inlineStr"/>
      <c r="G1397" s="2" t="inlineStr">
        <is>
          <t>506</t>
        </is>
      </c>
      <c r="H1397">
        <f>IFERROR(VLOOKUP(G1397&amp;"",PLANO!A:B,2,FALSE),"CONTA NAO EXISTE NO PLANO")</f>
        <v/>
      </c>
      <c r="I1397" t="inlineStr">
        <is>
          <t>506</t>
        </is>
      </c>
      <c r="J1397" t="inlineStr">
        <is>
          <t>OK</t>
        </is>
      </c>
      <c r="K1397" t="inlineStr"/>
      <c r="L1397" t="inlineStr">
        <is>
          <t>MARCIO ANTONIO RUSSO 64538427934 / PGTO REF.SERVIÇOS PRESTADOS CONF.CONTRATO</t>
        </is>
      </c>
      <c r="M1397" t="inlineStr">
        <is>
          <t>MARCIO ANTONIO RUSSO 64538427934</t>
        </is>
      </c>
    </row>
    <row r="1398">
      <c r="A1398" t="n">
        <v>1397</v>
      </c>
      <c r="B1398" t="inlineStr">
        <is>
          <t>09/07/2026</t>
        </is>
      </c>
      <c r="C1398" t="inlineStr">
        <is>
          <t>PIX ENVIADO BRUNA RAMOS</t>
        </is>
      </c>
      <c r="D1398" s="7" t="n">
        <v>-1000</v>
      </c>
      <c r="E1398" t="inlineStr">
        <is>
          <t>(novo)</t>
        </is>
      </c>
      <c r="F1398" t="inlineStr"/>
      <c r="G1398" s="2" t="inlineStr">
        <is>
          <t>506</t>
        </is>
      </c>
      <c r="H1398">
        <f>IFERROR(VLOOKUP(G1398&amp;"",PLANO!A:B,2,FALSE),"CONTA NAO EXISTE NO PLANO")</f>
        <v/>
      </c>
      <c r="I1398" t="inlineStr">
        <is>
          <t>506</t>
        </is>
      </c>
      <c r="J1398" t="inlineStr">
        <is>
          <t>OK</t>
        </is>
      </c>
      <c r="K1398" t="inlineStr"/>
      <c r="L1398" t="inlineStr">
        <is>
          <t>BRUNA RAMOS LEOPOLDO DA SILVA / PGTO REF.SERVIÇOS PRESTADOS DEPARTAMENTO JURÍDICO</t>
        </is>
      </c>
      <c r="M1398" t="inlineStr">
        <is>
          <t>BRUNA RAMOS LEOPOLDO DA SILVA</t>
        </is>
      </c>
    </row>
    <row r="1399">
      <c r="A1399" t="n">
        <v>1398</v>
      </c>
      <c r="B1399" t="inlineStr">
        <is>
          <t>09/07/2026</t>
        </is>
      </c>
      <c r="C1399" t="inlineStr">
        <is>
          <t>PIX ENVIADO PROTECTION A</t>
        </is>
      </c>
      <c r="D1399" s="7" t="n">
        <v>-2000</v>
      </c>
      <c r="E1399" t="inlineStr">
        <is>
          <t>(novo)</t>
        </is>
      </c>
      <c r="F1399" t="inlineStr"/>
      <c r="G1399" s="2" t="inlineStr">
        <is>
          <t>361</t>
        </is>
      </c>
      <c r="H1399">
        <f>IFERROR(VLOOKUP(G1399&amp;"",PLANO!A:B,2,FALSE),"CONTA NAO EXISTE NO PLANO")</f>
        <v/>
      </c>
      <c r="I1399" t="inlineStr">
        <is>
          <t>361</t>
        </is>
      </c>
      <c r="J1399" t="inlineStr">
        <is>
          <t>OK</t>
        </is>
      </c>
      <c r="K1399" t="inlineStr"/>
      <c r="L1399" t="inlineStr">
        <is>
          <t>PROTECTION ASSESSORIA EMPRESARIAL LTDA / PGTO REF.SERVIÇOS PRESTADOS DE CONTABILIDADE DAS</t>
        </is>
      </c>
      <c r="M1399" t="inlineStr">
        <is>
          <t>PROTECTION ASSESSORIA EMPRESARIAL LTDA</t>
        </is>
      </c>
    </row>
    <row r="1400">
      <c r="A1400" t="n">
        <v>1399</v>
      </c>
      <c r="B1400" t="inlineStr">
        <is>
          <t>09/07/2026</t>
        </is>
      </c>
      <c r="C1400" t="inlineStr">
        <is>
          <t>BOLETO PAGO PLUS SANTE E</t>
        </is>
      </c>
      <c r="D1400" s="7" t="n">
        <v>-342.3</v>
      </c>
      <c r="E1400" t="inlineStr">
        <is>
          <t>(novo)</t>
        </is>
      </c>
      <c r="F1400" t="inlineStr"/>
      <c r="G1400" s="2" t="inlineStr">
        <is>
          <t>653</t>
        </is>
      </c>
      <c r="H1400">
        <f>IFERROR(VLOOKUP(G1400&amp;"",PLANO!A:B,2,FALSE),"CONTA NAO EXISTE NO PLANO")</f>
        <v/>
      </c>
      <c r="I1400" t="inlineStr">
        <is>
          <t>653</t>
        </is>
      </c>
      <c r="J1400" t="inlineStr">
        <is>
          <t>OK</t>
        </is>
      </c>
      <c r="K1400" t="inlineStr"/>
      <c r="L1400" t="inlineStr">
        <is>
          <t>PLUS SANTE / PGTO REF.SERVIÇOS PRESTADOS DE ATENDIMENTO E</t>
        </is>
      </c>
      <c r="M1400" t="inlineStr">
        <is>
          <t>PLUS SANTE</t>
        </is>
      </c>
    </row>
    <row r="1401">
      <c r="A1401" s="14" t="n">
        <v>1400</v>
      </c>
      <c r="B1401" s="14" t="inlineStr">
        <is>
          <t>09/07/2026</t>
        </is>
      </c>
      <c r="C1401" s="14" t="inlineStr">
        <is>
          <t>BOLETO PAGO URBANO SA SO</t>
        </is>
      </c>
      <c r="D1401" s="15" t="n">
        <v>-328.67</v>
      </c>
      <c r="E1401" s="14" t="inlineStr">
        <is>
          <t>(novo)</t>
        </is>
      </c>
      <c r="F1401" s="14" t="inlineStr"/>
      <c r="G1401" s="16" t="inlineStr">
        <is>
          <t>312</t>
        </is>
      </c>
      <c r="H1401" s="14">
        <f>IFERROR(VLOOKUP(G1401&amp;"",PLANO!A:B,2,FALSE),"CONTA NAO EXISTE NO PLANO")</f>
        <v/>
      </c>
      <c r="I1401" s="14" t="inlineStr">
        <is>
          <t>312</t>
        </is>
      </c>
      <c r="J1401" s="14" t="inlineStr">
        <is>
          <t>CORRIGIDO</t>
        </is>
      </c>
      <c r="K1401" s="14" t="inlineStr">
        <is>
          <t>retificado 350-&gt;312: Braspress via Urbano = frete s/ vendas (Cosmos)</t>
        </is>
      </c>
      <c r="L1401" s="14" t="inlineStr">
        <is>
          <t>BRASPRESS TRANSPORTES URGENTES LTDA / PAG REF A FRETE SOBRE VENDAS NF 8581</t>
        </is>
      </c>
      <c r="M1401" s="14" t="inlineStr">
        <is>
          <t>BRASPRESS TRANSPORTES URGENTES LTDA</t>
        </is>
      </c>
    </row>
    <row r="1402">
      <c r="A1402" t="n">
        <v>1401</v>
      </c>
      <c r="B1402" t="inlineStr">
        <is>
          <t>09/07/2026</t>
        </is>
      </c>
      <c r="C1402" t="inlineStr">
        <is>
          <t>BOLETO PAGO SINDICATO DA</t>
        </is>
      </c>
      <c r="D1402" s="7" t="n">
        <v>-358.58</v>
      </c>
      <c r="E1402" t="inlineStr">
        <is>
          <t>(novo)</t>
        </is>
      </c>
      <c r="F1402" t="inlineStr"/>
      <c r="G1402" s="2" t="inlineStr">
        <is>
          <t>350</t>
        </is>
      </c>
      <c r="H1402">
        <f>IFERROR(VLOOKUP(G1402&amp;"",PLANO!A:B,2,FALSE),"CONTA NAO EXISTE NO PLANO")</f>
        <v/>
      </c>
      <c r="I1402" t="inlineStr">
        <is>
          <t>350</t>
        </is>
      </c>
      <c r="J1402" t="inlineStr">
        <is>
          <t>OK</t>
        </is>
      </c>
      <c r="K1402" t="inlineStr"/>
      <c r="L1402" t="inlineStr">
        <is>
          <t>SINDICATO IND PROD HIG PESSOAL COMS PERF PR / PGTO REF.MENSALIDADE SINDICATO PATRONAL</t>
        </is>
      </c>
      <c r="M1402" t="inlineStr">
        <is>
          <t>SINDICATO IND PROD HIG PESSOAL COMS PERF PR</t>
        </is>
      </c>
    </row>
    <row r="1403">
      <c r="A1403" t="n">
        <v>1402</v>
      </c>
      <c r="B1403" t="inlineStr">
        <is>
          <t>09/07/2026</t>
        </is>
      </c>
      <c r="C1403" t="inlineStr">
        <is>
          <t>BOLETO PAGO ASSOCIACAO F</t>
        </is>
      </c>
      <c r="D1403" s="7" t="n">
        <v>-2328.3</v>
      </c>
      <c r="E1403" t="inlineStr">
        <is>
          <t>(novo)</t>
        </is>
      </c>
      <c r="F1403" t="inlineStr"/>
      <c r="G1403" s="2" t="inlineStr">
        <is>
          <t>362</t>
        </is>
      </c>
      <c r="H1403">
        <f>IFERROR(VLOOKUP(G1403&amp;"",PLANO!A:B,2,FALSE),"CONTA NAO EXISTE NO PLANO")</f>
        <v/>
      </c>
      <c r="I1403" t="inlineStr">
        <is>
          <t>362</t>
        </is>
      </c>
      <c r="J1403" t="inlineStr">
        <is>
          <t>OK</t>
        </is>
      </c>
      <c r="K1403" t="inlineStr"/>
      <c r="L1403" t="inlineStr">
        <is>
          <t>CARLOS ALEXANDRE MAZZONI / PGTO REF.PRO-LABORE</t>
        </is>
      </c>
      <c r="M1403" t="inlineStr">
        <is>
          <t>CARLOS ALEXANDRE MAZZONI</t>
        </is>
      </c>
    </row>
    <row r="1404">
      <c r="A1404" t="n">
        <v>1403</v>
      </c>
      <c r="B1404" t="inlineStr">
        <is>
          <t>09/07/2026</t>
        </is>
      </c>
      <c r="C1404" t="inlineStr">
        <is>
          <t>BOLETO PAGO TRANS TOMAZ</t>
        </is>
      </c>
      <c r="D1404" s="7" t="n">
        <v>-120.72</v>
      </c>
      <c r="E1404" t="inlineStr">
        <is>
          <t>(novo)</t>
        </is>
      </c>
      <c r="F1404" t="inlineStr"/>
      <c r="G1404" s="2" t="inlineStr">
        <is>
          <t>312</t>
        </is>
      </c>
      <c r="H1404">
        <f>IFERROR(VLOOKUP(G1404&amp;"",PLANO!A:B,2,FALSE),"CONTA NAO EXISTE NO PLANO")</f>
        <v/>
      </c>
      <c r="I1404" t="inlineStr">
        <is>
          <t>312</t>
        </is>
      </c>
      <c r="J1404" t="inlineStr">
        <is>
          <t>OK</t>
        </is>
      </c>
      <c r="K1404" t="inlineStr"/>
      <c r="L1404" t="inlineStr">
        <is>
          <t>TRANS TOMAZ - TRANSPORTES RODOVIARIOS DE CARGAS EIRELI / PGTO REF.COMPRA S/NFE</t>
        </is>
      </c>
      <c r="M1404" t="inlineStr">
        <is>
          <t>TRANS TOMAZ - TRANSPORTES RODOVIARIOS DE CARGAS EIRELI</t>
        </is>
      </c>
    </row>
    <row r="1405">
      <c r="A1405" t="n">
        <v>1404</v>
      </c>
      <c r="B1405" t="inlineStr">
        <is>
          <t>09/07/2026</t>
        </is>
      </c>
      <c r="C1405" t="inlineStr">
        <is>
          <t>Mov Tít Cob Disp 09/07S</t>
        </is>
      </c>
      <c r="D1405" s="7" t="n">
        <v>1135.46</v>
      </c>
      <c r="E1405" t="inlineStr">
        <is>
          <t>(novo)</t>
        </is>
      </c>
      <c r="F1405" t="inlineStr"/>
      <c r="G1405" s="2" t="inlineStr">
        <is>
          <t>504</t>
        </is>
      </c>
      <c r="H1405">
        <f>IFERROR(VLOOKUP(G1405&amp;"",PLANO!A:B,2,FALSE),"CONTA NAO EXISTE NO PLANO")</f>
        <v/>
      </c>
      <c r="I1405" t="inlineStr">
        <is>
          <t>504</t>
        </is>
      </c>
      <c r="J1405" t="inlineStr">
        <is>
          <t>OK</t>
        </is>
      </c>
      <c r="K1405" t="inlineStr"/>
      <c r="L1405" t="inlineStr"/>
      <c r="M1405" t="inlineStr">
        <is>
          <t>MOV TÍT COB DISP 09/07S</t>
        </is>
      </c>
    </row>
    <row r="1406">
      <c r="A1406" t="n">
        <v>1405</v>
      </c>
      <c r="B1406" t="inlineStr">
        <is>
          <t>09/07/2026</t>
        </is>
      </c>
      <c r="C1406" t="inlineStr">
        <is>
          <t>PIX TRANSF NELIO J09/07</t>
        </is>
      </c>
      <c r="D1406" s="7" t="n">
        <v>948</v>
      </c>
      <c r="E1406" t="inlineStr">
        <is>
          <t>(novo)</t>
        </is>
      </c>
      <c r="F1406" t="inlineStr"/>
      <c r="G1406" s="2" t="inlineStr">
        <is>
          <t>504</t>
        </is>
      </c>
      <c r="H1406">
        <f>IFERROR(VLOOKUP(G1406&amp;"",PLANO!A:B,2,FALSE),"CONTA NAO EXISTE NO PLANO")</f>
        <v/>
      </c>
      <c r="I1406" t="inlineStr">
        <is>
          <t>504</t>
        </is>
      </c>
      <c r="J1406" t="inlineStr">
        <is>
          <t>OK</t>
        </is>
      </c>
      <c r="K1406" t="inlineStr"/>
      <c r="L1406" t="inlineStr"/>
      <c r="M1406" t="inlineStr">
        <is>
          <t>PIX TRANSF NELIO J09/07</t>
        </is>
      </c>
    </row>
    <row r="1407">
      <c r="A1407" t="n">
        <v>1406</v>
      </c>
      <c r="B1407" t="inlineStr">
        <is>
          <t>09/07/2026</t>
        </is>
      </c>
      <c r="C1407" t="inlineStr">
        <is>
          <t>PIX TRANSF Tivolli09/07</t>
        </is>
      </c>
      <c r="D1407" s="7" t="n">
        <v>500</v>
      </c>
      <c r="E1407" t="inlineStr">
        <is>
          <t>(novo)</t>
        </is>
      </c>
      <c r="F1407" t="inlineStr"/>
      <c r="G1407" s="2" t="inlineStr">
        <is>
          <t>504</t>
        </is>
      </c>
      <c r="H1407">
        <f>IFERROR(VLOOKUP(G1407&amp;"",PLANO!A:B,2,FALSE),"CONTA NAO EXISTE NO PLANO")</f>
        <v/>
      </c>
      <c r="I1407" t="inlineStr">
        <is>
          <t>504</t>
        </is>
      </c>
      <c r="J1407" t="inlineStr">
        <is>
          <t>OK</t>
        </is>
      </c>
      <c r="K1407" t="inlineStr"/>
      <c r="L1407" t="inlineStr"/>
      <c r="M1407" t="inlineStr">
        <is>
          <t>PIX TRANSF TIVOLLI09/07</t>
        </is>
      </c>
    </row>
    <row r="1408">
      <c r="A1408" t="n">
        <v>1407</v>
      </c>
      <c r="B1408" t="inlineStr">
        <is>
          <t>09/07/2026</t>
        </is>
      </c>
      <c r="C1408" t="inlineStr">
        <is>
          <t>TED 363.0001.RNX F M D R</t>
        </is>
      </c>
      <c r="D1408" s="7" t="n">
        <v>25953.3</v>
      </c>
      <c r="E1408" t="inlineStr">
        <is>
          <t>(novo)</t>
        </is>
      </c>
      <c r="F1408" t="inlineStr"/>
      <c r="G1408" s="2" t="inlineStr">
        <is>
          <t>504</t>
        </is>
      </c>
      <c r="H1408">
        <f>IFERROR(VLOOKUP(G1408&amp;"",PLANO!A:B,2,FALSE),"CONTA NAO EXISTE NO PLANO")</f>
        <v/>
      </c>
      <c r="I1408" t="inlineStr">
        <is>
          <t>504</t>
        </is>
      </c>
      <c r="J1408" t="inlineStr">
        <is>
          <t>OK</t>
        </is>
      </c>
      <c r="K1408" t="inlineStr"/>
      <c r="L1408" t="inlineStr"/>
      <c r="M1408" t="inlineStr">
        <is>
          <t>TED 363.0001.RNX F M D R</t>
        </is>
      </c>
    </row>
    <row r="1409">
      <c r="A1409" t="n">
        <v>1408</v>
      </c>
      <c r="B1409" t="inlineStr">
        <is>
          <t>10/07/2026</t>
        </is>
      </c>
      <c r="C1409" t="inlineStr">
        <is>
          <t>PIX ENVIADO DAXIA DOCE A</t>
        </is>
      </c>
      <c r="D1409" s="7" t="n">
        <v>-2047.99</v>
      </c>
      <c r="E1409" t="inlineStr">
        <is>
          <t>(novo)</t>
        </is>
      </c>
      <c r="F1409" t="inlineStr"/>
      <c r="G1409" s="2" t="inlineStr">
        <is>
          <t>506</t>
        </is>
      </c>
      <c r="H1409">
        <f>IFERROR(VLOOKUP(G1409&amp;"",PLANO!A:B,2,FALSE),"CONTA NAO EXISTE NO PLANO")</f>
        <v/>
      </c>
      <c r="I1409" t="inlineStr">
        <is>
          <t>506</t>
        </is>
      </c>
      <c r="J1409" t="inlineStr">
        <is>
          <t>OK</t>
        </is>
      </c>
      <c r="K1409" t="inlineStr"/>
      <c r="L1409" t="inlineStr">
        <is>
          <t>DAXIA DOCE AROMA INDUSTRIA E COMERCIO LTDA. / ------------------------------------------------------------</t>
        </is>
      </c>
      <c r="M1409" t="inlineStr">
        <is>
          <t>DAXIA DOCE AROMA INDUSTRIA E COMERCIO LTDA.</t>
        </is>
      </c>
    </row>
    <row r="1410">
      <c r="A1410" s="14" t="n">
        <v>1409</v>
      </c>
      <c r="B1410" s="14" t="inlineStr">
        <is>
          <t>10/07/2026</t>
        </is>
      </c>
      <c r="C1410" s="14" t="inlineStr">
        <is>
          <t>PIX ENVIADO DISTRIBUIDOR</t>
        </is>
      </c>
      <c r="D1410" s="15" t="n">
        <v>-556.78</v>
      </c>
      <c r="E1410" s="14" t="inlineStr">
        <is>
          <t>(novo)</t>
        </is>
      </c>
      <c r="F1410" s="14" t="inlineStr"/>
      <c r="G1410" s="16" t="inlineStr">
        <is>
          <t>506</t>
        </is>
      </c>
      <c r="H1410" s="14">
        <f>IFERROR(VLOOKUP(G1410&amp;"",PLANO!A:B,2,FALSE),"CONTA NAO EXISTE NO PLANO")</f>
        <v/>
      </c>
      <c r="I1410" s="14" t="inlineStr">
        <is>
          <t>506</t>
        </is>
      </c>
      <c r="J1410" s="14" t="inlineStr">
        <is>
          <t>CORRIGIDO</t>
        </is>
      </c>
      <c r="K1410" s="14" t="inlineStr">
        <is>
          <t>retificado 493-&gt;506: Distribuidora Ind. Paranaense = fornecedor MP (Cosmos)</t>
        </is>
      </c>
      <c r="L1410" s="14" t="inlineStr">
        <is>
          <t>DISTRIBUIDORA INDUSTRIAL PARANAENSE LTDA / ------------------------------------------------------------</t>
        </is>
      </c>
      <c r="M1410" s="14" t="inlineStr">
        <is>
          <t>DISTRIBUIDORA INDUSTRIAL PARANAENSE LTDA</t>
        </is>
      </c>
    </row>
    <row r="1411">
      <c r="A1411" t="n">
        <v>1410</v>
      </c>
      <c r="B1411" t="inlineStr">
        <is>
          <t>10/07/2026</t>
        </is>
      </c>
      <c r="C1411" t="inlineStr">
        <is>
          <t>PIX ENVIADO FLAVIA KOSDR</t>
        </is>
      </c>
      <c r="D1411" s="7" t="n">
        <v>-3000</v>
      </c>
      <c r="E1411" t="inlineStr">
        <is>
          <t>(novo)</t>
        </is>
      </c>
      <c r="F1411" t="inlineStr"/>
      <c r="G1411" s="2" t="inlineStr">
        <is>
          <t>362</t>
        </is>
      </c>
      <c r="H1411">
        <f>IFERROR(VLOOKUP(G1411&amp;"",PLANO!A:B,2,FALSE),"CONTA NAO EXISTE NO PLANO")</f>
        <v/>
      </c>
      <c r="I1411" t="inlineStr">
        <is>
          <t>362</t>
        </is>
      </c>
      <c r="J1411" t="inlineStr">
        <is>
          <t>OK</t>
        </is>
      </c>
      <c r="K1411" t="inlineStr"/>
      <c r="L1411" t="inlineStr">
        <is>
          <t>SELITO EDUARDO KOSDRA / -VALOR 300.000 - ATUALIZADO APOS RETIRADA FICOU</t>
        </is>
      </c>
      <c r="M1411" t="inlineStr">
        <is>
          <t>SELITO EDUARDO KOSDRA</t>
        </is>
      </c>
    </row>
    <row r="1412">
      <c r="A1412" t="n">
        <v>1411</v>
      </c>
      <c r="B1412" t="inlineStr">
        <is>
          <t>10/07/2026</t>
        </is>
      </c>
      <c r="C1412" t="inlineStr">
        <is>
          <t>PIX ENVIADO AQIA QUIMICA</t>
        </is>
      </c>
      <c r="D1412" s="7" t="n">
        <v>-1738</v>
      </c>
      <c r="E1412" t="inlineStr">
        <is>
          <t>(novo)</t>
        </is>
      </c>
      <c r="F1412" t="inlineStr"/>
      <c r="G1412" s="2" t="inlineStr">
        <is>
          <t>506</t>
        </is>
      </c>
      <c r="H1412">
        <f>IFERROR(VLOOKUP(G1412&amp;"",PLANO!A:B,2,FALSE),"CONTA NAO EXISTE NO PLANO")</f>
        <v/>
      </c>
      <c r="I1412" t="inlineStr">
        <is>
          <t>506</t>
        </is>
      </c>
      <c r="J1412" t="inlineStr">
        <is>
          <t>OK</t>
        </is>
      </c>
      <c r="K1412" t="inlineStr"/>
      <c r="L1412" t="inlineStr">
        <is>
          <t>AQIA QUIMICA INOVATIVA LTDA / ------------------------------------------------------------</t>
        </is>
      </c>
      <c r="M1412" t="inlineStr">
        <is>
          <t>AQIA QUIMICA INOVATIVA LTDA</t>
        </is>
      </c>
    </row>
    <row r="1413">
      <c r="A1413" s="14" t="n">
        <v>1412</v>
      </c>
      <c r="B1413" s="14" t="inlineStr">
        <is>
          <t>10/07/2026</t>
        </is>
      </c>
      <c r="C1413" s="14" t="inlineStr">
        <is>
          <t>PIX ENVIADO DISTRIBUIDOR</t>
        </is>
      </c>
      <c r="D1413" s="15" t="n">
        <v>-3289.66</v>
      </c>
      <c r="E1413" s="14" t="inlineStr">
        <is>
          <t>(novo)</t>
        </is>
      </c>
      <c r="F1413" s="14" t="inlineStr"/>
      <c r="G1413" s="16" t="inlineStr">
        <is>
          <t>506</t>
        </is>
      </c>
      <c r="H1413" s="14">
        <f>IFERROR(VLOOKUP(G1413&amp;"",PLANO!A:B,2,FALSE),"CONTA NAO EXISTE NO PLANO")</f>
        <v/>
      </c>
      <c r="I1413" s="14" t="inlineStr">
        <is>
          <t>506</t>
        </is>
      </c>
      <c r="J1413" s="14" t="inlineStr">
        <is>
          <t>CORRIGIDO</t>
        </is>
      </c>
      <c r="K1413" s="14" t="inlineStr">
        <is>
          <t>retificado 493-&gt;506: Distribuidora Ind. Paranaense = fornecedor MP (Cosmos)</t>
        </is>
      </c>
      <c r="L1413" s="14" t="inlineStr">
        <is>
          <t>DISTRIBUIDORA INDUSTRIAL PARANAENSE LTDA / ------------------------------------------------------------</t>
        </is>
      </c>
      <c r="M1413" s="14" t="inlineStr">
        <is>
          <t>DISTRIBUIDORA INDUSTRIAL PARANAENSE LTDA</t>
        </is>
      </c>
    </row>
    <row r="1414">
      <c r="A1414" t="n">
        <v>1413</v>
      </c>
      <c r="B1414" t="inlineStr">
        <is>
          <t>10/07/2026</t>
        </is>
      </c>
      <c r="C1414" t="inlineStr">
        <is>
          <t>PIX ENVIADO HIGH CHEM CO</t>
        </is>
      </c>
      <c r="D1414" s="7" t="n">
        <v>-7077</v>
      </c>
      <c r="E1414" t="inlineStr">
        <is>
          <t>(novo)</t>
        </is>
      </c>
      <c r="F1414" t="inlineStr"/>
      <c r="G1414" s="2" t="inlineStr">
        <is>
          <t>506</t>
        </is>
      </c>
      <c r="H1414">
        <f>IFERROR(VLOOKUP(G1414&amp;"",PLANO!A:B,2,FALSE),"CONTA NAO EXISTE NO PLANO")</f>
        <v/>
      </c>
      <c r="I1414" t="inlineStr">
        <is>
          <t>506</t>
        </is>
      </c>
      <c r="J1414" t="inlineStr">
        <is>
          <t>OK</t>
        </is>
      </c>
      <c r="K1414" t="inlineStr"/>
      <c r="L1414" t="inlineStr">
        <is>
          <t>HIGH CHEM COMERCIO E INDUSTRIA DE PRODUTOS QUIMICOS LTDA / PAGAMENTO REFERENTE A COMPRA DE MATERIA PRIMA,</t>
        </is>
      </c>
      <c r="M1414" t="inlineStr">
        <is>
          <t>HIGH CHEM COMERCIO E INDUSTRIA DE PRODUTOS QUIMICOS LTDA</t>
        </is>
      </c>
    </row>
    <row r="1415">
      <c r="A1415" t="n">
        <v>1414</v>
      </c>
      <c r="B1415" t="inlineStr">
        <is>
          <t>10/07/2026</t>
        </is>
      </c>
      <c r="C1415" t="inlineStr">
        <is>
          <t>Sispag O.S. SECURITIZAD</t>
        </is>
      </c>
      <c r="D1415" s="7" t="n">
        <v>20667.96</v>
      </c>
      <c r="E1415" t="inlineStr">
        <is>
          <t>(novo)</t>
        </is>
      </c>
      <c r="F1415" t="inlineStr"/>
      <c r="G1415" s="2" t="inlineStr">
        <is>
          <t>504</t>
        </is>
      </c>
      <c r="H1415">
        <f>IFERROR(VLOOKUP(G1415&amp;"",PLANO!A:B,2,FALSE),"CONTA NAO EXISTE NO PLANO")</f>
        <v/>
      </c>
      <c r="I1415" t="inlineStr">
        <is>
          <t>504</t>
        </is>
      </c>
      <c r="J1415" t="inlineStr">
        <is>
          <t>OK</t>
        </is>
      </c>
      <c r="K1415" t="inlineStr"/>
      <c r="L1415" t="inlineStr"/>
      <c r="M1415" t="inlineStr">
        <is>
          <t>SISPAG O.S. SECURITIZAD</t>
        </is>
      </c>
    </row>
    <row r="1416">
      <c r="A1416" t="n">
        <v>1415</v>
      </c>
      <c r="B1416" t="inlineStr">
        <is>
          <t>10/07/2026</t>
        </is>
      </c>
      <c r="C1416" t="inlineStr">
        <is>
          <t>Sispag O.S. SECURITIZAD</t>
        </is>
      </c>
      <c r="D1416" s="7" t="n">
        <v>14151.9</v>
      </c>
      <c r="E1416" t="inlineStr">
        <is>
          <t>(novo)</t>
        </is>
      </c>
      <c r="F1416" t="inlineStr"/>
      <c r="G1416" s="2" t="inlineStr">
        <is>
          <t>504</t>
        </is>
      </c>
      <c r="H1416">
        <f>IFERROR(VLOOKUP(G1416&amp;"",PLANO!A:B,2,FALSE),"CONTA NAO EXISTE NO PLANO")</f>
        <v/>
      </c>
      <c r="I1416" t="inlineStr">
        <is>
          <t>504</t>
        </is>
      </c>
      <c r="J1416" t="inlineStr">
        <is>
          <t>OK</t>
        </is>
      </c>
      <c r="K1416" t="inlineStr"/>
      <c r="L1416" t="inlineStr"/>
      <c r="M1416" t="inlineStr">
        <is>
          <t>SISPAG O.S. SECURITIZAD</t>
        </is>
      </c>
    </row>
    <row r="1417">
      <c r="A1417" t="n">
        <v>1416</v>
      </c>
      <c r="B1417" t="inlineStr">
        <is>
          <t>10/07/2026</t>
        </is>
      </c>
      <c r="C1417" t="inlineStr">
        <is>
          <t>Mov Tít Cob Disp 10/07S</t>
        </is>
      </c>
      <c r="D1417" s="7" t="n">
        <v>1721.57</v>
      </c>
      <c r="E1417" t="inlineStr">
        <is>
          <t>(novo)</t>
        </is>
      </c>
      <c r="F1417" t="inlineStr"/>
      <c r="G1417" s="2" t="inlineStr">
        <is>
          <t>504</t>
        </is>
      </c>
      <c r="H1417">
        <f>IFERROR(VLOOKUP(G1417&amp;"",PLANO!A:B,2,FALSE),"CONTA NAO EXISTE NO PLANO")</f>
        <v/>
      </c>
      <c r="I1417" t="inlineStr">
        <is>
          <t>504</t>
        </is>
      </c>
      <c r="J1417" t="inlineStr">
        <is>
          <t>OK</t>
        </is>
      </c>
      <c r="K1417" t="inlineStr"/>
      <c r="L1417" t="inlineStr"/>
      <c r="M1417" t="inlineStr">
        <is>
          <t>MOV TÍT COB DISP 10/07S</t>
        </is>
      </c>
    </row>
    <row r="1418">
      <c r="A1418" t="n">
        <v>1417</v>
      </c>
      <c r="B1418" t="inlineStr">
        <is>
          <t>13/07/2026</t>
        </is>
      </c>
      <c r="C1418" t="inlineStr">
        <is>
          <t>PIX ENVIADO JOSE DOMINGO</t>
        </is>
      </c>
      <c r="D1418" s="7" t="n">
        <v>-3560</v>
      </c>
      <c r="E1418" t="inlineStr">
        <is>
          <t>(novo)</t>
        </is>
      </c>
      <c r="F1418" t="inlineStr"/>
      <c r="G1418" s="2" t="inlineStr">
        <is>
          <t>506</t>
        </is>
      </c>
      <c r="H1418">
        <f>IFERROR(VLOOKUP(G1418&amp;"",PLANO!A:B,2,FALSE),"CONTA NAO EXISTE NO PLANO")</f>
        <v/>
      </c>
      <c r="I1418" t="inlineStr">
        <is>
          <t>506</t>
        </is>
      </c>
      <c r="J1418" t="inlineStr">
        <is>
          <t>OK</t>
        </is>
      </c>
      <c r="K1418" t="inlineStr"/>
      <c r="L1418" t="inlineStr">
        <is>
          <t>JOSE DOMINGOS LINARES / PAGAMENTO REFERENTE A COMPRA DE CARTUCHO</t>
        </is>
      </c>
      <c r="M1418" t="inlineStr">
        <is>
          <t>JOSE DOMINGOS LINARES</t>
        </is>
      </c>
    </row>
    <row r="1419">
      <c r="A1419" t="n">
        <v>1418</v>
      </c>
      <c r="B1419" t="inlineStr">
        <is>
          <t>13/07/2026</t>
        </is>
      </c>
      <c r="C1419" t="inlineStr">
        <is>
          <t>PIX ENVIADO INDUSTRIA QU</t>
        </is>
      </c>
      <c r="D1419" s="7" t="n">
        <v>-1475</v>
      </c>
      <c r="E1419" t="inlineStr">
        <is>
          <t>(novo)</t>
        </is>
      </c>
      <c r="F1419" t="inlineStr"/>
      <c r="G1419" s="2" t="inlineStr">
        <is>
          <t>506</t>
        </is>
      </c>
      <c r="H1419">
        <f>IFERROR(VLOOKUP(G1419&amp;"",PLANO!A:B,2,FALSE),"CONTA NAO EXISTE NO PLANO")</f>
        <v/>
      </c>
      <c r="I1419" t="inlineStr">
        <is>
          <t>506</t>
        </is>
      </c>
      <c r="J1419" t="inlineStr">
        <is>
          <t>OK</t>
        </is>
      </c>
      <c r="K1419" t="inlineStr"/>
      <c r="L1419" t="inlineStr"/>
      <c r="M1419" t="inlineStr">
        <is>
          <t>INDUSTRIA QUIMICA ANASTACIO S A PGTO REF. A COMPRA DE MATERIA PRIMA, VASELINASOLIDA 340 KG, ERITORBATO DE SODIO 25 KG</t>
        </is>
      </c>
    </row>
    <row r="1420">
      <c r="A1420" t="n">
        <v>1419</v>
      </c>
      <c r="B1420" t="inlineStr">
        <is>
          <t>13/07/2026</t>
        </is>
      </c>
      <c r="C1420" t="inlineStr">
        <is>
          <t>PIX ENVIADO YAHWEH PRINT</t>
        </is>
      </c>
      <c r="D1420" s="7" t="n">
        <v>-13631.2</v>
      </c>
      <c r="E1420" t="inlineStr">
        <is>
          <t>(novo)</t>
        </is>
      </c>
      <c r="F1420" t="inlineStr"/>
      <c r="G1420" s="2" t="inlineStr">
        <is>
          <t>506</t>
        </is>
      </c>
      <c r="H1420">
        <f>IFERROR(VLOOKUP(G1420&amp;"",PLANO!A:B,2,FALSE),"CONTA NAO EXISTE NO PLANO")</f>
        <v/>
      </c>
      <c r="I1420" t="inlineStr">
        <is>
          <t>506</t>
        </is>
      </c>
      <c r="J1420" t="inlineStr">
        <is>
          <t>OK</t>
        </is>
      </c>
      <c r="K1420" t="inlineStr"/>
      <c r="L1420" t="inlineStr"/>
      <c r="M1420" t="inlineStr">
        <is>
          <t>PIX ENVIADO YAHWEH PRINT</t>
        </is>
      </c>
    </row>
    <row r="1421">
      <c r="A1421" t="n">
        <v>1420</v>
      </c>
      <c r="B1421" t="inlineStr">
        <is>
          <t>13/07/2026</t>
        </is>
      </c>
      <c r="C1421" t="inlineStr">
        <is>
          <t>PIX ENVIADO BISPHARMA EM</t>
        </is>
      </c>
      <c r="D1421" s="7" t="n">
        <v>-10668.64</v>
      </c>
      <c r="E1421" t="inlineStr">
        <is>
          <t>(novo)</t>
        </is>
      </c>
      <c r="F1421" t="inlineStr"/>
      <c r="G1421" s="2" t="inlineStr">
        <is>
          <t>506</t>
        </is>
      </c>
      <c r="H1421">
        <f>IFERROR(VLOOKUP(G1421&amp;"",PLANO!A:B,2,FALSE),"CONTA NAO EXISTE NO PLANO")</f>
        <v/>
      </c>
      <c r="I1421" t="inlineStr">
        <is>
          <t>506</t>
        </is>
      </c>
      <c r="J1421" t="inlineStr">
        <is>
          <t>OK</t>
        </is>
      </c>
      <c r="K1421" t="inlineStr"/>
      <c r="L1421" t="inlineStr">
        <is>
          <t>BISPHARMA EMBALAGENS LTDA / PGTO REF.ACORDO REALIZO POR MICHEL NA DATA DE</t>
        </is>
      </c>
      <c r="M1421" t="inlineStr">
        <is>
          <t>BISPHARMA EMBALAGENS LTDA</t>
        </is>
      </c>
    </row>
    <row r="1422">
      <c r="A1422" t="n">
        <v>1421</v>
      </c>
      <c r="B1422" t="inlineStr">
        <is>
          <t>13/07/2026</t>
        </is>
      </c>
      <c r="C1422" t="inlineStr">
        <is>
          <t>PIX ENVIADO CARLOS ALEXA</t>
        </is>
      </c>
      <c r="D1422" s="7" t="n">
        <v>-2000</v>
      </c>
      <c r="E1422" t="inlineStr">
        <is>
          <t>(novo)</t>
        </is>
      </c>
      <c r="F1422" t="inlineStr"/>
      <c r="G1422" s="2" t="inlineStr">
        <is>
          <t>362</t>
        </is>
      </c>
      <c r="H1422">
        <f>IFERROR(VLOOKUP(G1422&amp;"",PLANO!A:B,2,FALSE),"CONTA NAO EXISTE NO PLANO")</f>
        <v/>
      </c>
      <c r="I1422" t="inlineStr">
        <is>
          <t>362</t>
        </is>
      </c>
      <c r="J1422" t="inlineStr">
        <is>
          <t>OK</t>
        </is>
      </c>
      <c r="K1422" t="inlineStr"/>
      <c r="L1422" t="inlineStr">
        <is>
          <t>CARLOS ALEXANDRE MAZZONI / PGTO REF.PRO-LABORE</t>
        </is>
      </c>
      <c r="M1422" t="inlineStr">
        <is>
          <t>CARLOS ALEXANDRE MAZZONI</t>
        </is>
      </c>
    </row>
    <row r="1423">
      <c r="A1423" t="n">
        <v>1422</v>
      </c>
      <c r="B1423" t="inlineStr">
        <is>
          <t>13/07/2026</t>
        </is>
      </c>
      <c r="C1423" t="inlineStr">
        <is>
          <t>PIX ENVIADO ELVIS DA SIL</t>
        </is>
      </c>
      <c r="D1423" s="7" t="n">
        <v>-2752.08</v>
      </c>
      <c r="E1423" t="inlineStr">
        <is>
          <t>(novo)</t>
        </is>
      </c>
      <c r="F1423" t="inlineStr"/>
      <c r="G1423" s="2" t="inlineStr">
        <is>
          <t>506</t>
        </is>
      </c>
      <c r="H1423">
        <f>IFERROR(VLOOKUP(G1423&amp;"",PLANO!A:B,2,FALSE),"CONTA NAO EXISTE NO PLANO")</f>
        <v/>
      </c>
      <c r="I1423" t="inlineStr">
        <is>
          <t>506</t>
        </is>
      </c>
      <c r="J1423" t="inlineStr">
        <is>
          <t>OK</t>
        </is>
      </c>
      <c r="K1423" t="inlineStr"/>
      <c r="L1423" t="inlineStr">
        <is>
          <t>ELVIS DA SILVA SANTOS / PAGAMENTO REFERENTE A SERVIÇO DE SERIGRAFIA (ABRIL</t>
        </is>
      </c>
      <c r="M1423" t="inlineStr">
        <is>
          <t>ELVIS DA SILVA SANTOS</t>
        </is>
      </c>
    </row>
    <row r="1424">
      <c r="A1424" t="n">
        <v>1423</v>
      </c>
      <c r="B1424" t="inlineStr">
        <is>
          <t>13/07/2026</t>
        </is>
      </c>
      <c r="C1424" t="inlineStr">
        <is>
          <t>BOLETO PAGO SINDICATO DO</t>
        </is>
      </c>
      <c r="D1424" s="7" t="n">
        <v>-266</v>
      </c>
      <c r="E1424" t="inlineStr">
        <is>
          <t>(novo)</t>
        </is>
      </c>
      <c r="F1424" t="inlineStr"/>
      <c r="G1424" s="2" t="inlineStr">
        <is>
          <t>350</t>
        </is>
      </c>
      <c r="H1424">
        <f>IFERROR(VLOOKUP(G1424&amp;"",PLANO!A:B,2,FALSE),"CONTA NAO EXISTE NO PLANO")</f>
        <v/>
      </c>
      <c r="I1424" t="inlineStr">
        <is>
          <t>350</t>
        </is>
      </c>
      <c r="J1424" t="inlineStr">
        <is>
          <t>OK</t>
        </is>
      </c>
      <c r="K1424" t="inlineStr"/>
      <c r="L1424" t="inlineStr">
        <is>
          <t>SINDICATO DOS TRABS NAS INDUST QUIMICAS E FARM DO ESTPR / PGTO REF.CONTRIBUIÇÃO CONF.CCT</t>
        </is>
      </c>
      <c r="M1424" t="inlineStr">
        <is>
          <t>SINDICATO DOS TRABS NAS INDUST QUIMICAS E FARM DO ESTPR</t>
        </is>
      </c>
    </row>
    <row r="1425">
      <c r="A1425" t="n">
        <v>1424</v>
      </c>
      <c r="B1425" t="inlineStr">
        <is>
          <t>13/07/2026</t>
        </is>
      </c>
      <c r="C1425" t="inlineStr">
        <is>
          <t>BOLETO PAGO FOCUS QUIMIC</t>
        </is>
      </c>
      <c r="D1425" s="7" t="n">
        <v>-1174.11</v>
      </c>
      <c r="E1425" t="inlineStr">
        <is>
          <t>(novo)</t>
        </is>
      </c>
      <c r="F1425" t="inlineStr"/>
      <c r="G1425" s="2" t="inlineStr">
        <is>
          <t>506</t>
        </is>
      </c>
      <c r="H1425">
        <f>IFERROR(VLOOKUP(G1425&amp;"",PLANO!A:B,2,FALSE),"CONTA NAO EXISTE NO PLANO")</f>
        <v/>
      </c>
      <c r="I1425" t="inlineStr">
        <is>
          <t>506</t>
        </is>
      </c>
      <c r="J1425" t="inlineStr">
        <is>
          <t>OK</t>
        </is>
      </c>
      <c r="K1425" t="inlineStr"/>
      <c r="L1425" t="inlineStr">
        <is>
          <t>FOCUS TECNOLOGIA COMERCIAL QUIMICA LTDA / PAGAMENTO REFERENTE A COMPRA DE MATERIA PRIMA,</t>
        </is>
      </c>
      <c r="M1425" t="inlineStr">
        <is>
          <t>FOCUS TECNOLOGIA COMERCIAL QUIMICA LTDA</t>
        </is>
      </c>
    </row>
    <row r="1426">
      <c r="A1426" t="n">
        <v>1425</v>
      </c>
      <c r="B1426" t="inlineStr">
        <is>
          <t>13/07/2026</t>
        </is>
      </c>
      <c r="C1426" t="inlineStr">
        <is>
          <t>BOLETO PAGO LABAZ CIENTI</t>
        </is>
      </c>
      <c r="D1426" s="7" t="n">
        <v>-984.33</v>
      </c>
      <c r="E1426" t="inlineStr">
        <is>
          <t>(novo)</t>
        </is>
      </c>
      <c r="F1426" t="inlineStr"/>
      <c r="G1426" s="2" t="inlineStr">
        <is>
          <t>506</t>
        </is>
      </c>
      <c r="H1426">
        <f>IFERROR(VLOOKUP(G1426&amp;"",PLANO!A:B,2,FALSE),"CONTA NAO EXISTE NO PLANO")</f>
        <v/>
      </c>
      <c r="I1426" t="inlineStr">
        <is>
          <t>506</t>
        </is>
      </c>
      <c r="J1426" t="inlineStr">
        <is>
          <t>OK</t>
        </is>
      </c>
      <c r="K1426" t="inlineStr"/>
      <c r="L1426" t="inlineStr">
        <is>
          <t>LABAZ CIENTIFICA LTDA / PAGAMENTO REFERENTE A COMPRA DE MATERIA PRIMA,</t>
        </is>
      </c>
      <c r="M1426" t="inlineStr">
        <is>
          <t>LABAZ CIENTIFICA LTDA</t>
        </is>
      </c>
    </row>
    <row r="1427">
      <c r="A1427" t="n">
        <v>1426</v>
      </c>
      <c r="B1427" t="inlineStr">
        <is>
          <t>13/07/2026</t>
        </is>
      </c>
      <c r="C1427" t="inlineStr">
        <is>
          <t>BOLETO PAGO JOVII COSM.</t>
        </is>
      </c>
      <c r="D1427" s="7" t="n">
        <v>-2458.21</v>
      </c>
      <c r="E1427" t="inlineStr">
        <is>
          <t>(novo)</t>
        </is>
      </c>
      <c r="F1427" t="inlineStr"/>
      <c r="G1427" s="2" t="inlineStr">
        <is>
          <t>506</t>
        </is>
      </c>
      <c r="H1427">
        <f>IFERROR(VLOOKUP(G1427&amp;"",PLANO!A:B,2,FALSE),"CONTA NAO EXISTE NO PLANO")</f>
        <v/>
      </c>
      <c r="I1427" t="inlineStr">
        <is>
          <t>506</t>
        </is>
      </c>
      <c r="J1427" t="inlineStr">
        <is>
          <t>OK</t>
        </is>
      </c>
      <c r="K1427" t="inlineStr"/>
      <c r="L1427" t="inlineStr">
        <is>
          <t>JOVII COSMECEUTICA LTDA / PAGAMENTO REFERENTE A COMPRA DE MATERIA PRIMA,LUNA</t>
        </is>
      </c>
      <c r="M1427" t="inlineStr">
        <is>
          <t>JOVII COSMECEUTICA LTDA</t>
        </is>
      </c>
    </row>
    <row r="1428">
      <c r="A1428" t="n">
        <v>1427</v>
      </c>
      <c r="B1428" t="inlineStr">
        <is>
          <t>13/07/2026</t>
        </is>
      </c>
      <c r="C1428" t="inlineStr">
        <is>
          <t>Mov Tít Cob Disp 12/07S</t>
        </is>
      </c>
      <c r="D1428" s="7" t="n">
        <v>951.96</v>
      </c>
      <c r="E1428" t="inlineStr">
        <is>
          <t>(novo)</t>
        </is>
      </c>
      <c r="F1428" t="inlineStr"/>
      <c r="G1428" s="2" t="inlineStr">
        <is>
          <t>504</t>
        </is>
      </c>
      <c r="H1428">
        <f>IFERROR(VLOOKUP(G1428&amp;"",PLANO!A:B,2,FALSE),"CONTA NAO EXISTE NO PLANO")</f>
        <v/>
      </c>
      <c r="I1428" t="inlineStr">
        <is>
          <t>504</t>
        </is>
      </c>
      <c r="J1428" t="inlineStr">
        <is>
          <t>OK</t>
        </is>
      </c>
      <c r="K1428" t="inlineStr"/>
      <c r="L1428" t="inlineStr"/>
      <c r="M1428" t="inlineStr">
        <is>
          <t>MOV TÍT COB DISP 12/07S</t>
        </is>
      </c>
    </row>
    <row r="1429">
      <c r="A1429" t="n">
        <v>1428</v>
      </c>
      <c r="B1429" t="inlineStr">
        <is>
          <t>13/07/2026</t>
        </is>
      </c>
      <c r="C1429" t="inlineStr">
        <is>
          <t>Mov Tít Cob Disp 13/07S</t>
        </is>
      </c>
      <c r="D1429" s="7" t="n">
        <v>14579.04</v>
      </c>
      <c r="E1429" t="inlineStr">
        <is>
          <t>(novo)</t>
        </is>
      </c>
      <c r="F1429" t="inlineStr"/>
      <c r="G1429" s="2" t="inlineStr">
        <is>
          <t>504</t>
        </is>
      </c>
      <c r="H1429">
        <f>IFERROR(VLOOKUP(G1429&amp;"",PLANO!A:B,2,FALSE),"CONTA NAO EXISTE NO PLANO")</f>
        <v/>
      </c>
      <c r="I1429" t="inlineStr">
        <is>
          <t>504</t>
        </is>
      </c>
      <c r="J1429" t="inlineStr">
        <is>
          <t>OK</t>
        </is>
      </c>
      <c r="K1429" t="inlineStr"/>
      <c r="L1429" t="inlineStr"/>
      <c r="M1429" t="inlineStr">
        <is>
          <t>MOV TÍT COB DISP 13/07S</t>
        </is>
      </c>
    </row>
    <row r="1430">
      <c r="A1430" t="n">
        <v>1429</v>
      </c>
      <c r="B1430" t="inlineStr">
        <is>
          <t>13/07/2026</t>
        </is>
      </c>
      <c r="C1430" t="inlineStr">
        <is>
          <t>PIX TRANSF Luan Pa13/07</t>
        </is>
      </c>
      <c r="D1430" s="7" t="n">
        <v>5000</v>
      </c>
      <c r="E1430" t="inlineStr">
        <is>
          <t>(novo)</t>
        </is>
      </c>
      <c r="F1430" t="inlineStr"/>
      <c r="G1430" s="2" t="inlineStr">
        <is>
          <t>504</t>
        </is>
      </c>
      <c r="H1430">
        <f>IFERROR(VLOOKUP(G1430&amp;"",PLANO!A:B,2,FALSE),"CONTA NAO EXISTE NO PLANO")</f>
        <v/>
      </c>
      <c r="I1430" t="inlineStr">
        <is>
          <t>504</t>
        </is>
      </c>
      <c r="J1430" t="inlineStr">
        <is>
          <t>OK</t>
        </is>
      </c>
      <c r="K1430" t="inlineStr"/>
      <c r="L1430" t="inlineStr"/>
      <c r="M1430" t="inlineStr">
        <is>
          <t>PIX TRANSF LUAN PA13/07</t>
        </is>
      </c>
    </row>
    <row r="1431">
      <c r="A1431" t="n">
        <v>1430</v>
      </c>
      <c r="B1431" t="inlineStr">
        <is>
          <t>13/07/2026</t>
        </is>
      </c>
      <c r="C1431" t="inlineStr">
        <is>
          <t>PIX TRANSF R E S C13/07</t>
        </is>
      </c>
      <c r="D1431" s="7" t="n">
        <v>12312</v>
      </c>
      <c r="E1431" t="inlineStr">
        <is>
          <t>(novo)</t>
        </is>
      </c>
      <c r="F1431" t="inlineStr"/>
      <c r="G1431" s="2" t="inlineStr">
        <is>
          <t>504</t>
        </is>
      </c>
      <c r="H1431">
        <f>IFERROR(VLOOKUP(G1431&amp;"",PLANO!A:B,2,FALSE),"CONTA NAO EXISTE NO PLANO")</f>
        <v/>
      </c>
      <c r="I1431" t="inlineStr">
        <is>
          <t>504</t>
        </is>
      </c>
      <c r="J1431" t="inlineStr">
        <is>
          <t>OK</t>
        </is>
      </c>
      <c r="K1431" t="inlineStr"/>
      <c r="L1431" t="inlineStr"/>
      <c r="M1431" t="inlineStr">
        <is>
          <t>PIX TRANSF R E S C13/07</t>
        </is>
      </c>
    </row>
    <row r="1432">
      <c r="A1432" t="n">
        <v>1431</v>
      </c>
      <c r="B1432" t="inlineStr">
        <is>
          <t>13/07/2026</t>
        </is>
      </c>
      <c r="C1432" t="inlineStr">
        <is>
          <t>Rend Pago Aplic Aut Mais</t>
        </is>
      </c>
      <c r="D1432" s="7" t="n">
        <v>0.04</v>
      </c>
      <c r="E1432" t="inlineStr">
        <is>
          <t>(novo)</t>
        </is>
      </c>
      <c r="F1432" t="inlineStr"/>
      <c r="G1432" s="2" t="inlineStr">
        <is>
          <t>432</t>
        </is>
      </c>
      <c r="H1432">
        <f>IFERROR(VLOOKUP(G1432&amp;"",PLANO!A:B,2,FALSE),"CONTA NAO EXISTE NO PLANO")</f>
        <v/>
      </c>
      <c r="I1432" t="inlineStr">
        <is>
          <t>432</t>
        </is>
      </c>
      <c r="J1432" t="inlineStr">
        <is>
          <t>OK</t>
        </is>
      </c>
      <c r="K1432" t="inlineStr"/>
      <c r="L1432" t="inlineStr"/>
      <c r="M1432" t="inlineStr">
        <is>
          <t>RENDIMENTO APLICACAO AUTOMATICA ITAU</t>
        </is>
      </c>
    </row>
    <row r="1433">
      <c r="A1433" t="n">
        <v>1432</v>
      </c>
      <c r="B1433" t="inlineStr">
        <is>
          <t>14/07/2026</t>
        </is>
      </c>
      <c r="C1433" t="inlineStr">
        <is>
          <t>Sispag CONCESSIONARIA</t>
        </is>
      </c>
      <c r="D1433" s="7" t="n">
        <v>-4500.77</v>
      </c>
      <c r="E1433" t="inlineStr">
        <is>
          <t>(novo)</t>
        </is>
      </c>
      <c r="F1433" t="inlineStr"/>
      <c r="G1433" s="2" t="inlineStr">
        <is>
          <t>354</t>
        </is>
      </c>
      <c r="H1433">
        <f>IFERROR(VLOOKUP(G1433&amp;"",PLANO!A:B,2,FALSE),"CONTA NAO EXISTE NO PLANO")</f>
        <v/>
      </c>
      <c r="I1433" t="inlineStr">
        <is>
          <t>354</t>
        </is>
      </c>
      <c r="J1433" t="inlineStr">
        <is>
          <t>OK</t>
        </is>
      </c>
      <c r="K1433" t="inlineStr"/>
      <c r="L1433" t="inlineStr"/>
      <c r="M1433" t="inlineStr">
        <is>
          <t>SISPAG CONCESSIONARIA</t>
        </is>
      </c>
    </row>
    <row r="1434">
      <c r="A1434" t="n">
        <v>1433</v>
      </c>
      <c r="B1434" t="inlineStr">
        <is>
          <t>14/07/2026</t>
        </is>
      </c>
      <c r="C1434" t="inlineStr">
        <is>
          <t>PIX ENVIADO JFC - CONSUL</t>
        </is>
      </c>
      <c r="D1434" s="7" t="n">
        <v>-2000</v>
      </c>
      <c r="E1434" t="inlineStr">
        <is>
          <t>(novo)</t>
        </is>
      </c>
      <c r="F1434" t="inlineStr"/>
      <c r="G1434" s="2" t="inlineStr">
        <is>
          <t>506</t>
        </is>
      </c>
      <c r="H1434">
        <f>IFERROR(VLOOKUP(G1434&amp;"",PLANO!A:B,2,FALSE),"CONTA NAO EXISTE NO PLANO")</f>
        <v/>
      </c>
      <c r="I1434" t="inlineStr">
        <is>
          <t>506</t>
        </is>
      </c>
      <c r="J1434" t="inlineStr">
        <is>
          <t>OK</t>
        </is>
      </c>
      <c r="K1434" t="inlineStr"/>
      <c r="L1434" t="inlineStr">
        <is>
          <t>JFC - CONSULTORIA, GESTAO E REPRESENTACAO COMERCIAL LTDA / PGTO REF.SERVIÇOS PRESTADOS</t>
        </is>
      </c>
      <c r="M1434" t="inlineStr">
        <is>
          <t>JFC - CONSULTORIA, GESTAO E REPRESENTACAO COMERCIAL LTDA</t>
        </is>
      </c>
    </row>
    <row r="1435">
      <c r="A1435" t="n">
        <v>1434</v>
      </c>
      <c r="B1435" t="inlineStr">
        <is>
          <t>14/07/2026</t>
        </is>
      </c>
      <c r="C1435" t="inlineStr">
        <is>
          <t>PIX ENVIADO MARCIO ANTON</t>
        </is>
      </c>
      <c r="D1435" s="7" t="n">
        <v>-1510.32</v>
      </c>
      <c r="E1435" t="inlineStr">
        <is>
          <t>(novo)</t>
        </is>
      </c>
      <c r="F1435" t="inlineStr"/>
      <c r="G1435" s="2" t="inlineStr">
        <is>
          <t>506</t>
        </is>
      </c>
      <c r="H1435">
        <f>IFERROR(VLOOKUP(G1435&amp;"",PLANO!A:B,2,FALSE),"CONTA NAO EXISTE NO PLANO")</f>
        <v/>
      </c>
      <c r="I1435" t="inlineStr">
        <is>
          <t>506</t>
        </is>
      </c>
      <c r="J1435" t="inlineStr">
        <is>
          <t>OK</t>
        </is>
      </c>
      <c r="K1435" t="inlineStr"/>
      <c r="L1435" t="inlineStr">
        <is>
          <t>MARCIO ANTONIO RUSSO 64538427934 / PGTO REF.PRESTAÇÃO DE SERVIÇOS CONF.CONTRATO</t>
        </is>
      </c>
      <c r="M1435" t="inlineStr">
        <is>
          <t>MARCIO ANTONIO RUSSO 64538427934</t>
        </is>
      </c>
    </row>
    <row r="1436">
      <c r="A1436" t="n">
        <v>1435</v>
      </c>
      <c r="B1436" t="inlineStr">
        <is>
          <t>14/07/2026</t>
        </is>
      </c>
      <c r="C1436" t="inlineStr">
        <is>
          <t>PIX ENVIADO BRUNA RAMOS</t>
        </is>
      </c>
      <c r="D1436" s="7" t="n">
        <v>-1000</v>
      </c>
      <c r="E1436" t="inlineStr">
        <is>
          <t>(novo)</t>
        </is>
      </c>
      <c r="F1436" t="inlineStr"/>
      <c r="G1436" s="2" t="inlineStr">
        <is>
          <t>506</t>
        </is>
      </c>
      <c r="H1436">
        <f>IFERROR(VLOOKUP(G1436&amp;"",PLANO!A:B,2,FALSE),"CONTA NAO EXISTE NO PLANO")</f>
        <v/>
      </c>
      <c r="I1436" t="inlineStr">
        <is>
          <t>506</t>
        </is>
      </c>
      <c r="J1436" t="inlineStr">
        <is>
          <t>OK</t>
        </is>
      </c>
      <c r="K1436" t="inlineStr"/>
      <c r="L1436" t="inlineStr">
        <is>
          <t>BRUNA RAMOS LEOPOLDO DA SILVA / PGTO REF.SERVIÇOS PRESTADOS DEPARTAMENTO JURÍDICO</t>
        </is>
      </c>
      <c r="M1436" t="inlineStr">
        <is>
          <t>BRUNA RAMOS LEOPOLDO DA SILVA</t>
        </is>
      </c>
    </row>
    <row r="1437">
      <c r="A1437" s="4" t="n">
        <v>1436</v>
      </c>
      <c r="B1437" s="4" t="inlineStr">
        <is>
          <t>14/07/2026</t>
        </is>
      </c>
      <c r="C1437" s="4" t="inlineStr">
        <is>
          <t>PIX ENVIADO RICARDO RICC</t>
        </is>
      </c>
      <c r="D1437" s="5" t="n">
        <v>-1637.98</v>
      </c>
      <c r="E1437" s="4" t="inlineStr">
        <is>
          <t>(novo)</t>
        </is>
      </c>
      <c r="F1437" s="4" t="inlineStr"/>
      <c r="G1437" s="6" t="inlineStr">
        <is>
          <t>308</t>
        </is>
      </c>
      <c r="H1437" s="4">
        <f>IFERROR(VLOOKUP(G1437&amp;"",PLANO!A:B,2,FALSE),"CONTA NAO EXISTE NO PLANO")</f>
        <v/>
      </c>
      <c r="I1437" s="4" t="inlineStr">
        <is>
          <t>506</t>
        </is>
      </c>
      <c r="J1437" s="4" t="inlineStr">
        <is>
          <t>AJUSTADO</t>
        </is>
      </c>
      <c r="K1437" s="4" t="inlineStr">
        <is>
          <t>comissao sobre vendas -&gt; 308</t>
        </is>
      </c>
      <c r="L1437" s="4" t="inlineStr">
        <is>
          <t>RICARDO RICCI / PGTO REF.COMISSÃO S/VENDAS</t>
        </is>
      </c>
      <c r="M1437" s="4" t="inlineStr">
        <is>
          <t>RICARDO RICCI</t>
        </is>
      </c>
    </row>
    <row r="1438">
      <c r="A1438" s="4" t="n">
        <v>1437</v>
      </c>
      <c r="B1438" s="4" t="inlineStr">
        <is>
          <t>14/07/2026</t>
        </is>
      </c>
      <c r="C1438" s="4" t="inlineStr">
        <is>
          <t>PIX ENVIADO ISMAEL CORDE</t>
        </is>
      </c>
      <c r="D1438" s="5" t="n">
        <v>-1500</v>
      </c>
      <c r="E1438" s="4" t="inlineStr">
        <is>
          <t>(novo)</t>
        </is>
      </c>
      <c r="F1438" s="4" t="inlineStr"/>
      <c r="G1438" s="6" t="inlineStr">
        <is>
          <t>308</t>
        </is>
      </c>
      <c r="H1438" s="4">
        <f>IFERROR(VLOOKUP(G1438&amp;"",PLANO!A:B,2,FALSE),"CONTA NAO EXISTE NO PLANO")</f>
        <v/>
      </c>
      <c r="I1438" s="4" t="inlineStr">
        <is>
          <t>362</t>
        </is>
      </c>
      <c r="J1438" s="4" t="inlineStr">
        <is>
          <t>AJUSTADO</t>
        </is>
      </c>
      <c r="K1438" s="4" t="inlineStr">
        <is>
          <t>comissao sobre vendas -&gt; 308</t>
        </is>
      </c>
      <c r="L1438" s="4" t="inlineStr">
        <is>
          <t>ISMAEL CORDEIRO DA SILVA / PGTO REF.COMISSÃO S/VENDAS</t>
        </is>
      </c>
      <c r="M1438" s="4" t="inlineStr">
        <is>
          <t>ISMAEL CORDEIRO DA SILVA</t>
        </is>
      </c>
    </row>
    <row r="1439">
      <c r="A1439" s="4" t="n">
        <v>1438</v>
      </c>
      <c r="B1439" s="4" t="inlineStr">
        <is>
          <t>14/07/2026</t>
        </is>
      </c>
      <c r="C1439" s="4" t="inlineStr">
        <is>
          <t>PIX ENVIADO THIAGO TAIT</t>
        </is>
      </c>
      <c r="D1439" s="5" t="n">
        <v>-1700</v>
      </c>
      <c r="E1439" s="4" t="inlineStr">
        <is>
          <t>(novo)</t>
        </is>
      </c>
      <c r="F1439" s="4" t="inlineStr"/>
      <c r="G1439" s="6" t="inlineStr">
        <is>
          <t>362</t>
        </is>
      </c>
      <c r="H1439" s="4">
        <f>IFERROR(VLOOKUP(G1439&amp;"",PLANO!A:B,2,FALSE),"CONTA NAO EXISTE NO PLANO")</f>
        <v/>
      </c>
      <c r="I1439" s="4" t="inlineStr">
        <is>
          <t>362</t>
        </is>
      </c>
      <c r="J1439" s="4" t="inlineStr">
        <is>
          <t>AJUSTADO</t>
        </is>
      </c>
      <c r="K1439" s="4" t="inlineStr">
        <is>
          <t>pessoa fisica - servicos</t>
        </is>
      </c>
      <c r="L1439" s="4" t="inlineStr">
        <is>
          <t>THIAGO TAIT DAS CHAGAS / PGTO REF.SERVIÇOS PRESTADOS CONF.CONTRATO</t>
        </is>
      </c>
      <c r="M1439" s="4" t="inlineStr">
        <is>
          <t>THIAGO TAIT DAS CHAGAS</t>
        </is>
      </c>
    </row>
    <row r="1440">
      <c r="A1440" t="n">
        <v>1439</v>
      </c>
      <c r="B1440" t="inlineStr">
        <is>
          <t>14/07/2026</t>
        </is>
      </c>
      <c r="C1440" t="inlineStr">
        <is>
          <t>PIX ENVIADO SUZAN CRISTI</t>
        </is>
      </c>
      <c r="D1440" s="7" t="n">
        <v>-1709</v>
      </c>
      <c r="E1440" t="inlineStr">
        <is>
          <t>(novo)</t>
        </is>
      </c>
      <c r="F1440" t="inlineStr"/>
      <c r="G1440" s="2" t="inlineStr">
        <is>
          <t>362</t>
        </is>
      </c>
      <c r="H1440">
        <f>IFERROR(VLOOKUP(G1440&amp;"",PLANO!A:B,2,FALSE),"CONTA NAO EXISTE NO PLANO")</f>
        <v/>
      </c>
      <c r="I1440" t="inlineStr">
        <is>
          <t>362</t>
        </is>
      </c>
      <c r="J1440" t="inlineStr">
        <is>
          <t>OK</t>
        </is>
      </c>
      <c r="K1440" t="inlineStr"/>
      <c r="L1440" t="inlineStr">
        <is>
          <t>SUZAN CRISTINA ROSSI / PGTO REF.SERVIÇOS PRESTADOS CONF.CONTRATO</t>
        </is>
      </c>
      <c r="M1440" t="inlineStr">
        <is>
          <t>SUZAN CRISTINA ROSSI</t>
        </is>
      </c>
    </row>
    <row r="1441">
      <c r="A1441" s="4" t="n">
        <v>1440</v>
      </c>
      <c r="B1441" s="4" t="inlineStr">
        <is>
          <t>14/07/2026</t>
        </is>
      </c>
      <c r="C1441" s="4" t="inlineStr">
        <is>
          <t>PIX ENVIADO MARCIA CAUCA</t>
        </is>
      </c>
      <c r="D1441" s="5" t="n">
        <v>-2000</v>
      </c>
      <c r="E1441" s="4" t="inlineStr">
        <is>
          <t>(novo)</t>
        </is>
      </c>
      <c r="F1441" s="4" t="inlineStr"/>
      <c r="G1441" s="6" t="inlineStr">
        <is>
          <t>308</t>
        </is>
      </c>
      <c r="H1441" s="4">
        <f>IFERROR(VLOOKUP(G1441&amp;"",PLANO!A:B,2,FALSE),"CONTA NAO EXISTE NO PLANO")</f>
        <v/>
      </c>
      <c r="I1441" s="4" t="inlineStr">
        <is>
          <t>362</t>
        </is>
      </c>
      <c r="J1441" s="4" t="inlineStr">
        <is>
          <t>AJUSTADO</t>
        </is>
      </c>
      <c r="K1441" s="4" t="inlineStr">
        <is>
          <t>comissao sobre vendas -&gt; 308</t>
        </is>
      </c>
      <c r="L1441" s="4" t="inlineStr">
        <is>
          <t>MARCIA CAUCA / PGTO REF.COMISSÃO S/VENDAS</t>
        </is>
      </c>
      <c r="M1441" s="4" t="inlineStr">
        <is>
          <t>MARCIA CAUCA</t>
        </is>
      </c>
    </row>
    <row r="1442">
      <c r="A1442" t="n">
        <v>1441</v>
      </c>
      <c r="B1442" t="inlineStr">
        <is>
          <t>14/07/2026</t>
        </is>
      </c>
      <c r="C1442" t="inlineStr">
        <is>
          <t>PIX ENVIADO JANAINA PERE</t>
        </is>
      </c>
      <c r="D1442" s="7" t="n">
        <v>-1000</v>
      </c>
      <c r="E1442" t="inlineStr">
        <is>
          <t>(novo)</t>
        </is>
      </c>
      <c r="F1442" t="inlineStr"/>
      <c r="G1442" s="2" t="inlineStr">
        <is>
          <t>506</t>
        </is>
      </c>
      <c r="H1442">
        <f>IFERROR(VLOOKUP(G1442&amp;"",PLANO!A:B,2,FALSE),"CONTA NAO EXISTE NO PLANO")</f>
        <v/>
      </c>
      <c r="I1442" t="inlineStr">
        <is>
          <t>506</t>
        </is>
      </c>
      <c r="J1442" t="inlineStr">
        <is>
          <t>OK</t>
        </is>
      </c>
      <c r="K1442" t="inlineStr"/>
      <c r="L1442" t="inlineStr"/>
      <c r="M1442" t="inlineStr">
        <is>
          <t>PIX ENVIADO JANAINA PERE</t>
        </is>
      </c>
    </row>
    <row r="1443">
      <c r="A1443" t="n">
        <v>1442</v>
      </c>
      <c r="B1443" t="inlineStr">
        <is>
          <t>14/07/2026</t>
        </is>
      </c>
      <c r="C1443" t="inlineStr">
        <is>
          <t>PIX ENVIADO CLAUDIA APAR</t>
        </is>
      </c>
      <c r="D1443" s="7" t="n">
        <v>-1883</v>
      </c>
      <c r="E1443" t="inlineStr">
        <is>
          <t>(novo)</t>
        </is>
      </c>
      <c r="F1443" t="inlineStr"/>
      <c r="G1443" s="2" t="inlineStr">
        <is>
          <t>362</t>
        </is>
      </c>
      <c r="H1443">
        <f>IFERROR(VLOOKUP(G1443&amp;"",PLANO!A:B,2,FALSE),"CONTA NAO EXISTE NO PLANO")</f>
        <v/>
      </c>
      <c r="I1443" t="inlineStr">
        <is>
          <t>362</t>
        </is>
      </c>
      <c r="J1443" t="inlineStr">
        <is>
          <t>OK</t>
        </is>
      </c>
      <c r="K1443" t="inlineStr"/>
      <c r="L1443" t="inlineStr"/>
      <c r="M1443" t="inlineStr">
        <is>
          <t>PIX ENVIADO CLAUDIA APAR</t>
        </is>
      </c>
    </row>
    <row r="1444">
      <c r="A1444" s="4" t="n">
        <v>1443</v>
      </c>
      <c r="B1444" s="4" t="inlineStr">
        <is>
          <t>14/07/2026</t>
        </is>
      </c>
      <c r="C1444" s="4" t="inlineStr">
        <is>
          <t>PIX ENVIADO LUIZ HENRIQU</t>
        </is>
      </c>
      <c r="D1444" s="5" t="n">
        <v>-1365</v>
      </c>
      <c r="E1444" s="4" t="inlineStr">
        <is>
          <t>(novo)</t>
        </is>
      </c>
      <c r="F1444" s="4" t="inlineStr"/>
      <c r="G1444" s="6" t="inlineStr">
        <is>
          <t>362</t>
        </is>
      </c>
      <c r="H1444" s="4">
        <f>IFERROR(VLOOKUP(G1444&amp;"",PLANO!A:B,2,FALSE),"CONTA NAO EXISTE NO PLANO")</f>
        <v/>
      </c>
      <c r="I1444" s="4" t="inlineStr">
        <is>
          <t>362</t>
        </is>
      </c>
      <c r="J1444" s="4" t="inlineStr">
        <is>
          <t>AJUSTADO</t>
        </is>
      </c>
      <c r="K1444" s="4" t="inlineStr">
        <is>
          <t>pessoa fisica - servicos</t>
        </is>
      </c>
      <c r="L1444" s="4" t="inlineStr"/>
      <c r="M1444" s="4" t="inlineStr">
        <is>
          <t>PIX ENVIADO LUIZ HENRIQU</t>
        </is>
      </c>
    </row>
    <row r="1445">
      <c r="A1445" s="4" t="n">
        <v>1444</v>
      </c>
      <c r="B1445" s="4" t="inlineStr">
        <is>
          <t>14/07/2026</t>
        </is>
      </c>
      <c r="C1445" s="4" t="inlineStr">
        <is>
          <t>PIX ENVIADO MARCIA DO CA</t>
        </is>
      </c>
      <c r="D1445" s="5" t="n">
        <v>-1650.4</v>
      </c>
      <c r="E1445" s="4" t="inlineStr">
        <is>
          <t>(novo)</t>
        </is>
      </c>
      <c r="F1445" s="4" t="inlineStr"/>
      <c r="G1445" s="6" t="inlineStr">
        <is>
          <t>308</t>
        </is>
      </c>
      <c r="H1445" s="4">
        <f>IFERROR(VLOOKUP(G1445&amp;"",PLANO!A:B,2,FALSE),"CONTA NAO EXISTE NO PLANO")</f>
        <v/>
      </c>
      <c r="I1445" s="4" t="inlineStr">
        <is>
          <t>506</t>
        </is>
      </c>
      <c r="J1445" s="4" t="inlineStr">
        <is>
          <t>AJUSTADO</t>
        </is>
      </c>
      <c r="K1445" s="4" t="inlineStr">
        <is>
          <t>comissao sobre vendas -&gt; 308</t>
        </is>
      </c>
      <c r="L1445" s="4" t="inlineStr">
        <is>
          <t>MARCIA DO CARMO DE BRITO / PGTO REF.COMISSÃO S/VENDAS</t>
        </is>
      </c>
      <c r="M1445" s="4" t="inlineStr">
        <is>
          <t>MARCIA DO CARMO DE BRITO</t>
        </is>
      </c>
    </row>
    <row r="1446">
      <c r="A1446" t="n">
        <v>1445</v>
      </c>
      <c r="B1446" t="inlineStr">
        <is>
          <t>14/07/2026</t>
        </is>
      </c>
      <c r="C1446" t="inlineStr">
        <is>
          <t>PIX ENVIADO ANDRADE ENGE</t>
        </is>
      </c>
      <c r="D1446" s="7" t="n">
        <v>-1124.56</v>
      </c>
      <c r="E1446" t="inlineStr">
        <is>
          <t>(novo)</t>
        </is>
      </c>
      <c r="F1446" t="inlineStr"/>
      <c r="G1446" s="2" t="inlineStr">
        <is>
          <t>362</t>
        </is>
      </c>
      <c r="H1446">
        <f>IFERROR(VLOOKUP(G1446&amp;"",PLANO!A:B,2,FALSE),"CONTA NAO EXISTE NO PLANO")</f>
        <v/>
      </c>
      <c r="I1446" t="inlineStr">
        <is>
          <t>362</t>
        </is>
      </c>
      <c r="J1446" t="inlineStr">
        <is>
          <t>OK</t>
        </is>
      </c>
      <c r="K1446" t="inlineStr"/>
      <c r="L1446" t="inlineStr">
        <is>
          <t>ANDRADE ENGENHARIA LTDA. / PGTO REF.PRESTAÇÃO DE SERVIÇOS DE LICENÇAS</t>
        </is>
      </c>
      <c r="M1446" t="inlineStr">
        <is>
          <t>ANDRADE ENGENHARIA LTDA.</t>
        </is>
      </c>
    </row>
    <row r="1447">
      <c r="A1447" t="n">
        <v>1446</v>
      </c>
      <c r="B1447" t="inlineStr">
        <is>
          <t>14/07/2026</t>
        </is>
      </c>
      <c r="C1447" t="inlineStr">
        <is>
          <t>BOLETO PAGO EFITRANS TRA</t>
        </is>
      </c>
      <c r="D1447" s="7" t="n">
        <v>-582.28</v>
      </c>
      <c r="E1447" t="inlineStr">
        <is>
          <t>(novo)</t>
        </is>
      </c>
      <c r="F1447" t="inlineStr"/>
      <c r="G1447" s="2" t="inlineStr">
        <is>
          <t>312</t>
        </is>
      </c>
      <c r="H1447">
        <f>IFERROR(VLOOKUP(G1447&amp;"",PLANO!A:B,2,FALSE),"CONTA NAO EXISTE NO PLANO")</f>
        <v/>
      </c>
      <c r="I1447" t="inlineStr">
        <is>
          <t>312</t>
        </is>
      </c>
      <c r="J1447" t="inlineStr">
        <is>
          <t>OK</t>
        </is>
      </c>
      <c r="K1447" t="inlineStr"/>
      <c r="L1447" t="inlineStr">
        <is>
          <t>EFITRANS TRANSPORTES LTDA / PGTO REF.</t>
        </is>
      </c>
      <c r="M1447" t="inlineStr">
        <is>
          <t>EFITRANS TRANSPORTES LTDA</t>
        </is>
      </c>
    </row>
    <row r="1448">
      <c r="A1448" t="n">
        <v>1447</v>
      </c>
      <c r="B1448" t="inlineStr">
        <is>
          <t>14/07/2026</t>
        </is>
      </c>
      <c r="C1448" t="inlineStr">
        <is>
          <t>Mov Tít Cob Disp 14/07S</t>
        </is>
      </c>
      <c r="D1448" s="7" t="n">
        <v>1026.95</v>
      </c>
      <c r="E1448" t="inlineStr">
        <is>
          <t>(novo)</t>
        </is>
      </c>
      <c r="F1448" t="inlineStr"/>
      <c r="G1448" s="2" t="inlineStr">
        <is>
          <t>504</t>
        </is>
      </c>
      <c r="H1448">
        <f>IFERROR(VLOOKUP(G1448&amp;"",PLANO!A:B,2,FALSE),"CONTA NAO EXISTE NO PLANO")</f>
        <v/>
      </c>
      <c r="I1448" t="inlineStr">
        <is>
          <t>504</t>
        </is>
      </c>
      <c r="J1448" t="inlineStr">
        <is>
          <t>OK</t>
        </is>
      </c>
      <c r="K1448" t="inlineStr"/>
      <c r="L1448" t="inlineStr"/>
      <c r="M1448" t="inlineStr">
        <is>
          <t>MOV TÍT COB DISP 14/07S</t>
        </is>
      </c>
    </row>
    <row r="1449">
      <c r="A1449" t="n">
        <v>1448</v>
      </c>
      <c r="B1449" t="inlineStr">
        <is>
          <t>14/07/2026</t>
        </is>
      </c>
      <c r="C1449" t="inlineStr">
        <is>
          <t>PIX TRANSF MANFIUS14/07</t>
        </is>
      </c>
      <c r="D1449" s="7" t="n">
        <v>325.8</v>
      </c>
      <c r="E1449" t="inlineStr">
        <is>
          <t>(novo)</t>
        </is>
      </c>
      <c r="F1449" t="inlineStr"/>
      <c r="G1449" s="2" t="inlineStr">
        <is>
          <t>504</t>
        </is>
      </c>
      <c r="H1449">
        <f>IFERROR(VLOOKUP(G1449&amp;"",PLANO!A:B,2,FALSE),"CONTA NAO EXISTE NO PLANO")</f>
        <v/>
      </c>
      <c r="I1449" t="inlineStr">
        <is>
          <t>504</t>
        </is>
      </c>
      <c r="J1449" t="inlineStr">
        <is>
          <t>OK</t>
        </is>
      </c>
      <c r="K1449" t="inlineStr"/>
      <c r="L1449" t="inlineStr"/>
      <c r="M1449" t="inlineStr">
        <is>
          <t>PIX TRANSF MANFIUS14/07</t>
        </is>
      </c>
    </row>
    <row r="1450">
      <c r="A1450" t="n">
        <v>1449</v>
      </c>
      <c r="B1450" t="inlineStr">
        <is>
          <t>14/07/2026</t>
        </is>
      </c>
      <c r="C1450" t="inlineStr">
        <is>
          <t>PIX TRANSF Yahweh 14/07</t>
        </is>
      </c>
      <c r="D1450" s="7" t="n">
        <v>9303.25</v>
      </c>
      <c r="E1450" t="inlineStr">
        <is>
          <t>(novo)</t>
        </is>
      </c>
      <c r="F1450" t="inlineStr"/>
      <c r="G1450" s="2" t="inlineStr">
        <is>
          <t>504</t>
        </is>
      </c>
      <c r="H1450">
        <f>IFERROR(VLOOKUP(G1450&amp;"",PLANO!A:B,2,FALSE),"CONTA NAO EXISTE NO PLANO")</f>
        <v/>
      </c>
      <c r="I1450" t="inlineStr">
        <is>
          <t>504</t>
        </is>
      </c>
      <c r="J1450" t="inlineStr">
        <is>
          <t>OK</t>
        </is>
      </c>
      <c r="K1450" t="inlineStr"/>
      <c r="L1450" t="inlineStr"/>
      <c r="M1450" t="inlineStr">
        <is>
          <t>PIX TRANSF YAHWEH 14/07</t>
        </is>
      </c>
    </row>
    <row r="1451">
      <c r="A1451" t="n">
        <v>1450</v>
      </c>
      <c r="B1451" t="inlineStr">
        <is>
          <t>14/07/2026</t>
        </is>
      </c>
      <c r="C1451" t="inlineStr">
        <is>
          <t>Rend Pago Aplic Aut Mais</t>
        </is>
      </c>
      <c r="D1451" s="7" t="n">
        <v>0.05</v>
      </c>
      <c r="E1451" t="inlineStr">
        <is>
          <t>(novo)</t>
        </is>
      </c>
      <c r="F1451" t="inlineStr"/>
      <c r="G1451" s="2" t="inlineStr">
        <is>
          <t>432</t>
        </is>
      </c>
      <c r="H1451">
        <f>IFERROR(VLOOKUP(G1451&amp;"",PLANO!A:B,2,FALSE),"CONTA NAO EXISTE NO PLANO")</f>
        <v/>
      </c>
      <c r="I1451" t="inlineStr">
        <is>
          <t>432</t>
        </is>
      </c>
      <c r="J1451" t="inlineStr">
        <is>
          <t>OK</t>
        </is>
      </c>
      <c r="K1451" t="inlineStr"/>
      <c r="L1451" t="inlineStr"/>
      <c r="M1451" t="inlineStr">
        <is>
          <t>RENDIMENTO APLICACAO AUTOMATICA ITAU</t>
        </is>
      </c>
    </row>
    <row r="1452">
      <c r="A1452" s="14" t="n">
        <v>1451</v>
      </c>
      <c r="B1452" s="14" t="inlineStr">
        <is>
          <t>15/07/2026</t>
        </is>
      </c>
      <c r="C1452" s="14" t="inlineStr">
        <is>
          <t>Sispag CONCESSIONARIA</t>
        </is>
      </c>
      <c r="D1452" s="15" t="n">
        <v>-1371.05</v>
      </c>
      <c r="E1452" s="14" t="inlineStr">
        <is>
          <t>(novo)</t>
        </is>
      </c>
      <c r="F1452" s="14" t="inlineStr"/>
      <c r="G1452" s="16" t="inlineStr">
        <is>
          <t>355</t>
        </is>
      </c>
      <c r="H1452" s="14">
        <f>IFERROR(VLOOKUP(G1452&amp;"",PLANO!A:B,2,FALSE),"CONTA NAO EXISTE NO PLANO")</f>
        <v/>
      </c>
      <c r="I1452" s="14" t="inlineStr">
        <is>
          <t>355</t>
        </is>
      </c>
      <c r="J1452" s="14" t="inlineStr">
        <is>
          <t>CORRIGIDO</t>
        </is>
      </c>
      <c r="K1452" s="14" t="inlineStr">
        <is>
          <t>retificado 354-&gt;355 agua</t>
        </is>
      </c>
      <c r="L1452" s="14" t="inlineStr">
        <is>
          <t>COMPANHIA DE SANEAMENTO DO PARANA SANEPAR / PGTO REF.CONSUMO DE AGUA E ESGOTO</t>
        </is>
      </c>
      <c r="M1452" s="14" t="inlineStr">
        <is>
          <t>COMPANHIA DE SANEAMENTO DO PARANA SANEPAR</t>
        </is>
      </c>
    </row>
    <row r="1453">
      <c r="A1453" s="14" t="n">
        <v>1452</v>
      </c>
      <c r="B1453" s="14" t="inlineStr">
        <is>
          <t>15/07/2026</t>
        </is>
      </c>
      <c r="C1453" s="14" t="inlineStr">
        <is>
          <t>PIX ENVIADO DISTRIBUIDOR</t>
        </is>
      </c>
      <c r="D1453" s="15" t="n">
        <v>-405.06</v>
      </c>
      <c r="E1453" s="14" t="inlineStr">
        <is>
          <t>(novo)</t>
        </is>
      </c>
      <c r="F1453" s="14" t="inlineStr"/>
      <c r="G1453" s="16" t="inlineStr">
        <is>
          <t>506</t>
        </is>
      </c>
      <c r="H1453" s="14">
        <f>IFERROR(VLOOKUP(G1453&amp;"",PLANO!A:B,2,FALSE),"CONTA NAO EXISTE NO PLANO")</f>
        <v/>
      </c>
      <c r="I1453" s="14" t="inlineStr">
        <is>
          <t>506</t>
        </is>
      </c>
      <c r="J1453" s="14" t="inlineStr">
        <is>
          <t>CORRIGIDO</t>
        </is>
      </c>
      <c r="K1453" s="14" t="inlineStr">
        <is>
          <t>retificado 493-&gt;506: Distribuidora Ind. Paranaense = fornecedor MP (Cosmos)</t>
        </is>
      </c>
      <c r="L1453" s="14" t="inlineStr">
        <is>
          <t>DISTRIBUIDORA INDUSTRIAL PARANAENSE LTDA / ------------------------------------------------------------</t>
        </is>
      </c>
      <c r="M1453" s="14" t="inlineStr">
        <is>
          <t>DISTRIBUIDORA INDUSTRIAL PARANAENSE LTDA</t>
        </is>
      </c>
    </row>
    <row r="1454">
      <c r="A1454" s="4" t="n">
        <v>1453</v>
      </c>
      <c r="B1454" s="4" t="inlineStr">
        <is>
          <t>15/07/2026</t>
        </is>
      </c>
      <c r="C1454" s="4" t="inlineStr">
        <is>
          <t>PIX ENVIADO HERNANDEZ VI</t>
        </is>
      </c>
      <c r="D1454" s="5" t="n">
        <v>-1100</v>
      </c>
      <c r="E1454" s="4" t="inlineStr">
        <is>
          <t>(novo)</t>
        </is>
      </c>
      <c r="F1454" s="4" t="inlineStr"/>
      <c r="G1454" s="6" t="inlineStr">
        <is>
          <t>362</t>
        </is>
      </c>
      <c r="H1454" s="4">
        <f>IFERROR(VLOOKUP(G1454&amp;"",PLANO!A:B,2,FALSE),"CONTA NAO EXISTE NO PLANO")</f>
        <v/>
      </c>
      <c r="I1454" s="4" t="inlineStr">
        <is>
          <t>506</t>
        </is>
      </c>
      <c r="J1454" s="4" t="inlineStr">
        <is>
          <t>AJUSTADO</t>
        </is>
      </c>
      <c r="K1454" s="4" t="inlineStr">
        <is>
          <t>pessoa fisica - servicos</t>
        </is>
      </c>
      <c r="L1454" s="4" t="inlineStr"/>
      <c r="M1454" s="4" t="inlineStr">
        <is>
          <t>PIX ENVIADO HERNANDEZ VI</t>
        </is>
      </c>
    </row>
    <row r="1455">
      <c r="A1455" t="n">
        <v>1454</v>
      </c>
      <c r="B1455" t="inlineStr">
        <is>
          <t>15/07/2026</t>
        </is>
      </c>
      <c r="C1455" t="inlineStr">
        <is>
          <t>PIX ENVIADO MICHEL SCAND</t>
        </is>
      </c>
      <c r="D1455" s="7" t="n">
        <v>-1000</v>
      </c>
      <c r="E1455" t="inlineStr">
        <is>
          <t>(novo)</t>
        </is>
      </c>
      <c r="F1455" t="inlineStr"/>
      <c r="G1455" s="2" t="inlineStr">
        <is>
          <t>362</t>
        </is>
      </c>
      <c r="H1455">
        <f>IFERROR(VLOOKUP(G1455&amp;"",PLANO!A:B,2,FALSE),"CONTA NAO EXISTE NO PLANO")</f>
        <v/>
      </c>
      <c r="I1455" t="inlineStr">
        <is>
          <t>362</t>
        </is>
      </c>
      <c r="J1455" t="inlineStr">
        <is>
          <t>OK</t>
        </is>
      </c>
      <c r="K1455" t="inlineStr"/>
      <c r="L1455" t="inlineStr">
        <is>
          <t>MICHEL SCANDER MAZZONI / PGTO REF.PRO-LABORE</t>
        </is>
      </c>
      <c r="M1455" t="inlineStr">
        <is>
          <t>MICHEL SCANDER MAZZONI</t>
        </is>
      </c>
    </row>
    <row r="1456">
      <c r="A1456" t="n">
        <v>1455</v>
      </c>
      <c r="B1456" t="inlineStr">
        <is>
          <t>15/07/2026</t>
        </is>
      </c>
      <c r="C1456" t="inlineStr">
        <is>
          <t>BOLETO PAGO DINACO IMPOR</t>
        </is>
      </c>
      <c r="D1456" s="7" t="n">
        <v>-1758.78</v>
      </c>
      <c r="E1456" t="inlineStr">
        <is>
          <t>(novo)</t>
        </is>
      </c>
      <c r="F1456" t="inlineStr"/>
      <c r="G1456" s="2" t="inlineStr">
        <is>
          <t>506</t>
        </is>
      </c>
      <c r="H1456">
        <f>IFERROR(VLOOKUP(G1456&amp;"",PLANO!A:B,2,FALSE),"CONTA NAO EXISTE NO PLANO")</f>
        <v/>
      </c>
      <c r="I1456" t="inlineStr">
        <is>
          <t>506</t>
        </is>
      </c>
      <c r="J1456" t="inlineStr">
        <is>
          <t>OK</t>
        </is>
      </c>
      <c r="K1456" t="inlineStr"/>
      <c r="L1456" t="inlineStr"/>
      <c r="M1456" t="inlineStr">
        <is>
          <t>BOLETO PAGO DINACO IMPOR</t>
        </is>
      </c>
    </row>
    <row r="1457">
      <c r="A1457" t="n">
        <v>1456</v>
      </c>
      <c r="B1457" t="inlineStr">
        <is>
          <t>15/07/2026</t>
        </is>
      </c>
      <c r="C1457" t="inlineStr">
        <is>
          <t>BOLETO PAGO DINACO IMPOR</t>
        </is>
      </c>
      <c r="D1457" s="7" t="n">
        <v>-4573.25</v>
      </c>
      <c r="E1457" t="inlineStr">
        <is>
          <t>(novo)</t>
        </is>
      </c>
      <c r="F1457" t="inlineStr"/>
      <c r="G1457" s="2" t="inlineStr">
        <is>
          <t>506</t>
        </is>
      </c>
      <c r="H1457">
        <f>IFERROR(VLOOKUP(G1457&amp;"",PLANO!A:B,2,FALSE),"CONTA NAO EXISTE NO PLANO")</f>
        <v/>
      </c>
      <c r="I1457" t="inlineStr">
        <is>
          <t>506</t>
        </is>
      </c>
      <c r="J1457" t="inlineStr">
        <is>
          <t>OK</t>
        </is>
      </c>
      <c r="K1457" t="inlineStr"/>
      <c r="L1457" t="inlineStr">
        <is>
          <t>DINACO IMPORTACAO, COMERCIO LTDA. / PAGAMENTO REFERENTE A COPRA DE MATERIA PRIMA, HDAP</t>
        </is>
      </c>
      <c r="M1457" t="inlineStr">
        <is>
          <t>DINACO IMPORTACAO, COMERCIO LTDA.</t>
        </is>
      </c>
    </row>
    <row r="1458">
      <c r="A1458" t="n">
        <v>1457</v>
      </c>
      <c r="B1458" t="inlineStr">
        <is>
          <t>15/07/2026</t>
        </is>
      </c>
      <c r="C1458" t="inlineStr">
        <is>
          <t>BOLETO PAGO QUANTIQ DIST</t>
        </is>
      </c>
      <c r="D1458" s="7" t="n">
        <v>-2044.78</v>
      </c>
      <c r="E1458" t="inlineStr">
        <is>
          <t>(novo)</t>
        </is>
      </c>
      <c r="F1458" t="inlineStr"/>
      <c r="G1458" s="2" t="inlineStr">
        <is>
          <t>506</t>
        </is>
      </c>
      <c r="H1458">
        <f>IFERROR(VLOOKUP(G1458&amp;"",PLANO!A:B,2,FALSE),"CONTA NAO EXISTE NO PLANO")</f>
        <v/>
      </c>
      <c r="I1458" t="inlineStr">
        <is>
          <t>506</t>
        </is>
      </c>
      <c r="J1458" t="inlineStr">
        <is>
          <t>OK</t>
        </is>
      </c>
      <c r="K1458" t="inlineStr"/>
      <c r="L1458" t="inlineStr">
        <is>
          <t>QUANTIQ DISTRIBUIDORA LTDA / PAGAMENTO REFERENTE A COMPRA DE MATERIA PRIMA,</t>
        </is>
      </c>
      <c r="M1458" t="inlineStr">
        <is>
          <t>QUANTIQ DISTRIBUIDORA LTDA</t>
        </is>
      </c>
    </row>
    <row r="1459">
      <c r="A1459" t="n">
        <v>1458</v>
      </c>
      <c r="B1459" t="inlineStr">
        <is>
          <t>15/07/2026</t>
        </is>
      </c>
      <c r="C1459" t="inlineStr">
        <is>
          <t>BOLETO PAGO LIGGA SERVIC</t>
        </is>
      </c>
      <c r="D1459" s="7" t="n">
        <v>-559.92</v>
      </c>
      <c r="E1459" t="inlineStr">
        <is>
          <t>(novo)</t>
        </is>
      </c>
      <c r="F1459" t="inlineStr"/>
      <c r="G1459" s="2" t="inlineStr">
        <is>
          <t>555</t>
        </is>
      </c>
      <c r="H1459">
        <f>IFERROR(VLOOKUP(G1459&amp;"",PLANO!A:B,2,FALSE),"CONTA NAO EXISTE NO PLANO")</f>
        <v/>
      </c>
      <c r="I1459" t="inlineStr">
        <is>
          <t>555</t>
        </is>
      </c>
      <c r="J1459" t="inlineStr">
        <is>
          <t>OK</t>
        </is>
      </c>
      <c r="K1459" t="inlineStr"/>
      <c r="L1459" t="inlineStr">
        <is>
          <t>COPEL TELECOMUNICACOES S.A. / PGTO REF.SERVIÇO DE IP FIXO</t>
        </is>
      </c>
      <c r="M1459" t="inlineStr">
        <is>
          <t>COPEL TELECOMUNICACOES S.A.</t>
        </is>
      </c>
    </row>
    <row r="1460">
      <c r="A1460" t="n">
        <v>1459</v>
      </c>
      <c r="B1460" t="inlineStr">
        <is>
          <t>15/07/2026</t>
        </is>
      </c>
      <c r="C1460" t="inlineStr">
        <is>
          <t>BOLETO PAGO AZUL LINHAS</t>
        </is>
      </c>
      <c r="D1460" s="7" t="n">
        <v>-551.88</v>
      </c>
      <c r="E1460" t="inlineStr">
        <is>
          <t>(novo)</t>
        </is>
      </c>
      <c r="F1460" t="inlineStr"/>
      <c r="G1460" s="2" t="inlineStr">
        <is>
          <t>312</t>
        </is>
      </c>
      <c r="H1460">
        <f>IFERROR(VLOOKUP(G1460&amp;"",PLANO!A:B,2,FALSE),"CONTA NAO EXISTE NO PLANO")</f>
        <v/>
      </c>
      <c r="I1460" t="inlineStr">
        <is>
          <t>312</t>
        </is>
      </c>
      <c r="J1460" t="inlineStr">
        <is>
          <t>OK</t>
        </is>
      </c>
      <c r="K1460" t="inlineStr"/>
      <c r="L1460" t="inlineStr">
        <is>
          <t>AZUL LINHAS AEREAS BRASILEIRAS S.A. / PAG REF A FRETE SOBRE VENDAS</t>
        </is>
      </c>
      <c r="M1460" t="inlineStr">
        <is>
          <t>AZUL LINHAS AEREAS BRASILEIRAS S.A.</t>
        </is>
      </c>
    </row>
    <row r="1461">
      <c r="A1461" t="n">
        <v>1460</v>
      </c>
      <c r="B1461" t="inlineStr">
        <is>
          <t>15/07/2026</t>
        </is>
      </c>
      <c r="C1461" t="inlineStr">
        <is>
          <t>Sispag FRANCISCO ROSARI</t>
        </is>
      </c>
      <c r="D1461" s="7" t="n">
        <v>6300</v>
      </c>
      <c r="E1461" t="inlineStr">
        <is>
          <t>(novo)</t>
        </is>
      </c>
      <c r="F1461" t="inlineStr"/>
      <c r="G1461" s="2" t="inlineStr">
        <is>
          <t>504</t>
        </is>
      </c>
      <c r="H1461">
        <f>IFERROR(VLOOKUP(G1461&amp;"",PLANO!A:B,2,FALSE),"CONTA NAO EXISTE NO PLANO")</f>
        <v/>
      </c>
      <c r="I1461" t="inlineStr">
        <is>
          <t>504</t>
        </is>
      </c>
      <c r="J1461" t="inlineStr">
        <is>
          <t>OK</t>
        </is>
      </c>
      <c r="K1461" t="inlineStr"/>
      <c r="L1461" t="inlineStr"/>
      <c r="M1461" t="inlineStr">
        <is>
          <t>SISPAG FRANCISCO ROSARI</t>
        </is>
      </c>
    </row>
    <row r="1462">
      <c r="A1462" t="n">
        <v>1461</v>
      </c>
      <c r="B1462" t="inlineStr">
        <is>
          <t>15/07/2026</t>
        </is>
      </c>
      <c r="C1462" t="inlineStr">
        <is>
          <t>Mov Tít Cob Disp 15/07S</t>
        </is>
      </c>
      <c r="D1462" s="7" t="n">
        <v>2988.27</v>
      </c>
      <c r="E1462" t="inlineStr">
        <is>
          <t>(novo)</t>
        </is>
      </c>
      <c r="F1462" t="inlineStr"/>
      <c r="G1462" s="2" t="inlineStr">
        <is>
          <t>504</t>
        </is>
      </c>
      <c r="H1462">
        <f>IFERROR(VLOOKUP(G1462&amp;"",PLANO!A:B,2,FALSE),"CONTA NAO EXISTE NO PLANO")</f>
        <v/>
      </c>
      <c r="I1462" t="inlineStr">
        <is>
          <t>504</t>
        </is>
      </c>
      <c r="J1462" t="inlineStr">
        <is>
          <t>OK</t>
        </is>
      </c>
      <c r="K1462" t="inlineStr"/>
      <c r="L1462" t="inlineStr"/>
      <c r="M1462" t="inlineStr">
        <is>
          <t>MOV TÍT COB DISP 15/07S</t>
        </is>
      </c>
    </row>
    <row r="1463">
      <c r="A1463" t="n">
        <v>1462</v>
      </c>
      <c r="B1463" t="inlineStr">
        <is>
          <t>15/07/2026</t>
        </is>
      </c>
      <c r="C1463" t="inlineStr">
        <is>
          <t>Rend Pago Aplic Aut Mais</t>
        </is>
      </c>
      <c r="D1463" s="7" t="n">
        <v>0.03</v>
      </c>
      <c r="E1463" t="inlineStr">
        <is>
          <t>(novo)</t>
        </is>
      </c>
      <c r="F1463" t="inlineStr"/>
      <c r="G1463" s="2" t="inlineStr">
        <is>
          <t>432</t>
        </is>
      </c>
      <c r="H1463">
        <f>IFERROR(VLOOKUP(G1463&amp;"",PLANO!A:B,2,FALSE),"CONTA NAO EXISTE NO PLANO")</f>
        <v/>
      </c>
      <c r="I1463" t="inlineStr">
        <is>
          <t>432</t>
        </is>
      </c>
      <c r="J1463" t="inlineStr">
        <is>
          <t>OK</t>
        </is>
      </c>
      <c r="K1463" t="inlineStr"/>
      <c r="L1463" t="inlineStr"/>
      <c r="M1463" t="inlineStr">
        <is>
          <t>RENDIMENTO APLICACAO AUTOMATICA ITAU</t>
        </is>
      </c>
    </row>
    <row r="1464">
      <c r="A1464" t="n">
        <v>1463</v>
      </c>
      <c r="B1464" t="inlineStr">
        <is>
          <t>16/07/2026</t>
        </is>
      </c>
      <c r="C1464" t="inlineStr">
        <is>
          <t>Sispag PIX QR-CODE</t>
        </is>
      </c>
      <c r="D1464" s="7" t="n">
        <v>-148</v>
      </c>
      <c r="E1464" t="inlineStr">
        <is>
          <t>(novo)</t>
        </is>
      </c>
      <c r="F1464" t="inlineStr"/>
      <c r="G1464" s="2" t="inlineStr">
        <is>
          <t>555</t>
        </is>
      </c>
      <c r="H1464">
        <f>IFERROR(VLOOKUP(G1464&amp;"",PLANO!A:B,2,FALSE),"CONTA NAO EXISTE NO PLANO")</f>
        <v/>
      </c>
      <c r="I1464" t="inlineStr">
        <is>
          <t>555</t>
        </is>
      </c>
      <c r="J1464" t="inlineStr">
        <is>
          <t>OK</t>
        </is>
      </c>
      <c r="K1464" t="inlineStr"/>
      <c r="L1464" t="inlineStr">
        <is>
          <t>IBAZAR.COM ATIVIDADES DE INTERNET LTDA. / PGTO REF.</t>
        </is>
      </c>
      <c r="M1464" t="inlineStr">
        <is>
          <t>IBAZAR.COM ATIVIDADES DE INTERNET LTDA.</t>
        </is>
      </c>
    </row>
    <row r="1465">
      <c r="A1465" t="n">
        <v>1464</v>
      </c>
      <c r="B1465" t="inlineStr">
        <is>
          <t>16/07/2026</t>
        </is>
      </c>
      <c r="C1465" t="inlineStr">
        <is>
          <t>PIX ENVIADO FRANCIS KEIT</t>
        </is>
      </c>
      <c r="D1465" s="7" t="n">
        <v>-1625</v>
      </c>
      <c r="E1465" t="inlineStr">
        <is>
          <t>(novo)</t>
        </is>
      </c>
      <c r="F1465" t="inlineStr"/>
      <c r="G1465" s="2" t="inlineStr">
        <is>
          <t>506</t>
        </is>
      </c>
      <c r="H1465">
        <f>IFERROR(VLOOKUP(G1465&amp;"",PLANO!A:B,2,FALSE),"CONTA NAO EXISTE NO PLANO")</f>
        <v/>
      </c>
      <c r="I1465" t="inlineStr">
        <is>
          <t>506</t>
        </is>
      </c>
      <c r="J1465" t="inlineStr">
        <is>
          <t>OK</t>
        </is>
      </c>
      <c r="K1465" t="inlineStr"/>
      <c r="L1465" t="inlineStr">
        <is>
          <t>FRANCIS KODAMA / PGTO REF.SERVIÇOS PRESTADOS</t>
        </is>
      </c>
      <c r="M1465" t="inlineStr">
        <is>
          <t>FRANCIS KODAMA</t>
        </is>
      </c>
    </row>
    <row r="1466">
      <c r="A1466" s="11" t="n">
        <v>1465</v>
      </c>
      <c r="B1466" s="11" t="inlineStr">
        <is>
          <t>16/07/2026</t>
        </is>
      </c>
      <c r="C1466" s="11" t="inlineStr">
        <is>
          <t>PIX ENVIADO NUTRI.COM TE</t>
        </is>
      </c>
      <c r="D1466" s="12" t="n">
        <v>-1475</v>
      </c>
      <c r="E1466" s="11" t="inlineStr">
        <is>
          <t>(novo)</t>
        </is>
      </c>
      <c r="F1466" s="11" t="inlineStr"/>
      <c r="G1466" s="13" t="inlineStr">
        <is>
          <t>506</t>
        </is>
      </c>
      <c r="H1466" s="11">
        <f>IFERROR(VLOOKUP(G1466&amp;"",PLANO!A:B,2,FALSE),"CONTA NAO EXISTE NO PLANO")</f>
        <v/>
      </c>
      <c r="I1466" s="11" t="inlineStr">
        <is>
          <t>506</t>
        </is>
      </c>
      <c r="J1466" s="11" t="inlineStr">
        <is>
          <t>MANTIDO</t>
        </is>
      </c>
      <c r="K1466" s="11" t="inlineStr">
        <is>
          <t>PIX devolvido no mesmo dia (DEV PIX)</t>
        </is>
      </c>
      <c r="L1466" s="11" t="inlineStr"/>
      <c r="M1466" s="11" t="inlineStr">
        <is>
          <t>PIX ENVIADO NUTRI.COM TE</t>
        </is>
      </c>
    </row>
    <row r="1467">
      <c r="A1467" t="n">
        <v>1466</v>
      </c>
      <c r="B1467" t="inlineStr">
        <is>
          <t>16/07/2026</t>
        </is>
      </c>
      <c r="C1467" t="inlineStr">
        <is>
          <t>PIX ENVIADO ISAIAS PREST</t>
        </is>
      </c>
      <c r="D1467" s="7" t="n">
        <v>-1000</v>
      </c>
      <c r="E1467" t="inlineStr">
        <is>
          <t>(novo)</t>
        </is>
      </c>
      <c r="F1467" t="inlineStr"/>
      <c r="G1467" s="2" t="inlineStr">
        <is>
          <t>506</t>
        </is>
      </c>
      <c r="H1467">
        <f>IFERROR(VLOOKUP(G1467&amp;"",PLANO!A:B,2,FALSE),"CONTA NAO EXISTE NO PLANO")</f>
        <v/>
      </c>
      <c r="I1467" t="inlineStr">
        <is>
          <t>506</t>
        </is>
      </c>
      <c r="J1467" t="inlineStr">
        <is>
          <t>OK</t>
        </is>
      </c>
      <c r="K1467" t="inlineStr"/>
      <c r="L1467" t="inlineStr"/>
      <c r="M1467" t="inlineStr">
        <is>
          <t>PIX ENVIADO ISAIAS PREST</t>
        </is>
      </c>
    </row>
    <row r="1468">
      <c r="A1468" s="11" t="n">
        <v>1467</v>
      </c>
      <c r="B1468" s="11" t="inlineStr">
        <is>
          <t>16/07/2026</t>
        </is>
      </c>
      <c r="C1468" s="11" t="inlineStr">
        <is>
          <t>BOLETO PAGO FIDC MULTISE</t>
        </is>
      </c>
      <c r="D1468" s="12" t="n">
        <v>-481.42</v>
      </c>
      <c r="E1468" s="11" t="inlineStr">
        <is>
          <t>(novo)</t>
        </is>
      </c>
      <c r="F1468" s="11" t="inlineStr"/>
      <c r="G1468" s="13" t="inlineStr">
        <is>
          <t>506</t>
        </is>
      </c>
      <c r="H1468" s="11">
        <f>IFERROR(VLOOKUP(G1468&amp;"",PLANO!A:B,2,FALSE),"CONTA NAO EXISTE NO PLANO")</f>
        <v/>
      </c>
      <c r="I1468" s="11" t="inlineStr">
        <is>
          <t>506</t>
        </is>
      </c>
      <c r="J1468" s="11" t="inlineStr">
        <is>
          <t>MANTIDO</t>
        </is>
      </c>
      <c r="K1468" s="11" t="inlineStr">
        <is>
          <t>pagamento sem referencia - tratado como fornecedor (506)</t>
        </is>
      </c>
      <c r="L1468" s="11" t="inlineStr"/>
      <c r="M1468" s="11" t="inlineStr">
        <is>
          <t>BOLETO PAGO FIDC MULTISE</t>
        </is>
      </c>
    </row>
    <row r="1469">
      <c r="A1469" s="11" t="n">
        <v>1468</v>
      </c>
      <c r="B1469" s="11" t="inlineStr">
        <is>
          <t>16/07/2026</t>
        </is>
      </c>
      <c r="C1469" s="11" t="inlineStr">
        <is>
          <t>Sispag SHED PROFESSIONA</t>
        </is>
      </c>
      <c r="D1469" s="12" t="n">
        <v>85.84</v>
      </c>
      <c r="E1469" s="11" t="inlineStr">
        <is>
          <t>(novo)</t>
        </is>
      </c>
      <c r="F1469" s="11" t="inlineStr"/>
      <c r="G1469" s="13" t="inlineStr">
        <is>
          <t>504</t>
        </is>
      </c>
      <c r="H1469" s="11">
        <f>IFERROR(VLOOKUP(G1469&amp;"",PLANO!A:B,2,FALSE),"CONTA NAO EXISTE NO PLANO")</f>
        <v/>
      </c>
      <c r="I1469" s="11" t="inlineStr">
        <is>
          <t>504</t>
        </is>
      </c>
      <c r="J1469" s="11" t="inlineStr">
        <is>
          <t>MANTIDO</t>
        </is>
      </c>
      <c r="K1469" s="11" t="inlineStr">
        <is>
          <t>credito sem referencia - tratado como recebimento de cliente (504)</t>
        </is>
      </c>
      <c r="L1469" s="11" t="inlineStr"/>
      <c r="M1469" s="11" t="inlineStr">
        <is>
          <t>SISPAG SHED PROFESSIONA</t>
        </is>
      </c>
    </row>
    <row r="1470">
      <c r="A1470" t="n">
        <v>1469</v>
      </c>
      <c r="B1470" t="inlineStr">
        <is>
          <t>16/07/2026</t>
        </is>
      </c>
      <c r="C1470" t="inlineStr">
        <is>
          <t>Mov Tít Cob Disp 16/07S</t>
        </is>
      </c>
      <c r="D1470" s="7" t="n">
        <v>2674.53</v>
      </c>
      <c r="E1470" t="inlineStr">
        <is>
          <t>(novo)</t>
        </is>
      </c>
      <c r="F1470" t="inlineStr"/>
      <c r="G1470" s="2" t="inlineStr">
        <is>
          <t>504</t>
        </is>
      </c>
      <c r="H1470">
        <f>IFERROR(VLOOKUP(G1470&amp;"",PLANO!A:B,2,FALSE),"CONTA NAO EXISTE NO PLANO")</f>
        <v/>
      </c>
      <c r="I1470" t="inlineStr">
        <is>
          <t>504</t>
        </is>
      </c>
      <c r="J1470" t="inlineStr">
        <is>
          <t>OK</t>
        </is>
      </c>
      <c r="K1470" t="inlineStr"/>
      <c r="L1470" t="inlineStr"/>
      <c r="M1470" t="inlineStr">
        <is>
          <t>MOV TÍT COB DISP 16/07S</t>
        </is>
      </c>
    </row>
    <row r="1471">
      <c r="A1471" s="11" t="n">
        <v>1470</v>
      </c>
      <c r="B1471" s="11" t="inlineStr">
        <is>
          <t>16/07/2026</t>
        </is>
      </c>
      <c r="C1471" s="11" t="inlineStr">
        <is>
          <t>DEV PIX NUTRI.COM16/07</t>
        </is>
      </c>
      <c r="D1471" s="12" t="n">
        <v>1475</v>
      </c>
      <c r="E1471" s="11" t="inlineStr">
        <is>
          <t>(novo)</t>
        </is>
      </c>
      <c r="F1471" s="11" t="inlineStr"/>
      <c r="G1471" s="13" t="inlineStr">
        <is>
          <t>506</t>
        </is>
      </c>
      <c r="H1471" s="11">
        <f>IFERROR(VLOOKUP(G1471&amp;"",PLANO!A:B,2,FALSE),"CONTA NAO EXISTE NO PLANO")</f>
        <v/>
      </c>
      <c r="I1471" s="11" t="inlineStr">
        <is>
          <t>506</t>
        </is>
      </c>
      <c r="J1471" s="11" t="inlineStr">
        <is>
          <t>MANTIDO</t>
        </is>
      </c>
      <c r="K1471" s="11" t="inlineStr">
        <is>
          <t>devolucao do PIX enviado a NUTRI.COM no mesmo dia</t>
        </is>
      </c>
      <c r="L1471" s="11" t="inlineStr"/>
      <c r="M1471" s="11" t="inlineStr">
        <is>
          <t>DEV PIX NUTRI.COM16/07</t>
        </is>
      </c>
    </row>
    <row r="1472">
      <c r="A1472" t="n">
        <v>1471</v>
      </c>
      <c r="B1472" t="inlineStr">
        <is>
          <t>16/07/2026</t>
        </is>
      </c>
      <c r="C1472" t="inlineStr">
        <is>
          <t>PIX TRANSF PERFIL 16/07</t>
        </is>
      </c>
      <c r="D1472" s="7" t="n">
        <v>6000</v>
      </c>
      <c r="E1472" t="inlineStr">
        <is>
          <t>(novo)</t>
        </is>
      </c>
      <c r="F1472" t="inlineStr"/>
      <c r="G1472" s="2" t="inlineStr">
        <is>
          <t>504</t>
        </is>
      </c>
      <c r="H1472">
        <f>IFERROR(VLOOKUP(G1472&amp;"",PLANO!A:B,2,FALSE),"CONTA NAO EXISTE NO PLANO")</f>
        <v/>
      </c>
      <c r="I1472" t="inlineStr">
        <is>
          <t>504</t>
        </is>
      </c>
      <c r="J1472" t="inlineStr">
        <is>
          <t>OK</t>
        </is>
      </c>
      <c r="K1472" t="inlineStr"/>
      <c r="L1472" t="inlineStr"/>
      <c r="M1472" t="inlineStr">
        <is>
          <t>PIX TRANSF PERFIL 16/07</t>
        </is>
      </c>
    </row>
    <row r="1473">
      <c r="A1473" t="n">
        <v>1472</v>
      </c>
      <c r="B1473" t="inlineStr">
        <is>
          <t>17/07/2026</t>
        </is>
      </c>
      <c r="C1473" t="inlineStr">
        <is>
          <t>PIX ENVIADO AKG ADMINIST</t>
        </is>
      </c>
      <c r="D1473" s="7" t="n">
        <v>-2500</v>
      </c>
      <c r="E1473" t="inlineStr">
        <is>
          <t>(novo)</t>
        </is>
      </c>
      <c r="F1473" t="inlineStr"/>
      <c r="G1473" s="2" t="inlineStr">
        <is>
          <t>320</t>
        </is>
      </c>
      <c r="H1473">
        <f>IFERROR(VLOOKUP(G1473&amp;"",PLANO!A:B,2,FALSE),"CONTA NAO EXISTE NO PLANO")</f>
        <v/>
      </c>
      <c r="I1473" t="inlineStr">
        <is>
          <t>320</t>
        </is>
      </c>
      <c r="J1473" t="inlineStr">
        <is>
          <t>OK</t>
        </is>
      </c>
      <c r="K1473" t="inlineStr"/>
      <c r="L1473" t="inlineStr">
        <is>
          <t>AKG ADMINISTRAÇÃO E IMÓVEIS LTDA / PGTO REF.ACORDO EXTRA JUDICIAL PARA PAGAMENTO DE</t>
        </is>
      </c>
      <c r="M1473" t="inlineStr">
        <is>
          <t>AKG ADMINISTRAÇÃO E IMÓVEIS LTDA</t>
        </is>
      </c>
    </row>
    <row r="1474">
      <c r="A1474" t="n">
        <v>1473</v>
      </c>
      <c r="B1474" t="inlineStr">
        <is>
          <t>17/07/2026</t>
        </is>
      </c>
      <c r="C1474" t="inlineStr">
        <is>
          <t>BOLETO PAGO EXPRESSO SAO</t>
        </is>
      </c>
      <c r="D1474" s="7" t="n">
        <v>-337.19</v>
      </c>
      <c r="E1474" t="inlineStr">
        <is>
          <t>(novo)</t>
        </is>
      </c>
      <c r="F1474" t="inlineStr"/>
      <c r="G1474" s="2" t="inlineStr">
        <is>
          <t>312</t>
        </is>
      </c>
      <c r="H1474">
        <f>IFERROR(VLOOKUP(G1474&amp;"",PLANO!A:B,2,FALSE),"CONTA NAO EXISTE NO PLANO")</f>
        <v/>
      </c>
      <c r="I1474" t="inlineStr">
        <is>
          <t>312</t>
        </is>
      </c>
      <c r="J1474" t="inlineStr">
        <is>
          <t>OK</t>
        </is>
      </c>
      <c r="K1474" t="inlineStr"/>
      <c r="L1474" t="inlineStr">
        <is>
          <t>EXPRESSO SAO MIGUEL LTDA / PAG REF A FRETE SOBRE VENDAS</t>
        </is>
      </c>
      <c r="M1474" t="inlineStr">
        <is>
          <t>EXPRESSO SAO MIGUEL LTDA</t>
        </is>
      </c>
    </row>
    <row r="1475">
      <c r="A1475" t="n">
        <v>1474</v>
      </c>
      <c r="B1475" t="inlineStr">
        <is>
          <t>17/07/2026</t>
        </is>
      </c>
      <c r="C1475" t="inlineStr">
        <is>
          <t>BOLETO PAGO TRANS TOMAZ</t>
        </is>
      </c>
      <c r="D1475" s="7" t="n">
        <v>-96.43000000000001</v>
      </c>
      <c r="E1475" t="inlineStr">
        <is>
          <t>(novo)</t>
        </is>
      </c>
      <c r="F1475" t="inlineStr"/>
      <c r="G1475" s="2" t="inlineStr">
        <is>
          <t>312</t>
        </is>
      </c>
      <c r="H1475">
        <f>IFERROR(VLOOKUP(G1475&amp;"",PLANO!A:B,2,FALSE),"CONTA NAO EXISTE NO PLANO")</f>
        <v/>
      </c>
      <c r="I1475" t="inlineStr">
        <is>
          <t>312</t>
        </is>
      </c>
      <c r="J1475" t="inlineStr">
        <is>
          <t>OK</t>
        </is>
      </c>
      <c r="K1475" t="inlineStr"/>
      <c r="L1475" t="inlineStr">
        <is>
          <t>TRANS TOMAZ - TRANSPORTES RODOVIARIOS DE CARGAS EIRELI / PGTO REF.FRETE S/NFE</t>
        </is>
      </c>
      <c r="M1475" t="inlineStr">
        <is>
          <t>TRANS TOMAZ - TRANSPORTES RODOVIARIOS DE CARGAS EIRELI</t>
        </is>
      </c>
    </row>
    <row r="1476">
      <c r="A1476" t="n">
        <v>1475</v>
      </c>
      <c r="B1476" t="inlineStr">
        <is>
          <t>17/07/2026</t>
        </is>
      </c>
      <c r="C1476" t="inlineStr">
        <is>
          <t>BOLETO PAGO CRM TECNOLOG</t>
        </is>
      </c>
      <c r="D1476" s="7" t="n">
        <v>-2859.58</v>
      </c>
      <c r="E1476" t="inlineStr">
        <is>
          <t>(novo)</t>
        </is>
      </c>
      <c r="F1476" t="inlineStr"/>
      <c r="G1476" s="2" t="inlineStr">
        <is>
          <t>640</t>
        </is>
      </c>
      <c r="H1476">
        <f>IFERROR(VLOOKUP(G1476&amp;"",PLANO!A:B,2,FALSE),"CONTA NAO EXISTE NO PLANO")</f>
        <v/>
      </c>
      <c r="I1476" t="inlineStr">
        <is>
          <t>640</t>
        </is>
      </c>
      <c r="J1476" t="inlineStr">
        <is>
          <t>OK</t>
        </is>
      </c>
      <c r="K1476" t="inlineStr"/>
      <c r="L1476" t="inlineStr">
        <is>
          <t>CRMTECH SISTEMAS DE INFORMACAO LTDA / PGTO REF.UTILIZAÇÃO SISTEMA COSMOS</t>
        </is>
      </c>
      <c r="M1476" t="inlineStr">
        <is>
          <t>CRMTECH SISTEMAS DE INFORMACAO LTDA</t>
        </is>
      </c>
    </row>
    <row r="1477">
      <c r="A1477" t="n">
        <v>1476</v>
      </c>
      <c r="B1477" t="inlineStr">
        <is>
          <t>17/07/2026</t>
        </is>
      </c>
      <c r="C1477" t="inlineStr">
        <is>
          <t>BOLETO PAGO SINDICATO DO</t>
        </is>
      </c>
      <c r="D1477" s="7" t="n">
        <v>-209</v>
      </c>
      <c r="E1477" t="inlineStr">
        <is>
          <t>(novo)</t>
        </is>
      </c>
      <c r="F1477" t="inlineStr"/>
      <c r="G1477" s="2" t="inlineStr">
        <is>
          <t>350</t>
        </is>
      </c>
      <c r="H1477">
        <f>IFERROR(VLOOKUP(G1477&amp;"",PLANO!A:B,2,FALSE),"CONTA NAO EXISTE NO PLANO")</f>
        <v/>
      </c>
      <c r="I1477" t="inlineStr">
        <is>
          <t>350</t>
        </is>
      </c>
      <c r="J1477" t="inlineStr">
        <is>
          <t>OK</t>
        </is>
      </c>
      <c r="K1477" t="inlineStr"/>
      <c r="L1477" t="inlineStr">
        <is>
          <t>SINDICATO DOS TRABS NAS INDUST QUIMICAS E FARM DO ESTPR / PGTO REF.CONTRIBUIÇÃO FUNERAL CONF.CCT</t>
        </is>
      </c>
      <c r="M1477" t="inlineStr">
        <is>
          <t>SINDICATO DOS TRABS NAS INDUST QUIMICAS E FARM DO ESTPR</t>
        </is>
      </c>
    </row>
    <row r="1478">
      <c r="A1478" t="n">
        <v>1477</v>
      </c>
      <c r="B1478" t="inlineStr">
        <is>
          <t>17/07/2026</t>
        </is>
      </c>
      <c r="C1478" t="inlineStr">
        <is>
          <t>Mov Tít Cob Disp 17/07S</t>
        </is>
      </c>
      <c r="D1478" s="7" t="n">
        <v>3112.6</v>
      </c>
      <c r="E1478" t="inlineStr">
        <is>
          <t>(novo)</t>
        </is>
      </c>
      <c r="F1478" t="inlineStr"/>
      <c r="G1478" s="2" t="inlineStr">
        <is>
          <t>504</t>
        </is>
      </c>
      <c r="H1478">
        <f>IFERROR(VLOOKUP(G1478&amp;"",PLANO!A:B,2,FALSE),"CONTA NAO EXISTE NO PLANO")</f>
        <v/>
      </c>
      <c r="I1478" t="inlineStr">
        <is>
          <t>504</t>
        </is>
      </c>
      <c r="J1478" t="inlineStr">
        <is>
          <t>OK</t>
        </is>
      </c>
      <c r="K1478" t="inlineStr"/>
      <c r="L1478" t="inlineStr"/>
      <c r="M1478" t="inlineStr">
        <is>
          <t>MOV TÍT COB DISP 17/07S</t>
        </is>
      </c>
    </row>
    <row r="1479">
      <c r="A1479" t="n">
        <v>1478</v>
      </c>
      <c r="B1479" t="inlineStr">
        <is>
          <t>17/07/2026</t>
        </is>
      </c>
      <c r="C1479" t="inlineStr">
        <is>
          <t>PIX TRANSF maria a17/07</t>
        </is>
      </c>
      <c r="D1479" s="7" t="n">
        <v>2964</v>
      </c>
      <c r="E1479" t="inlineStr">
        <is>
          <t>(novo)</t>
        </is>
      </c>
      <c r="F1479" t="inlineStr"/>
      <c r="G1479" s="2" t="inlineStr">
        <is>
          <t>504</t>
        </is>
      </c>
      <c r="H1479">
        <f>IFERROR(VLOOKUP(G1479&amp;"",PLANO!A:B,2,FALSE),"CONTA NAO EXISTE NO PLANO")</f>
        <v/>
      </c>
      <c r="I1479" t="inlineStr">
        <is>
          <t>504</t>
        </is>
      </c>
      <c r="J1479" t="inlineStr">
        <is>
          <t>OK</t>
        </is>
      </c>
      <c r="K1479" t="inlineStr"/>
      <c r="L1479" t="inlineStr"/>
      <c r="M1479" t="inlineStr">
        <is>
          <t>PIX TRANSF MARIA A17/07</t>
        </is>
      </c>
    </row>
    <row r="1480">
      <c r="A1480" t="n">
        <v>1479</v>
      </c>
      <c r="B1480" t="inlineStr">
        <is>
          <t>20/07/2026</t>
        </is>
      </c>
      <c r="C1480" t="inlineStr">
        <is>
          <t>PIX ENVIADO MAYARA CRIST</t>
        </is>
      </c>
      <c r="D1480" s="7" t="n">
        <v>-4081</v>
      </c>
      <c r="E1480" t="inlineStr">
        <is>
          <t>(novo)</t>
        </is>
      </c>
      <c r="F1480" t="inlineStr"/>
      <c r="G1480" s="2" t="inlineStr">
        <is>
          <t>320</t>
        </is>
      </c>
      <c r="H1480">
        <f>IFERROR(VLOOKUP(G1480&amp;"",PLANO!A:B,2,FALSE),"CONTA NAO EXISTE NO PLANO")</f>
        <v/>
      </c>
      <c r="I1480" t="inlineStr">
        <is>
          <t>320</t>
        </is>
      </c>
      <c r="J1480" t="inlineStr">
        <is>
          <t>OK</t>
        </is>
      </c>
      <c r="K1480" t="inlineStr"/>
      <c r="L1480" t="inlineStr">
        <is>
          <t>MAYARA CRISTINE MELO DA CRUZ / PGTO REF.ALUGUEL</t>
        </is>
      </c>
      <c r="M1480" t="inlineStr">
        <is>
          <t>MAYARA CRISTINE MELO DA CRUZ</t>
        </is>
      </c>
    </row>
    <row r="1481">
      <c r="A1481" t="n">
        <v>1480</v>
      </c>
      <c r="B1481" t="inlineStr">
        <is>
          <t>20/07/2026</t>
        </is>
      </c>
      <c r="C1481" t="inlineStr">
        <is>
          <t>PIX ENVIADO CARLOS ALEXA</t>
        </is>
      </c>
      <c r="D1481" s="7" t="n">
        <v>-1500</v>
      </c>
      <c r="E1481" t="inlineStr">
        <is>
          <t>(novo)</t>
        </is>
      </c>
      <c r="F1481" t="inlineStr"/>
      <c r="G1481" s="2" t="inlineStr">
        <is>
          <t>362</t>
        </is>
      </c>
      <c r="H1481">
        <f>IFERROR(VLOOKUP(G1481&amp;"",PLANO!A:B,2,FALSE),"CONTA NAO EXISTE NO PLANO")</f>
        <v/>
      </c>
      <c r="I1481" t="inlineStr">
        <is>
          <t>362</t>
        </is>
      </c>
      <c r="J1481" t="inlineStr">
        <is>
          <t>OK</t>
        </is>
      </c>
      <c r="K1481" t="inlineStr"/>
      <c r="L1481" t="inlineStr"/>
      <c r="M1481" t="inlineStr">
        <is>
          <t>PIX ENVIADO CARLOS ALEXA</t>
        </is>
      </c>
    </row>
    <row r="1482">
      <c r="A1482" t="n">
        <v>1481</v>
      </c>
      <c r="B1482" t="inlineStr">
        <is>
          <t>20/07/2026</t>
        </is>
      </c>
      <c r="C1482" t="inlineStr">
        <is>
          <t>PIX ENVIADO FOCUS TECNOL</t>
        </is>
      </c>
      <c r="D1482" s="7" t="n">
        <v>-1235.9</v>
      </c>
      <c r="E1482" t="inlineStr">
        <is>
          <t>(novo)</t>
        </is>
      </c>
      <c r="F1482" t="inlineStr"/>
      <c r="G1482" s="2" t="inlineStr">
        <is>
          <t>506</t>
        </is>
      </c>
      <c r="H1482">
        <f>IFERROR(VLOOKUP(G1482&amp;"",PLANO!A:B,2,FALSE),"CONTA NAO EXISTE NO PLANO")</f>
        <v/>
      </c>
      <c r="I1482" t="inlineStr">
        <is>
          <t>506</t>
        </is>
      </c>
      <c r="J1482" t="inlineStr">
        <is>
          <t>OK</t>
        </is>
      </c>
      <c r="K1482" t="inlineStr"/>
      <c r="L1482" t="inlineStr">
        <is>
          <t>FOCUS TECNOLOGIA COMERCIAL QUIMICA LTDA / ------------------------------------------------------------</t>
        </is>
      </c>
      <c r="M1482" t="inlineStr">
        <is>
          <t>FOCUS TECNOLOGIA COMERCIAL QUIMICA LTDA</t>
        </is>
      </c>
    </row>
    <row r="1483">
      <c r="A1483" s="14" t="n">
        <v>1482</v>
      </c>
      <c r="B1483" s="14" t="inlineStr">
        <is>
          <t>20/07/2026</t>
        </is>
      </c>
      <c r="C1483" s="14" t="inlineStr">
        <is>
          <t>PIX ENVIADO MELO &amp; CRUZ</t>
        </is>
      </c>
      <c r="D1483" s="15" t="n">
        <v>-3519.2</v>
      </c>
      <c r="E1483" s="14" t="inlineStr">
        <is>
          <t>(novo)</t>
        </is>
      </c>
      <c r="F1483" s="14" t="inlineStr"/>
      <c r="G1483" s="16" t="inlineStr">
        <is>
          <t>320</t>
        </is>
      </c>
      <c r="H1483" s="14">
        <f>IFERROR(VLOOKUP(G1483&amp;"",PLANO!A:B,2,FALSE),"CONTA NAO EXISTE NO PLANO")</f>
        <v/>
      </c>
      <c r="I1483" s="14" t="inlineStr">
        <is>
          <t>320</t>
        </is>
      </c>
      <c r="J1483" s="14" t="inlineStr">
        <is>
          <t>CORRIGIDO</t>
        </is>
      </c>
      <c r="K1483" s="14" t="inlineStr">
        <is>
          <t>retificado 506-&gt;320: aluguel (Cosmos cat. 11)</t>
        </is>
      </c>
      <c r="L1483" s="14" t="inlineStr">
        <is>
          <t>MELO &amp; CRUZ LTDA / PGTO REF.ALUGUEL</t>
        </is>
      </c>
      <c r="M1483" s="14" t="inlineStr">
        <is>
          <t>MELO &amp; CRUZ LTDA</t>
        </is>
      </c>
    </row>
    <row r="1484">
      <c r="A1484" s="4" t="n">
        <v>1483</v>
      </c>
      <c r="B1484" s="4" t="inlineStr">
        <is>
          <t>20/07/2026</t>
        </is>
      </c>
      <c r="C1484" s="4" t="inlineStr">
        <is>
          <t>PIX ENVIADO THIAGO TAIT</t>
        </is>
      </c>
      <c r="D1484" s="5" t="n">
        <v>-1500</v>
      </c>
      <c r="E1484" s="4" t="inlineStr">
        <is>
          <t>(novo)</t>
        </is>
      </c>
      <c r="F1484" s="4" t="inlineStr"/>
      <c r="G1484" s="6" t="inlineStr">
        <is>
          <t>362</t>
        </is>
      </c>
      <c r="H1484" s="4">
        <f>IFERROR(VLOOKUP(G1484&amp;"",PLANO!A:B,2,FALSE),"CONTA NAO EXISTE NO PLANO")</f>
        <v/>
      </c>
      <c r="I1484" s="4" t="inlineStr">
        <is>
          <t>362</t>
        </is>
      </c>
      <c r="J1484" s="4" t="inlineStr">
        <is>
          <t>AJUSTADO</t>
        </is>
      </c>
      <c r="K1484" s="4" t="inlineStr">
        <is>
          <t>pessoa fisica - servicos</t>
        </is>
      </c>
      <c r="L1484" s="4" t="inlineStr">
        <is>
          <t>THIAGO TAIT DAS CHAGAS / PGTO REF.SERVIÇOS PRESTADOS CONF.CONTRATO</t>
        </is>
      </c>
      <c r="M1484" s="4" t="inlineStr">
        <is>
          <t>THIAGO TAIT DAS CHAGAS</t>
        </is>
      </c>
    </row>
    <row r="1485">
      <c r="A1485" t="n">
        <v>1484</v>
      </c>
      <c r="B1485" t="inlineStr">
        <is>
          <t>20/07/2026</t>
        </is>
      </c>
      <c r="C1485" t="inlineStr">
        <is>
          <t>PIX ENVIADO FILIPE GERHA</t>
        </is>
      </c>
      <c r="D1485" s="7" t="n">
        <v>-944</v>
      </c>
      <c r="E1485" t="inlineStr">
        <is>
          <t>(novo)</t>
        </is>
      </c>
      <c r="F1485" t="inlineStr"/>
      <c r="G1485" s="2" t="inlineStr">
        <is>
          <t>362</t>
        </is>
      </c>
      <c r="H1485">
        <f>IFERROR(VLOOKUP(G1485&amp;"",PLANO!A:B,2,FALSE),"CONTA NAO EXISTE NO PLANO")</f>
        <v/>
      </c>
      <c r="I1485" t="inlineStr">
        <is>
          <t>362</t>
        </is>
      </c>
      <c r="J1485" t="inlineStr">
        <is>
          <t>OK</t>
        </is>
      </c>
      <c r="K1485" t="inlineStr"/>
      <c r="L1485" t="inlineStr">
        <is>
          <t>MICHEL SCANDER MAZZONI / PGTO REF.PRO-LABORE</t>
        </is>
      </c>
      <c r="M1485" t="inlineStr">
        <is>
          <t>MICHEL SCANDER MAZZONI</t>
        </is>
      </c>
    </row>
    <row r="1486">
      <c r="A1486" t="n">
        <v>1485</v>
      </c>
      <c r="B1486" t="inlineStr">
        <is>
          <t>20/07/2026</t>
        </is>
      </c>
      <c r="C1486" t="inlineStr">
        <is>
          <t>PIX ENVIADO LUCENA &amp; AMO</t>
        </is>
      </c>
      <c r="D1486" s="7" t="n">
        <v>-1000</v>
      </c>
      <c r="E1486" t="inlineStr">
        <is>
          <t>(novo)</t>
        </is>
      </c>
      <c r="F1486" t="inlineStr"/>
      <c r="G1486" s="2" t="inlineStr">
        <is>
          <t>365</t>
        </is>
      </c>
      <c r="H1486">
        <f>IFERROR(VLOOKUP(G1486&amp;"",PLANO!A:B,2,FALSE),"CONTA NAO EXISTE NO PLANO")</f>
        <v/>
      </c>
      <c r="I1486" t="inlineStr">
        <is>
          <t>365</t>
        </is>
      </c>
      <c r="J1486" t="inlineStr">
        <is>
          <t>OK</t>
        </is>
      </c>
      <c r="K1486" t="inlineStr"/>
      <c r="L1486" t="inlineStr">
        <is>
          <t>DIOGO RAFAEL FERMINO BENTO / PGTO REF.ACORDO CONF.ATA PARA PROCURADOR HENRIQUE</t>
        </is>
      </c>
      <c r="M1486" t="inlineStr">
        <is>
          <t>DIOGO RAFAEL FERMINO BENTO</t>
        </is>
      </c>
    </row>
    <row r="1487">
      <c r="A1487" s="11" t="n">
        <v>1486</v>
      </c>
      <c r="B1487" s="11" t="inlineStr">
        <is>
          <t>20/07/2026</t>
        </is>
      </c>
      <c r="C1487" s="11" t="inlineStr">
        <is>
          <t>PIX ENVIADO EMUNA COMERC</t>
        </is>
      </c>
      <c r="D1487" s="12" t="n">
        <v>-1475</v>
      </c>
      <c r="E1487" s="11" t="inlineStr">
        <is>
          <t>(novo)</t>
        </is>
      </c>
      <c r="F1487" s="11" t="inlineStr"/>
      <c r="G1487" s="13" t="inlineStr">
        <is>
          <t>506</t>
        </is>
      </c>
      <c r="H1487" s="11">
        <f>IFERROR(VLOOKUP(G1487&amp;"",PLANO!A:B,2,FALSE),"CONTA NAO EXISTE NO PLANO")</f>
        <v/>
      </c>
      <c r="I1487" s="11" t="inlineStr">
        <is>
          <t>506</t>
        </is>
      </c>
      <c r="J1487" s="11" t="inlineStr">
        <is>
          <t>MANTIDO</t>
        </is>
      </c>
      <c r="K1487" s="11" t="inlineStr">
        <is>
          <t>pagamento sem referencia - tratado como fornecedor (506)</t>
        </is>
      </c>
      <c r="L1487" s="11" t="inlineStr"/>
      <c r="M1487" s="11" t="inlineStr">
        <is>
          <t>PIX ENVIADO EMUNA COMERC</t>
        </is>
      </c>
    </row>
    <row r="1488">
      <c r="A1488" t="n">
        <v>1487</v>
      </c>
      <c r="B1488" t="inlineStr">
        <is>
          <t>20/07/2026</t>
        </is>
      </c>
      <c r="C1488" t="inlineStr">
        <is>
          <t>BOLETO PAGO LABAZ CIENTI</t>
        </is>
      </c>
      <c r="D1488" s="7" t="n">
        <v>-984.34</v>
      </c>
      <c r="E1488" t="inlineStr">
        <is>
          <t>(novo)</t>
        </is>
      </c>
      <c r="F1488" t="inlineStr"/>
      <c r="G1488" s="2" t="inlineStr">
        <is>
          <t>506</t>
        </is>
      </c>
      <c r="H1488">
        <f>IFERROR(VLOOKUP(G1488&amp;"",PLANO!A:B,2,FALSE),"CONTA NAO EXISTE NO PLANO")</f>
        <v/>
      </c>
      <c r="I1488" t="inlineStr">
        <is>
          <t>506</t>
        </is>
      </c>
      <c r="J1488" t="inlineStr">
        <is>
          <t>OK</t>
        </is>
      </c>
      <c r="K1488" t="inlineStr"/>
      <c r="L1488" t="inlineStr">
        <is>
          <t>LABAZ CIENTIFICA LTDA / PAGAMENTO REFERENTE A COMPRA DE MATERIA PRIMA,</t>
        </is>
      </c>
      <c r="M1488" t="inlineStr">
        <is>
          <t>LABAZ CIENTIFICA LTDA</t>
        </is>
      </c>
    </row>
    <row r="1489">
      <c r="A1489" t="n">
        <v>1488</v>
      </c>
      <c r="B1489" t="inlineStr">
        <is>
          <t>20/07/2026</t>
        </is>
      </c>
      <c r="C1489" t="inlineStr">
        <is>
          <t>BOLETO PAGO TECNOPONTO T</t>
        </is>
      </c>
      <c r="D1489" s="7" t="n">
        <v>-166.67</v>
      </c>
      <c r="E1489" t="inlineStr">
        <is>
          <t>(novo)</t>
        </is>
      </c>
      <c r="F1489" t="inlineStr"/>
      <c r="G1489" s="2" t="inlineStr">
        <is>
          <t>506</t>
        </is>
      </c>
      <c r="H1489">
        <f>IFERROR(VLOOKUP(G1489&amp;"",PLANO!A:B,2,FALSE),"CONTA NAO EXISTE NO PLANO")</f>
        <v/>
      </c>
      <c r="I1489" t="inlineStr">
        <is>
          <t>506</t>
        </is>
      </c>
      <c r="J1489" t="inlineStr">
        <is>
          <t>OK</t>
        </is>
      </c>
      <c r="K1489" t="inlineStr"/>
      <c r="L1489" t="inlineStr">
        <is>
          <t>TECNOPONTO TEC AVAN CONT DE PONTO ACESSO LTDA / PAGTO REF. A COMPRA DO NOVO RELÓGIO</t>
        </is>
      </c>
      <c r="M1489" t="inlineStr">
        <is>
          <t>TECNOPONTO TEC AVAN CONT DE PONTO ACESSO LTDA</t>
        </is>
      </c>
    </row>
    <row r="1490">
      <c r="A1490" t="n">
        <v>1489</v>
      </c>
      <c r="B1490" t="inlineStr">
        <is>
          <t>20/07/2026</t>
        </is>
      </c>
      <c r="C1490" t="inlineStr">
        <is>
          <t>BOLETO PAGO JOVII COSM.</t>
        </is>
      </c>
      <c r="D1490" s="7" t="n">
        <v>-2458.2</v>
      </c>
      <c r="E1490" t="inlineStr">
        <is>
          <t>(novo)</t>
        </is>
      </c>
      <c r="F1490" t="inlineStr"/>
      <c r="G1490" s="2" t="inlineStr">
        <is>
          <t>506</t>
        </is>
      </c>
      <c r="H1490">
        <f>IFERROR(VLOOKUP(G1490&amp;"",PLANO!A:B,2,FALSE),"CONTA NAO EXISTE NO PLANO")</f>
        <v/>
      </c>
      <c r="I1490" t="inlineStr">
        <is>
          <t>506</t>
        </is>
      </c>
      <c r="J1490" t="inlineStr">
        <is>
          <t>OK</t>
        </is>
      </c>
      <c r="K1490" t="inlineStr"/>
      <c r="L1490" t="inlineStr">
        <is>
          <t>JOVII COSMECEUTICA LTDA / PAGAMENTO REFERENTE A COMPRA DE MATERIA PRIMA,LUNA</t>
        </is>
      </c>
      <c r="M1490" t="inlineStr">
        <is>
          <t>JOVII COSMECEUTICA LTDA</t>
        </is>
      </c>
    </row>
    <row r="1491">
      <c r="A1491" s="11" t="n">
        <v>1490</v>
      </c>
      <c r="B1491" s="11" t="inlineStr">
        <is>
          <t>20/07/2026</t>
        </is>
      </c>
      <c r="C1491" s="11" t="inlineStr">
        <is>
          <t>Sispag TB PRO COSMETICS</t>
        </is>
      </c>
      <c r="D1491" s="12" t="n">
        <v>3264</v>
      </c>
      <c r="E1491" s="11" t="inlineStr">
        <is>
          <t>(novo)</t>
        </is>
      </c>
      <c r="F1491" s="11" t="inlineStr"/>
      <c r="G1491" s="13" t="inlineStr">
        <is>
          <t>504</t>
        </is>
      </c>
      <c r="H1491" s="11">
        <f>IFERROR(VLOOKUP(G1491&amp;"",PLANO!A:B,2,FALSE),"CONTA NAO EXISTE NO PLANO")</f>
        <v/>
      </c>
      <c r="I1491" s="11" t="inlineStr">
        <is>
          <t>504</t>
        </is>
      </c>
      <c r="J1491" s="11" t="inlineStr">
        <is>
          <t>MANTIDO</t>
        </is>
      </c>
      <c r="K1491" s="11" t="inlineStr">
        <is>
          <t>credito sem referencia - tratado como recebimento de cliente (504)</t>
        </is>
      </c>
      <c r="L1491" s="11" t="inlineStr"/>
      <c r="M1491" s="11" t="inlineStr">
        <is>
          <t>SISPAG TB PRO COSMETICS</t>
        </is>
      </c>
    </row>
    <row r="1492">
      <c r="A1492" s="11" t="n">
        <v>1491</v>
      </c>
      <c r="B1492" s="11" t="inlineStr">
        <is>
          <t>20/07/2026</t>
        </is>
      </c>
      <c r="C1492" s="11" t="inlineStr">
        <is>
          <t>Sispag YGREM MARCENARIA</t>
        </is>
      </c>
      <c r="D1492" s="12" t="n">
        <v>6000</v>
      </c>
      <c r="E1492" s="11" t="inlineStr">
        <is>
          <t>(novo)</t>
        </is>
      </c>
      <c r="F1492" s="11" t="inlineStr"/>
      <c r="G1492" s="13" t="inlineStr">
        <is>
          <t>504</t>
        </is>
      </c>
      <c r="H1492" s="11">
        <f>IFERROR(VLOOKUP(G1492&amp;"",PLANO!A:B,2,FALSE),"CONTA NAO EXISTE NO PLANO")</f>
        <v/>
      </c>
      <c r="I1492" s="11" t="inlineStr">
        <is>
          <t>504</t>
        </is>
      </c>
      <c r="J1492" s="11" t="inlineStr">
        <is>
          <t>MANTIDO</t>
        </is>
      </c>
      <c r="K1492" s="11" t="inlineStr">
        <is>
          <t>credito sem referencia - tratado como recebimento de cliente (504)</t>
        </is>
      </c>
      <c r="L1492" s="11" t="inlineStr"/>
      <c r="M1492" s="11" t="inlineStr">
        <is>
          <t>SISPAG YGREM MARCENARIA</t>
        </is>
      </c>
    </row>
    <row r="1493">
      <c r="A1493" t="n">
        <v>1492</v>
      </c>
      <c r="B1493" t="inlineStr">
        <is>
          <t>20/07/2026</t>
        </is>
      </c>
      <c r="C1493" t="inlineStr">
        <is>
          <t>TED 448.0000FIDC OS RL</t>
        </is>
      </c>
      <c r="D1493" s="7" t="n">
        <v>8955.1</v>
      </c>
      <c r="E1493" t="inlineStr">
        <is>
          <t>(novo)</t>
        </is>
      </c>
      <c r="F1493" t="inlineStr"/>
      <c r="G1493" s="2" t="inlineStr">
        <is>
          <t>504</t>
        </is>
      </c>
      <c r="H1493">
        <f>IFERROR(VLOOKUP(G1493&amp;"",PLANO!A:B,2,FALSE),"CONTA NAO EXISTE NO PLANO")</f>
        <v/>
      </c>
      <c r="I1493" t="inlineStr">
        <is>
          <t>504</t>
        </is>
      </c>
      <c r="J1493" t="inlineStr">
        <is>
          <t>OK</t>
        </is>
      </c>
      <c r="K1493" t="inlineStr"/>
      <c r="L1493" t="inlineStr"/>
      <c r="M1493" t="inlineStr">
        <is>
          <t>TED 448.0000FIDC OS RL</t>
        </is>
      </c>
    </row>
    <row r="1494">
      <c r="A1494" t="n">
        <v>1493</v>
      </c>
      <c r="B1494" t="inlineStr">
        <is>
          <t>20/07/2026</t>
        </is>
      </c>
      <c r="C1494" t="inlineStr">
        <is>
          <t>Mov Tít Cob Disp 18/07S</t>
        </is>
      </c>
      <c r="D1494" s="7" t="n">
        <v>907.8</v>
      </c>
      <c r="E1494" t="inlineStr">
        <is>
          <t>(novo)</t>
        </is>
      </c>
      <c r="F1494" t="inlineStr"/>
      <c r="G1494" s="2" t="inlineStr">
        <is>
          <t>504</t>
        </is>
      </c>
      <c r="H1494">
        <f>IFERROR(VLOOKUP(G1494&amp;"",PLANO!A:B,2,FALSE),"CONTA NAO EXISTE NO PLANO")</f>
        <v/>
      </c>
      <c r="I1494" t="inlineStr">
        <is>
          <t>504</t>
        </is>
      </c>
      <c r="J1494" t="inlineStr">
        <is>
          <t>OK</t>
        </is>
      </c>
      <c r="K1494" t="inlineStr"/>
      <c r="L1494" t="inlineStr"/>
      <c r="M1494" t="inlineStr">
        <is>
          <t>MOV TÍT COB DISP 18/07S</t>
        </is>
      </c>
    </row>
    <row r="1495">
      <c r="A1495" t="n">
        <v>1494</v>
      </c>
      <c r="B1495" t="inlineStr">
        <is>
          <t>20/07/2026</t>
        </is>
      </c>
      <c r="C1495" t="inlineStr">
        <is>
          <t>Mov Tít Cob Disp 20/07S</t>
        </is>
      </c>
      <c r="D1495" s="7" t="n">
        <v>4770.38</v>
      </c>
      <c r="E1495" t="inlineStr">
        <is>
          <t>(novo)</t>
        </is>
      </c>
      <c r="F1495" t="inlineStr"/>
      <c r="G1495" s="2" t="inlineStr">
        <is>
          <t>504</t>
        </is>
      </c>
      <c r="H1495">
        <f>IFERROR(VLOOKUP(G1495&amp;"",PLANO!A:B,2,FALSE),"CONTA NAO EXISTE NO PLANO")</f>
        <v/>
      </c>
      <c r="I1495" t="inlineStr">
        <is>
          <t>504</t>
        </is>
      </c>
      <c r="J1495" t="inlineStr">
        <is>
          <t>OK</t>
        </is>
      </c>
      <c r="K1495" t="inlineStr"/>
      <c r="L1495" t="inlineStr"/>
      <c r="M1495" t="inlineStr">
        <is>
          <t>MOV TÍT COB DISP 20/07S</t>
        </is>
      </c>
    </row>
    <row r="1496">
      <c r="A1496" t="n">
        <v>1495</v>
      </c>
      <c r="B1496" t="inlineStr">
        <is>
          <t>21/07/2026</t>
        </is>
      </c>
      <c r="C1496" t="inlineStr">
        <is>
          <t>PIX ENVIADO NOVA PIRAMID</t>
        </is>
      </c>
      <c r="D1496" s="7" t="n">
        <v>-9284.24</v>
      </c>
      <c r="E1496" t="inlineStr">
        <is>
          <t>(novo)</t>
        </is>
      </c>
      <c r="F1496" t="inlineStr"/>
      <c r="G1496" s="2" t="inlineStr">
        <is>
          <t>506</t>
        </is>
      </c>
      <c r="H1496">
        <f>IFERROR(VLOOKUP(G1496&amp;"",PLANO!A:B,2,FALSE),"CONTA NAO EXISTE NO PLANO")</f>
        <v/>
      </c>
      <c r="I1496" t="inlineStr">
        <is>
          <t>506</t>
        </is>
      </c>
      <c r="J1496" t="inlineStr">
        <is>
          <t>OK</t>
        </is>
      </c>
      <c r="K1496" t="inlineStr"/>
      <c r="L1496" t="inlineStr"/>
      <c r="M1496" t="inlineStr">
        <is>
          <t>PIX ENVIADO NOVA PIRAMID</t>
        </is>
      </c>
    </row>
    <row r="1497">
      <c r="A1497" t="n">
        <v>1496</v>
      </c>
      <c r="B1497" t="inlineStr">
        <is>
          <t>21/07/2026</t>
        </is>
      </c>
      <c r="C1497" t="inlineStr">
        <is>
          <t>PIX ENVIADO RODONAVES TR</t>
        </is>
      </c>
      <c r="D1497" s="7" t="n">
        <v>-328.88</v>
      </c>
      <c r="E1497" t="inlineStr">
        <is>
          <t>(novo)</t>
        </is>
      </c>
      <c r="F1497" t="inlineStr"/>
      <c r="G1497" s="2" t="inlineStr">
        <is>
          <t>312</t>
        </is>
      </c>
      <c r="H1497">
        <f>IFERROR(VLOOKUP(G1497&amp;"",PLANO!A:B,2,FALSE),"CONTA NAO EXISTE NO PLANO")</f>
        <v/>
      </c>
      <c r="I1497" t="inlineStr">
        <is>
          <t>312</t>
        </is>
      </c>
      <c r="J1497" t="inlineStr">
        <is>
          <t>OK</t>
        </is>
      </c>
      <c r="K1497" t="inlineStr"/>
      <c r="L1497" t="inlineStr"/>
      <c r="M1497" t="inlineStr">
        <is>
          <t>PIX ENVIADO RODONAVES TR</t>
        </is>
      </c>
    </row>
    <row r="1498">
      <c r="A1498" s="11" t="n">
        <v>1497</v>
      </c>
      <c r="B1498" s="11" t="inlineStr">
        <is>
          <t>21/07/2026</t>
        </is>
      </c>
      <c r="C1498" s="11" t="inlineStr">
        <is>
          <t>PIX ENVIADO CAETANO PLAS</t>
        </is>
      </c>
      <c r="D1498" s="12" t="n">
        <v>-1000</v>
      </c>
      <c r="E1498" s="11" t="inlineStr">
        <is>
          <t>(novo)</t>
        </is>
      </c>
      <c r="F1498" s="11" t="inlineStr"/>
      <c r="G1498" s="13" t="inlineStr">
        <is>
          <t>506</t>
        </is>
      </c>
      <c r="H1498" s="11">
        <f>IFERROR(VLOOKUP(G1498&amp;"",PLANO!A:B,2,FALSE),"CONTA NAO EXISTE NO PLANO")</f>
        <v/>
      </c>
      <c r="I1498" s="11" t="inlineStr">
        <is>
          <t>506</t>
        </is>
      </c>
      <c r="J1498" s="11" t="inlineStr">
        <is>
          <t>MANTIDO</t>
        </is>
      </c>
      <c r="K1498" s="11" t="inlineStr">
        <is>
          <t>pagamento sem referencia - tratado como fornecedor (506)</t>
        </is>
      </c>
      <c r="L1498" s="11" t="inlineStr"/>
      <c r="M1498" s="11" t="inlineStr">
        <is>
          <t>PIX ENVIADO CAETANO PLAS</t>
        </is>
      </c>
    </row>
    <row r="1499">
      <c r="A1499" t="n">
        <v>1498</v>
      </c>
      <c r="B1499" t="inlineStr">
        <is>
          <t>21/07/2026</t>
        </is>
      </c>
      <c r="C1499" t="inlineStr">
        <is>
          <t>PIX ENVIADO FELIPE DE OL</t>
        </is>
      </c>
      <c r="D1499" s="7" t="n">
        <v>-2755</v>
      </c>
      <c r="E1499" t="inlineStr">
        <is>
          <t>(novo)</t>
        </is>
      </c>
      <c r="F1499" t="inlineStr"/>
      <c r="G1499" s="2" t="inlineStr">
        <is>
          <t>362</t>
        </is>
      </c>
      <c r="H1499">
        <f>IFERROR(VLOOKUP(G1499&amp;"",PLANO!A:B,2,FALSE),"CONTA NAO EXISTE NO PLANO")</f>
        <v/>
      </c>
      <c r="I1499" t="inlineStr">
        <is>
          <t>362</t>
        </is>
      </c>
      <c r="J1499" t="inlineStr">
        <is>
          <t>OK</t>
        </is>
      </c>
      <c r="K1499" t="inlineStr"/>
      <c r="L1499" t="inlineStr"/>
      <c r="M1499" t="inlineStr">
        <is>
          <t>PIX ENVIADO FELIPE DE OL</t>
        </is>
      </c>
    </row>
    <row r="1500">
      <c r="A1500" s="11" t="n">
        <v>1499</v>
      </c>
      <c r="B1500" s="11" t="inlineStr">
        <is>
          <t>21/07/2026</t>
        </is>
      </c>
      <c r="C1500" s="11" t="inlineStr">
        <is>
          <t>PIX ENVIADO VIP COMERCIO</t>
        </is>
      </c>
      <c r="D1500" s="12" t="n">
        <v>-258.13</v>
      </c>
      <c r="E1500" s="11" t="inlineStr">
        <is>
          <t>(novo)</t>
        </is>
      </c>
      <c r="F1500" s="11" t="inlineStr"/>
      <c r="G1500" s="13" t="inlineStr">
        <is>
          <t>506</t>
        </is>
      </c>
      <c r="H1500" s="11">
        <f>IFERROR(VLOOKUP(G1500&amp;"",PLANO!A:B,2,FALSE),"CONTA NAO EXISTE NO PLANO")</f>
        <v/>
      </c>
      <c r="I1500" s="11" t="inlineStr">
        <is>
          <t>506</t>
        </is>
      </c>
      <c r="J1500" s="11" t="inlineStr">
        <is>
          <t>MANTIDO</t>
        </is>
      </c>
      <c r="K1500" s="11" t="inlineStr">
        <is>
          <t>pagamento sem referencia - tratado como fornecedor (506)</t>
        </is>
      </c>
      <c r="L1500" s="11" t="inlineStr"/>
      <c r="M1500" s="11" t="inlineStr">
        <is>
          <t>PIX ENVIADO VIP COMERCIO</t>
        </is>
      </c>
    </row>
    <row r="1501">
      <c r="A1501" t="n">
        <v>1500</v>
      </c>
      <c r="B1501" t="inlineStr">
        <is>
          <t>21/07/2026</t>
        </is>
      </c>
      <c r="C1501" t="inlineStr">
        <is>
          <t>PIX ENVIADO ILS - TECNOL</t>
        </is>
      </c>
      <c r="D1501" s="7" t="n">
        <v>-887.59</v>
      </c>
      <c r="E1501" t="inlineStr">
        <is>
          <t>(novo)</t>
        </is>
      </c>
      <c r="F1501" t="inlineStr"/>
      <c r="G1501" s="2" t="inlineStr">
        <is>
          <t>506</t>
        </is>
      </c>
      <c r="H1501">
        <f>IFERROR(VLOOKUP(G1501&amp;"",PLANO!A:B,2,FALSE),"CONTA NAO EXISTE NO PLANO")</f>
        <v/>
      </c>
      <c r="I1501" t="inlineStr">
        <is>
          <t>506</t>
        </is>
      </c>
      <c r="J1501" t="inlineStr">
        <is>
          <t>OK</t>
        </is>
      </c>
      <c r="K1501" t="inlineStr"/>
      <c r="L1501" t="inlineStr"/>
      <c r="M1501" t="inlineStr">
        <is>
          <t>PIX ENVIADO ILS - TECNOL</t>
        </is>
      </c>
    </row>
    <row r="1502">
      <c r="A1502" t="n">
        <v>1501</v>
      </c>
      <c r="B1502" t="inlineStr">
        <is>
          <t>21/07/2026</t>
        </is>
      </c>
      <c r="C1502" t="inlineStr">
        <is>
          <t>BOLETO PAGO QUIMIFORMULA</t>
        </is>
      </c>
      <c r="D1502" s="7" t="n">
        <v>-1089.23</v>
      </c>
      <c r="E1502" t="inlineStr">
        <is>
          <t>(novo)</t>
        </is>
      </c>
      <c r="F1502" t="inlineStr"/>
      <c r="G1502" s="2" t="inlineStr">
        <is>
          <t>506</t>
        </is>
      </c>
      <c r="H1502">
        <f>IFERROR(VLOOKUP(G1502&amp;"",PLANO!A:B,2,FALSE),"CONTA NAO EXISTE NO PLANO")</f>
        <v/>
      </c>
      <c r="I1502" t="inlineStr">
        <is>
          <t>506</t>
        </is>
      </c>
      <c r="J1502" t="inlineStr">
        <is>
          <t>OK</t>
        </is>
      </c>
      <c r="K1502" t="inlineStr"/>
      <c r="L1502" t="inlineStr"/>
      <c r="M1502" t="inlineStr">
        <is>
          <t>BOLETO PAGO QUIMIFORMULA</t>
        </is>
      </c>
    </row>
    <row r="1503">
      <c r="A1503" t="n">
        <v>1502</v>
      </c>
      <c r="B1503" t="inlineStr">
        <is>
          <t>21/07/2026</t>
        </is>
      </c>
      <c r="C1503" t="inlineStr">
        <is>
          <t>BOLETO PAGO 60512435 Alt</t>
        </is>
      </c>
      <c r="D1503" s="7" t="n">
        <v>-330</v>
      </c>
      <c r="E1503" t="inlineStr">
        <is>
          <t>(novo)</t>
        </is>
      </c>
      <c r="F1503" t="inlineStr"/>
      <c r="G1503" s="2" t="inlineStr">
        <is>
          <t>506</t>
        </is>
      </c>
      <c r="H1503">
        <f>IFERROR(VLOOKUP(G1503&amp;"",PLANO!A:B,2,FALSE),"CONTA NAO EXISTE NO PLANO")</f>
        <v/>
      </c>
      <c r="I1503" t="inlineStr">
        <is>
          <t>506</t>
        </is>
      </c>
      <c r="J1503" t="inlineStr">
        <is>
          <t>OK</t>
        </is>
      </c>
      <c r="K1503" t="inlineStr"/>
      <c r="L1503" t="inlineStr"/>
      <c r="M1503" t="inlineStr">
        <is>
          <t>BOLETO PAGO 60512435 ALT</t>
        </is>
      </c>
    </row>
    <row r="1504">
      <c r="A1504" t="n">
        <v>1503</v>
      </c>
      <c r="B1504" t="inlineStr">
        <is>
          <t>21/07/2026</t>
        </is>
      </c>
      <c r="C1504" t="inlineStr">
        <is>
          <t>Sispag FRANCISCO ROSARI</t>
        </is>
      </c>
      <c r="D1504" s="7" t="n">
        <v>219.37</v>
      </c>
      <c r="E1504" t="inlineStr">
        <is>
          <t>(novo)</t>
        </is>
      </c>
      <c r="F1504" t="inlineStr"/>
      <c r="G1504" s="2" t="inlineStr">
        <is>
          <t>504</t>
        </is>
      </c>
      <c r="H1504">
        <f>IFERROR(VLOOKUP(G1504&amp;"",PLANO!A:B,2,FALSE),"CONTA NAO EXISTE NO PLANO")</f>
        <v/>
      </c>
      <c r="I1504" t="inlineStr">
        <is>
          <t>504</t>
        </is>
      </c>
      <c r="J1504" t="inlineStr">
        <is>
          <t>OK</t>
        </is>
      </c>
      <c r="K1504" t="inlineStr"/>
      <c r="L1504" t="inlineStr"/>
      <c r="M1504" t="inlineStr">
        <is>
          <t>SISPAG FRANCISCO ROSARI</t>
        </is>
      </c>
    </row>
    <row r="1505">
      <c r="A1505" t="n">
        <v>1504</v>
      </c>
      <c r="B1505" t="inlineStr">
        <is>
          <t>21/07/2026</t>
        </is>
      </c>
      <c r="C1505" t="inlineStr">
        <is>
          <t>Mov Tít Cob Disp 21/07S</t>
        </is>
      </c>
      <c r="D1505" s="7" t="n">
        <v>5282.25</v>
      </c>
      <c r="E1505" t="inlineStr">
        <is>
          <t>(novo)</t>
        </is>
      </c>
      <c r="F1505" t="inlineStr"/>
      <c r="G1505" s="2" t="inlineStr">
        <is>
          <t>504</t>
        </is>
      </c>
      <c r="H1505">
        <f>IFERROR(VLOOKUP(G1505&amp;"",PLANO!A:B,2,FALSE),"CONTA NAO EXISTE NO PLANO")</f>
        <v/>
      </c>
      <c r="I1505" t="inlineStr">
        <is>
          <t>504</t>
        </is>
      </c>
      <c r="J1505" t="inlineStr">
        <is>
          <t>OK</t>
        </is>
      </c>
      <c r="K1505" t="inlineStr"/>
      <c r="L1505" t="inlineStr"/>
      <c r="M1505" t="inlineStr">
        <is>
          <t>MOV TÍT COB DISP 21/07S</t>
        </is>
      </c>
    </row>
    <row r="1506">
      <c r="A1506" t="n">
        <v>1505</v>
      </c>
      <c r="B1506" t="inlineStr">
        <is>
          <t>21/07/2026</t>
        </is>
      </c>
      <c r="C1506" t="inlineStr">
        <is>
          <t>PIX TRANSF attoz b21/07</t>
        </is>
      </c>
      <c r="D1506" s="7" t="n">
        <v>5000</v>
      </c>
      <c r="E1506" t="inlineStr">
        <is>
          <t>(novo)</t>
        </is>
      </c>
      <c r="F1506" t="inlineStr"/>
      <c r="G1506" s="2" t="inlineStr">
        <is>
          <t>504</t>
        </is>
      </c>
      <c r="H1506">
        <f>IFERROR(VLOOKUP(G1506&amp;"",PLANO!A:B,2,FALSE),"CONTA NAO EXISTE NO PLANO")</f>
        <v/>
      </c>
      <c r="I1506" t="inlineStr">
        <is>
          <t>504</t>
        </is>
      </c>
      <c r="J1506" t="inlineStr">
        <is>
          <t>OK</t>
        </is>
      </c>
      <c r="K1506" t="inlineStr"/>
      <c r="L1506" t="inlineStr"/>
      <c r="M1506" t="inlineStr">
        <is>
          <t>PIX TRANSF ATTOZ B21/07</t>
        </is>
      </c>
    </row>
    <row r="1507">
      <c r="A1507" t="n">
        <v>1506</v>
      </c>
      <c r="B1507" t="inlineStr">
        <is>
          <t>21/07/2026</t>
        </is>
      </c>
      <c r="C1507" t="inlineStr">
        <is>
          <t>PIX TRANSF R&amp;S COM21/07</t>
        </is>
      </c>
      <c r="D1507" s="7" t="n">
        <v>8688</v>
      </c>
      <c r="E1507" t="inlineStr">
        <is>
          <t>(novo)</t>
        </is>
      </c>
      <c r="F1507" t="inlineStr"/>
      <c r="G1507" s="2" t="inlineStr">
        <is>
          <t>504</t>
        </is>
      </c>
      <c r="H1507">
        <f>IFERROR(VLOOKUP(G1507&amp;"",PLANO!A:B,2,FALSE),"CONTA NAO EXISTE NO PLANO")</f>
        <v/>
      </c>
      <c r="I1507" t="inlineStr">
        <is>
          <t>504</t>
        </is>
      </c>
      <c r="J1507" t="inlineStr">
        <is>
          <t>OK</t>
        </is>
      </c>
      <c r="K1507" t="inlineStr"/>
      <c r="L1507" t="inlineStr"/>
      <c r="M1507" t="inlineStr">
        <is>
          <t>PIX TRANSF R&amp;S COM21/07</t>
        </is>
      </c>
    </row>
    <row r="1508">
      <c r="A1508" t="n">
        <v>1507</v>
      </c>
      <c r="B1508" t="inlineStr">
        <is>
          <t>21/07/2026</t>
        </is>
      </c>
      <c r="C1508" t="inlineStr">
        <is>
          <t>PIX TRANSF SB BEAU21/07</t>
        </is>
      </c>
      <c r="D1508" s="7" t="n">
        <v>5993.03</v>
      </c>
      <c r="E1508" t="inlineStr">
        <is>
          <t>(novo)</t>
        </is>
      </c>
      <c r="F1508" t="inlineStr"/>
      <c r="G1508" s="2" t="inlineStr">
        <is>
          <t>504</t>
        </is>
      </c>
      <c r="H1508">
        <f>IFERROR(VLOOKUP(G1508&amp;"",PLANO!A:B,2,FALSE),"CONTA NAO EXISTE NO PLANO")</f>
        <v/>
      </c>
      <c r="I1508" t="inlineStr">
        <is>
          <t>504</t>
        </is>
      </c>
      <c r="J1508" t="inlineStr">
        <is>
          <t>OK</t>
        </is>
      </c>
      <c r="K1508" t="inlineStr"/>
      <c r="L1508" t="inlineStr"/>
      <c r="M1508" t="inlineStr">
        <is>
          <t>PIX TRANSF SB BEAU21/07</t>
        </is>
      </c>
    </row>
    <row r="1509">
      <c r="A1509" s="4" t="n">
        <v>1508</v>
      </c>
      <c r="B1509" s="4" t="inlineStr">
        <is>
          <t>22/07/2026</t>
        </is>
      </c>
      <c r="C1509" s="4" t="inlineStr">
        <is>
          <t>PIX ENVIADO MARCELLA ROC</t>
        </is>
      </c>
      <c r="D1509" s="5" t="n">
        <v>-1272.39</v>
      </c>
      <c r="E1509" s="4" t="inlineStr">
        <is>
          <t>(novo)</t>
        </is>
      </c>
      <c r="F1509" s="4" t="inlineStr"/>
      <c r="G1509" s="6" t="inlineStr">
        <is>
          <t>362</t>
        </is>
      </c>
      <c r="H1509" s="4">
        <f>IFERROR(VLOOKUP(G1509&amp;"",PLANO!A:B,2,FALSE),"CONTA NAO EXISTE NO PLANO")</f>
        <v/>
      </c>
      <c r="I1509" s="4" t="inlineStr">
        <is>
          <t>506</t>
        </is>
      </c>
      <c r="J1509" s="4" t="inlineStr">
        <is>
          <t>AJUSTADO</t>
        </is>
      </c>
      <c r="K1509" s="4" t="inlineStr">
        <is>
          <t>pessoa fisica - servicos</t>
        </is>
      </c>
      <c r="L1509" s="4" t="inlineStr"/>
      <c r="M1509" s="4" t="inlineStr">
        <is>
          <t>PIX ENVIADO MARCELLA ROC</t>
        </is>
      </c>
    </row>
    <row r="1510">
      <c r="A1510" t="n">
        <v>1509</v>
      </c>
      <c r="B1510" t="inlineStr">
        <is>
          <t>22/07/2026</t>
        </is>
      </c>
      <c r="C1510" t="inlineStr">
        <is>
          <t>PIX ENVIADO MICHEL SCAND</t>
        </is>
      </c>
      <c r="D1510" s="7" t="n">
        <v>-1000</v>
      </c>
      <c r="E1510" t="inlineStr">
        <is>
          <t>(novo)</t>
        </is>
      </c>
      <c r="F1510" t="inlineStr"/>
      <c r="G1510" s="2" t="inlineStr">
        <is>
          <t>362</t>
        </is>
      </c>
      <c r="H1510">
        <f>IFERROR(VLOOKUP(G1510&amp;"",PLANO!A:B,2,FALSE),"CONTA NAO EXISTE NO PLANO")</f>
        <v/>
      </c>
      <c r="I1510" t="inlineStr">
        <is>
          <t>362</t>
        </is>
      </c>
      <c r="J1510" t="inlineStr">
        <is>
          <t>OK</t>
        </is>
      </c>
      <c r="K1510" t="inlineStr"/>
      <c r="L1510" t="inlineStr"/>
      <c r="M1510" t="inlineStr">
        <is>
          <t>MICHEL SCANDER MAZZONI</t>
        </is>
      </c>
    </row>
    <row r="1511">
      <c r="A1511" t="n">
        <v>1510</v>
      </c>
      <c r="B1511" t="inlineStr">
        <is>
          <t>22/07/2026</t>
        </is>
      </c>
      <c r="C1511" t="inlineStr">
        <is>
          <t>PIX ENVIADO RODONAVES TR</t>
        </is>
      </c>
      <c r="D1511" s="7" t="n">
        <v>-406.2</v>
      </c>
      <c r="E1511" t="inlineStr">
        <is>
          <t>(novo)</t>
        </is>
      </c>
      <c r="F1511" t="inlineStr"/>
      <c r="G1511" s="2" t="inlineStr">
        <is>
          <t>312</t>
        </is>
      </c>
      <c r="H1511">
        <f>IFERROR(VLOOKUP(G1511&amp;"",PLANO!A:B,2,FALSE),"CONTA NAO EXISTE NO PLANO")</f>
        <v/>
      </c>
      <c r="I1511" t="inlineStr">
        <is>
          <t>312</t>
        </is>
      </c>
      <c r="J1511" t="inlineStr">
        <is>
          <t>OK</t>
        </is>
      </c>
      <c r="K1511" t="inlineStr"/>
      <c r="L1511" t="inlineStr"/>
      <c r="M1511" t="inlineStr">
        <is>
          <t>PIX ENVIADO RODONAVES TR</t>
        </is>
      </c>
    </row>
    <row r="1512">
      <c r="A1512" t="n">
        <v>1511</v>
      </c>
      <c r="B1512" t="inlineStr">
        <is>
          <t>22/07/2026</t>
        </is>
      </c>
      <c r="C1512" t="inlineStr">
        <is>
          <t>BOLETO PAGO DINACO IMPOR</t>
        </is>
      </c>
      <c r="D1512" s="7" t="n">
        <v>-4573.24</v>
      </c>
      <c r="E1512" t="inlineStr">
        <is>
          <t>(novo)</t>
        </is>
      </c>
      <c r="F1512" t="inlineStr"/>
      <c r="G1512" s="2" t="inlineStr">
        <is>
          <t>506</t>
        </is>
      </c>
      <c r="H1512">
        <f>IFERROR(VLOOKUP(G1512&amp;"",PLANO!A:B,2,FALSE),"CONTA NAO EXISTE NO PLANO")</f>
        <v/>
      </c>
      <c r="I1512" t="inlineStr">
        <is>
          <t>506</t>
        </is>
      </c>
      <c r="J1512" t="inlineStr">
        <is>
          <t>OK</t>
        </is>
      </c>
      <c r="K1512" t="inlineStr"/>
      <c r="L1512" t="inlineStr"/>
      <c r="M1512" t="inlineStr">
        <is>
          <t>BOLETO PAGO DINACO IMPOR</t>
        </is>
      </c>
    </row>
    <row r="1513">
      <c r="A1513" t="n">
        <v>1512</v>
      </c>
      <c r="B1513" t="inlineStr">
        <is>
          <t>22/07/2026</t>
        </is>
      </c>
      <c r="C1513" t="inlineStr">
        <is>
          <t>BOLETO PAGO DENTAL UNI</t>
        </is>
      </c>
      <c r="D1513" s="7" t="n">
        <v>-114.96</v>
      </c>
      <c r="E1513" t="inlineStr">
        <is>
          <t>(novo)</t>
        </is>
      </c>
      <c r="F1513" t="inlineStr"/>
      <c r="G1513" s="2" t="inlineStr">
        <is>
          <t>628</t>
        </is>
      </c>
      <c r="H1513">
        <f>IFERROR(VLOOKUP(G1513&amp;"",PLANO!A:B,2,FALSE),"CONTA NAO EXISTE NO PLANO")</f>
        <v/>
      </c>
      <c r="I1513" t="inlineStr">
        <is>
          <t>628</t>
        </is>
      </c>
      <c r="J1513" t="inlineStr">
        <is>
          <t>OK</t>
        </is>
      </c>
      <c r="K1513" t="inlineStr"/>
      <c r="L1513" t="inlineStr"/>
      <c r="M1513" t="inlineStr">
        <is>
          <t>DENTAL UNI COOPERATIVA ODONTOLOGICA PGTO REF. PRESTACAO DE SERVICOS</t>
        </is>
      </c>
    </row>
    <row r="1514">
      <c r="A1514" t="n">
        <v>1513</v>
      </c>
      <c r="B1514" t="inlineStr">
        <is>
          <t>22/07/2026</t>
        </is>
      </c>
      <c r="C1514" t="inlineStr">
        <is>
          <t>BOLETO PAGO DINACO IMPOR</t>
        </is>
      </c>
      <c r="D1514" s="7" t="n">
        <v>-1758.77</v>
      </c>
      <c r="E1514" t="inlineStr">
        <is>
          <t>(novo)</t>
        </is>
      </c>
      <c r="F1514" t="inlineStr"/>
      <c r="G1514" s="2" t="inlineStr">
        <is>
          <t>506</t>
        </is>
      </c>
      <c r="H1514">
        <f>IFERROR(VLOOKUP(G1514&amp;"",PLANO!A:B,2,FALSE),"CONTA NAO EXISTE NO PLANO")</f>
        <v/>
      </c>
      <c r="I1514" t="inlineStr">
        <is>
          <t>506</t>
        </is>
      </c>
      <c r="J1514" t="inlineStr">
        <is>
          <t>OK</t>
        </is>
      </c>
      <c r="K1514" t="inlineStr"/>
      <c r="L1514" t="inlineStr"/>
      <c r="M1514" t="inlineStr">
        <is>
          <t>BOLETO PAGO DINACO IMPOR</t>
        </is>
      </c>
    </row>
    <row r="1515">
      <c r="A1515" s="11" t="n">
        <v>1514</v>
      </c>
      <c r="B1515" s="11" t="inlineStr">
        <is>
          <t>22/07/2026</t>
        </is>
      </c>
      <c r="C1515" s="11" t="inlineStr">
        <is>
          <t>BOLETO PAGO QUANTIQ DIST</t>
        </is>
      </c>
      <c r="D1515" s="12" t="n">
        <v>-2044.78</v>
      </c>
      <c r="E1515" s="11" t="inlineStr">
        <is>
          <t>(novo)</t>
        </is>
      </c>
      <c r="F1515" s="11" t="inlineStr"/>
      <c r="G1515" s="13" t="inlineStr">
        <is>
          <t>506</t>
        </is>
      </c>
      <c r="H1515" s="11">
        <f>IFERROR(VLOOKUP(G1515&amp;"",PLANO!A:B,2,FALSE),"CONTA NAO EXISTE NO PLANO")</f>
        <v/>
      </c>
      <c r="I1515" s="11" t="inlineStr">
        <is>
          <t>506</t>
        </is>
      </c>
      <c r="J1515" s="11" t="inlineStr">
        <is>
          <t>MANTIDO</t>
        </is>
      </c>
      <c r="K1515" s="11" t="inlineStr">
        <is>
          <t>pagamento sem referencia - tratado como fornecedor (506)</t>
        </is>
      </c>
      <c r="L1515" s="11" t="inlineStr"/>
      <c r="M1515" s="11" t="inlineStr">
        <is>
          <t>BOLETO PAGO QUANTIQ DIST</t>
        </is>
      </c>
    </row>
    <row r="1516">
      <c r="A1516" t="n">
        <v>1515</v>
      </c>
      <c r="B1516" t="inlineStr">
        <is>
          <t>22/07/2026</t>
        </is>
      </c>
      <c r="C1516" t="inlineStr">
        <is>
          <t>Mov Tít Cob Disp 22/07S</t>
        </is>
      </c>
      <c r="D1516" s="7" t="n">
        <v>3491.21</v>
      </c>
      <c r="E1516" t="inlineStr">
        <is>
          <t>(novo)</t>
        </is>
      </c>
      <c r="F1516" t="inlineStr"/>
      <c r="G1516" s="2" t="inlineStr">
        <is>
          <t>504</t>
        </is>
      </c>
      <c r="H1516">
        <f>IFERROR(VLOOKUP(G1516&amp;"",PLANO!A:B,2,FALSE),"CONTA NAO EXISTE NO PLANO")</f>
        <v/>
      </c>
      <c r="I1516" t="inlineStr">
        <is>
          <t>504</t>
        </is>
      </c>
      <c r="J1516" t="inlineStr">
        <is>
          <t>OK</t>
        </is>
      </c>
      <c r="K1516" t="inlineStr"/>
      <c r="L1516" t="inlineStr"/>
      <c r="M1516" t="inlineStr">
        <is>
          <t>MOV TÍT COB DISP 22/07S</t>
        </is>
      </c>
    </row>
    <row r="1517">
      <c r="A1517" t="n">
        <v>1516</v>
      </c>
      <c r="B1517" t="inlineStr">
        <is>
          <t>22/07/2026</t>
        </is>
      </c>
      <c r="C1517" t="inlineStr">
        <is>
          <t>PIX TRANSF INST TE22/07</t>
        </is>
      </c>
      <c r="D1517" s="7" t="n">
        <v>1212.87</v>
      </c>
      <c r="E1517" t="inlineStr">
        <is>
          <t>(novo)</t>
        </is>
      </c>
      <c r="F1517" t="inlineStr"/>
      <c r="G1517" s="2" t="inlineStr">
        <is>
          <t>504</t>
        </is>
      </c>
      <c r="H1517">
        <f>IFERROR(VLOOKUP(G1517&amp;"",PLANO!A:B,2,FALSE),"CONTA NAO EXISTE NO PLANO")</f>
        <v/>
      </c>
      <c r="I1517" t="inlineStr">
        <is>
          <t>504</t>
        </is>
      </c>
      <c r="J1517" t="inlineStr">
        <is>
          <t>OK</t>
        </is>
      </c>
      <c r="K1517" t="inlineStr"/>
      <c r="L1517" t="inlineStr"/>
      <c r="M1517" t="inlineStr">
        <is>
          <t>PIX TRANSF INST TE22/07</t>
        </is>
      </c>
    </row>
    <row r="1518">
      <c r="A1518" t="n">
        <v>1517</v>
      </c>
      <c r="B1518" t="inlineStr">
        <is>
          <t>22/07/2026</t>
        </is>
      </c>
      <c r="C1518" t="inlineStr">
        <is>
          <t>Rend Pago Aplic Aut Mais</t>
        </is>
      </c>
      <c r="D1518" s="7" t="n">
        <v>0.09</v>
      </c>
      <c r="E1518" t="inlineStr">
        <is>
          <t>(novo)</t>
        </is>
      </c>
      <c r="F1518" t="inlineStr"/>
      <c r="G1518" s="2" t="inlineStr">
        <is>
          <t>432</t>
        </is>
      </c>
      <c r="H1518">
        <f>IFERROR(VLOOKUP(G1518&amp;"",PLANO!A:B,2,FALSE),"CONTA NAO EXISTE NO PLANO")</f>
        <v/>
      </c>
      <c r="I1518" t="inlineStr">
        <is>
          <t>432</t>
        </is>
      </c>
      <c r="J1518" t="inlineStr">
        <is>
          <t>OK</t>
        </is>
      </c>
      <c r="K1518" t="inlineStr"/>
      <c r="L1518" t="inlineStr"/>
      <c r="M1518" t="inlineStr">
        <is>
          <t>RENDIMENTO APLICACAO AUTOMATICA ITAU</t>
        </is>
      </c>
    </row>
    <row r="1519">
      <c r="A1519" t="n">
        <v>1518</v>
      </c>
      <c r="B1519" t="inlineStr">
        <is>
          <t>23/07/2026</t>
        </is>
      </c>
      <c r="C1519" t="inlineStr">
        <is>
          <t>PIX ENVIADO JOSE DOMINGO</t>
        </is>
      </c>
      <c r="D1519" s="7" t="n">
        <v>-2340</v>
      </c>
      <c r="E1519" t="inlineStr">
        <is>
          <t>(novo)</t>
        </is>
      </c>
      <c r="F1519" t="inlineStr"/>
      <c r="G1519" s="2" t="inlineStr">
        <is>
          <t>506</t>
        </is>
      </c>
      <c r="H1519">
        <f>IFERROR(VLOOKUP(G1519&amp;"",PLANO!A:B,2,FALSE),"CONTA NAO EXISTE NO PLANO")</f>
        <v/>
      </c>
      <c r="I1519" t="inlineStr">
        <is>
          <t>506</t>
        </is>
      </c>
      <c r="J1519" t="inlineStr">
        <is>
          <t>OK</t>
        </is>
      </c>
      <c r="K1519" t="inlineStr"/>
      <c r="L1519" t="inlineStr"/>
      <c r="M1519" t="inlineStr">
        <is>
          <t>JOSE DOMINGOS LINARES</t>
        </is>
      </c>
    </row>
    <row r="1520">
      <c r="A1520" t="n">
        <v>1519</v>
      </c>
      <c r="B1520" t="inlineStr">
        <is>
          <t>23/07/2026</t>
        </is>
      </c>
      <c r="C1520" t="inlineStr">
        <is>
          <t>BOLETO PAGO 60512435 Alt</t>
        </is>
      </c>
      <c r="D1520" s="7" t="n">
        <v>-520</v>
      </c>
      <c r="E1520" t="inlineStr">
        <is>
          <t>(novo)</t>
        </is>
      </c>
      <c r="F1520" t="inlineStr"/>
      <c r="G1520" s="2" t="inlineStr">
        <is>
          <t>506</t>
        </is>
      </c>
      <c r="H1520">
        <f>IFERROR(VLOOKUP(G1520&amp;"",PLANO!A:B,2,FALSE),"CONTA NAO EXISTE NO PLANO")</f>
        <v/>
      </c>
      <c r="I1520" t="inlineStr">
        <is>
          <t>506</t>
        </is>
      </c>
      <c r="J1520" t="inlineStr">
        <is>
          <t>OK</t>
        </is>
      </c>
      <c r="K1520" t="inlineStr"/>
      <c r="L1520" t="inlineStr"/>
      <c r="M1520" t="inlineStr">
        <is>
          <t>BOLETO PAGO 60512435 ALT</t>
        </is>
      </c>
    </row>
    <row r="1521">
      <c r="A1521" t="n">
        <v>1520</v>
      </c>
      <c r="B1521" t="inlineStr">
        <is>
          <t>23/07/2026</t>
        </is>
      </c>
      <c r="C1521" t="inlineStr">
        <is>
          <t>BOLETO PAGO ALLOXY ESPEC</t>
        </is>
      </c>
      <c r="D1521" s="7" t="n">
        <v>-3649.9</v>
      </c>
      <c r="E1521" t="inlineStr">
        <is>
          <t>(novo)</t>
        </is>
      </c>
      <c r="F1521" t="inlineStr"/>
      <c r="G1521" s="2" t="inlineStr">
        <is>
          <t>56</t>
        </is>
      </c>
      <c r="H1521">
        <f>IFERROR(VLOOKUP(G1521&amp;"",PLANO!A:B,2,FALSE),"CONTA NAO EXISTE NO PLANO")</f>
        <v/>
      </c>
      <c r="I1521" t="inlineStr">
        <is>
          <t>56</t>
        </is>
      </c>
      <c r="J1521" t="inlineStr">
        <is>
          <t>OK</t>
        </is>
      </c>
      <c r="K1521" t="inlineStr"/>
      <c r="L1521" t="inlineStr"/>
      <c r="M1521" t="inlineStr">
        <is>
          <t>ALLOXY ESPECIALIDADES QUIMICAS LTDAPGTO REF. A COMPRA DE MATERIA PRIMA, PEROXIDO DEHIDROGENIO</t>
        </is>
      </c>
    </row>
    <row r="1522">
      <c r="A1522" t="n">
        <v>1521</v>
      </c>
      <c r="B1522" t="inlineStr">
        <is>
          <t>23/07/2026</t>
        </is>
      </c>
      <c r="C1522" t="inlineStr">
        <is>
          <t>BOLETO PAGO ALLOXY ESPEC</t>
        </is>
      </c>
      <c r="D1522" s="7" t="n">
        <v>-3499.61</v>
      </c>
      <c r="E1522" t="inlineStr">
        <is>
          <t>(novo)</t>
        </is>
      </c>
      <c r="F1522" t="inlineStr"/>
      <c r="G1522" s="2" t="inlineStr">
        <is>
          <t>56</t>
        </is>
      </c>
      <c r="H1522">
        <f>IFERROR(VLOOKUP(G1522&amp;"",PLANO!A:B,2,FALSE),"CONTA NAO EXISTE NO PLANO")</f>
        <v/>
      </c>
      <c r="I1522" t="inlineStr">
        <is>
          <t>56</t>
        </is>
      </c>
      <c r="J1522" t="inlineStr">
        <is>
          <t>OK</t>
        </is>
      </c>
      <c r="K1522" t="inlineStr"/>
      <c r="L1522" t="inlineStr"/>
      <c r="M1522" t="inlineStr">
        <is>
          <t>ALLOXY ESPECIALIDADES QUIMICAS LTDAPGTO REF. A COMPRA DE MATERIA PRIMA, PEROXIDO DEHIDROGENIO</t>
        </is>
      </c>
    </row>
    <row r="1523">
      <c r="A1523" t="n">
        <v>1522</v>
      </c>
      <c r="B1523" t="inlineStr">
        <is>
          <t>23/07/2026</t>
        </is>
      </c>
      <c r="C1523" t="inlineStr">
        <is>
          <t>Mov Tít Cob Disp 23/07S</t>
        </is>
      </c>
      <c r="D1523" s="7" t="n">
        <v>3992.42</v>
      </c>
      <c r="E1523" t="inlineStr">
        <is>
          <t>(novo)</t>
        </is>
      </c>
      <c r="F1523" t="inlineStr"/>
      <c r="G1523" s="2" t="inlineStr">
        <is>
          <t>504</t>
        </is>
      </c>
      <c r="H1523">
        <f>IFERROR(VLOOKUP(G1523&amp;"",PLANO!A:B,2,FALSE),"CONTA NAO EXISTE NO PLANO")</f>
        <v/>
      </c>
      <c r="I1523" t="inlineStr">
        <is>
          <t>504</t>
        </is>
      </c>
      <c r="J1523" t="inlineStr">
        <is>
          <t>OK</t>
        </is>
      </c>
      <c r="K1523" t="inlineStr"/>
      <c r="L1523" t="inlineStr"/>
      <c r="M1523" t="inlineStr">
        <is>
          <t>MOV TÍT COB DISP 23/07S</t>
        </is>
      </c>
    </row>
    <row r="1524">
      <c r="A1524" t="n">
        <v>1523</v>
      </c>
      <c r="B1524" t="inlineStr">
        <is>
          <t>23/07/2026</t>
        </is>
      </c>
      <c r="C1524" t="inlineStr">
        <is>
          <t>Rede MAST AT0081996543</t>
        </is>
      </c>
      <c r="D1524" s="7" t="n">
        <v>9723.34</v>
      </c>
      <c r="E1524" t="inlineStr">
        <is>
          <t>(novo)</t>
        </is>
      </c>
      <c r="F1524" t="inlineStr"/>
      <c r="G1524" s="2" t="inlineStr">
        <is>
          <t>504</t>
        </is>
      </c>
      <c r="H1524">
        <f>IFERROR(VLOOKUP(G1524&amp;"",PLANO!A:B,2,FALSE),"CONTA NAO EXISTE NO PLANO")</f>
        <v/>
      </c>
      <c r="I1524" t="inlineStr">
        <is>
          <t>504</t>
        </is>
      </c>
      <c r="J1524" t="inlineStr">
        <is>
          <t>OK</t>
        </is>
      </c>
      <c r="K1524" t="inlineStr"/>
      <c r="L1524" t="inlineStr"/>
      <c r="M1524" t="inlineStr">
        <is>
          <t>REDE MAST AT0081996543</t>
        </is>
      </c>
    </row>
    <row r="1525">
      <c r="A1525" t="n">
        <v>1524</v>
      </c>
      <c r="B1525" t="inlineStr">
        <is>
          <t>24/07/2026</t>
        </is>
      </c>
      <c r="C1525" t="inlineStr">
        <is>
          <t>Pgto Mín-ITAUCARD-1147</t>
        </is>
      </c>
      <c r="D1525" s="7" t="n">
        <v>-1143.29</v>
      </c>
      <c r="E1525" t="inlineStr">
        <is>
          <t>(novo)</t>
        </is>
      </c>
      <c r="F1525" t="inlineStr"/>
      <c r="G1525" s="2" t="inlineStr">
        <is>
          <t>357</t>
        </is>
      </c>
      <c r="H1525">
        <f>IFERROR(VLOOKUP(G1525&amp;"",PLANO!A:B,2,FALSE),"CONTA NAO EXISTE NO PLANO")</f>
        <v/>
      </c>
      <c r="I1525" t="inlineStr">
        <is>
          <t>357</t>
        </is>
      </c>
      <c r="J1525" t="inlineStr">
        <is>
          <t>OK</t>
        </is>
      </c>
      <c r="K1525" t="inlineStr"/>
      <c r="L1525" t="inlineStr"/>
      <c r="M1525" t="inlineStr">
        <is>
          <t>PGTO MÍN-ITAUCARD-1147</t>
        </is>
      </c>
    </row>
    <row r="1526">
      <c r="A1526" s="4" t="n">
        <v>1525</v>
      </c>
      <c r="B1526" s="4" t="inlineStr">
        <is>
          <t>24/07/2026</t>
        </is>
      </c>
      <c r="C1526" s="4" t="inlineStr">
        <is>
          <t>PIX ENVIADO BEAUTY FAIR</t>
        </is>
      </c>
      <c r="D1526" s="5" t="n">
        <v>-13176.36</v>
      </c>
      <c r="E1526" s="4" t="inlineStr">
        <is>
          <t>(novo)</t>
        </is>
      </c>
      <c r="F1526" s="4" t="inlineStr"/>
      <c r="G1526" s="6" t="inlineStr">
        <is>
          <t>688</t>
        </is>
      </c>
      <c r="H1526" s="4">
        <f>IFERROR(VLOOKUP(G1526&amp;"",PLANO!A:B,2,FALSE),"CONTA NAO EXISTE NO PLANO")</f>
        <v/>
      </c>
      <c r="I1526" s="4" t="inlineStr">
        <is>
          <t>506</t>
        </is>
      </c>
      <c r="J1526" s="4" t="inlineStr">
        <is>
          <t>AJUSTADO</t>
        </is>
      </c>
      <c r="K1526" s="4" t="inlineStr">
        <is>
          <t>Beauty Fair -&gt; 688 FEIRAS E EVENTOS</t>
        </is>
      </c>
      <c r="L1526" s="4" t="inlineStr"/>
      <c r="M1526" s="4" t="inlineStr">
        <is>
          <t>PIX ENVIADO BEAUTY FAIR</t>
        </is>
      </c>
    </row>
    <row r="1527">
      <c r="A1527" t="n">
        <v>1526</v>
      </c>
      <c r="B1527" t="inlineStr">
        <is>
          <t>24/07/2026</t>
        </is>
      </c>
      <c r="C1527" t="inlineStr">
        <is>
          <t>PIX ENVIADO HIGH CHEM CO</t>
        </is>
      </c>
      <c r="D1527" s="7" t="n">
        <v>-7077</v>
      </c>
      <c r="E1527" t="inlineStr">
        <is>
          <t>(novo)</t>
        </is>
      </c>
      <c r="F1527" t="inlineStr"/>
      <c r="G1527" s="2" t="inlineStr">
        <is>
          <t>506</t>
        </is>
      </c>
      <c r="H1527">
        <f>IFERROR(VLOOKUP(G1527&amp;"",PLANO!A:B,2,FALSE),"CONTA NAO EXISTE NO PLANO")</f>
        <v/>
      </c>
      <c r="I1527" t="inlineStr">
        <is>
          <t>506</t>
        </is>
      </c>
      <c r="J1527" t="inlineStr">
        <is>
          <t>OK</t>
        </is>
      </c>
      <c r="K1527" t="inlineStr"/>
      <c r="L1527" t="inlineStr"/>
      <c r="M1527" t="inlineStr">
        <is>
          <t>PIX ENVIADO HIGH CHEM CO</t>
        </is>
      </c>
    </row>
    <row r="1528">
      <c r="A1528" t="n">
        <v>1527</v>
      </c>
      <c r="B1528" t="inlineStr">
        <is>
          <t>24/07/2026</t>
        </is>
      </c>
      <c r="C1528" t="inlineStr">
        <is>
          <t>PIX ENVIADO PROVITAL DO</t>
        </is>
      </c>
      <c r="D1528" s="7" t="n">
        <v>-88</v>
      </c>
      <c r="E1528" t="inlineStr">
        <is>
          <t>(novo)</t>
        </is>
      </c>
      <c r="F1528" t="inlineStr"/>
      <c r="G1528" s="2" t="inlineStr">
        <is>
          <t>506</t>
        </is>
      </c>
      <c r="H1528">
        <f>IFERROR(VLOOKUP(G1528&amp;"",PLANO!A:B,2,FALSE),"CONTA NAO EXISTE NO PLANO")</f>
        <v/>
      </c>
      <c r="I1528" t="inlineStr">
        <is>
          <t>506</t>
        </is>
      </c>
      <c r="J1528" t="inlineStr">
        <is>
          <t>OK</t>
        </is>
      </c>
      <c r="K1528" t="inlineStr"/>
      <c r="L1528" t="inlineStr"/>
      <c r="M1528" t="inlineStr">
        <is>
          <t>PIX ENVIADO PROVITAL DO</t>
        </is>
      </c>
    </row>
    <row r="1529">
      <c r="A1529" s="4" t="n">
        <v>1528</v>
      </c>
      <c r="B1529" s="4" t="inlineStr">
        <is>
          <t>24/07/2026</t>
        </is>
      </c>
      <c r="C1529" s="4" t="inlineStr">
        <is>
          <t>PIX ENVIADO LUCIANO PERE</t>
        </is>
      </c>
      <c r="D1529" s="5" t="n">
        <v>-200</v>
      </c>
      <c r="E1529" s="4" t="inlineStr">
        <is>
          <t>(novo)</t>
        </is>
      </c>
      <c r="F1529" s="4" t="inlineStr"/>
      <c r="G1529" s="6" t="inlineStr">
        <is>
          <t>362</t>
        </is>
      </c>
      <c r="H1529" s="4">
        <f>IFERROR(VLOOKUP(G1529&amp;"",PLANO!A:B,2,FALSE),"CONTA NAO EXISTE NO PLANO")</f>
        <v/>
      </c>
      <c r="I1529" s="4" t="inlineStr">
        <is>
          <t>362</t>
        </is>
      </c>
      <c r="J1529" s="4" t="inlineStr">
        <is>
          <t>AJUSTADO</t>
        </is>
      </c>
      <c r="K1529" s="4" t="inlineStr">
        <is>
          <t>pessoa fisica - servicos</t>
        </is>
      </c>
      <c r="L1529" s="4" t="inlineStr"/>
      <c r="M1529" s="4" t="inlineStr">
        <is>
          <t>PIX ENVIADO LUCIANO PERE</t>
        </is>
      </c>
    </row>
    <row r="1530">
      <c r="A1530" t="n">
        <v>1529</v>
      </c>
      <c r="B1530" t="inlineStr">
        <is>
          <t>24/07/2026</t>
        </is>
      </c>
      <c r="C1530" t="inlineStr">
        <is>
          <t>PIX ENVIADO PROVITAL DO</t>
        </is>
      </c>
      <c r="D1530" s="7" t="n">
        <v>-4097.01</v>
      </c>
      <c r="E1530" t="inlineStr">
        <is>
          <t>(novo)</t>
        </is>
      </c>
      <c r="F1530" t="inlineStr"/>
      <c r="G1530" s="2" t="inlineStr">
        <is>
          <t>506</t>
        </is>
      </c>
      <c r="H1530">
        <f>IFERROR(VLOOKUP(G1530&amp;"",PLANO!A:B,2,FALSE),"CONTA NAO EXISTE NO PLANO")</f>
        <v/>
      </c>
      <c r="I1530" t="inlineStr">
        <is>
          <t>506</t>
        </is>
      </c>
      <c r="J1530" t="inlineStr">
        <is>
          <t>OK</t>
        </is>
      </c>
      <c r="K1530" t="inlineStr"/>
      <c r="L1530" t="inlineStr"/>
      <c r="M1530" t="inlineStr">
        <is>
          <t>PIX ENVIADO PROVITAL DO</t>
        </is>
      </c>
    </row>
    <row r="1531">
      <c r="A1531" t="n">
        <v>1530</v>
      </c>
      <c r="B1531" t="inlineStr">
        <is>
          <t>24/07/2026</t>
        </is>
      </c>
      <c r="C1531" t="inlineStr">
        <is>
          <t>PIX ENVIADO L ESSENCE IN</t>
        </is>
      </c>
      <c r="D1531" s="7" t="n">
        <v>-1885.63</v>
      </c>
      <c r="E1531" t="inlineStr">
        <is>
          <t>(novo)</t>
        </is>
      </c>
      <c r="F1531" t="inlineStr"/>
      <c r="G1531" s="2" t="inlineStr">
        <is>
          <t>506</t>
        </is>
      </c>
      <c r="H1531">
        <f>IFERROR(VLOOKUP(G1531&amp;"",PLANO!A:B,2,FALSE),"CONTA NAO EXISTE NO PLANO")</f>
        <v/>
      </c>
      <c r="I1531" t="inlineStr">
        <is>
          <t>506</t>
        </is>
      </c>
      <c r="J1531" t="inlineStr">
        <is>
          <t>OK</t>
        </is>
      </c>
      <c r="K1531" t="inlineStr"/>
      <c r="L1531" t="inlineStr"/>
      <c r="M1531" t="inlineStr">
        <is>
          <t>PIX ENVIADO L ESSENCE IN</t>
        </is>
      </c>
    </row>
    <row r="1532">
      <c r="A1532" s="14" t="n">
        <v>1531</v>
      </c>
      <c r="B1532" s="14" t="inlineStr">
        <is>
          <t>24/07/2026</t>
        </is>
      </c>
      <c r="C1532" s="14" t="inlineStr">
        <is>
          <t>PIX ENVIADO 50.370.136 A</t>
        </is>
      </c>
      <c r="D1532" s="15" t="n">
        <v>-9330</v>
      </c>
      <c r="E1532" s="14" t="inlineStr">
        <is>
          <t>(novo)</t>
        </is>
      </c>
      <c r="F1532" s="14" t="inlineStr"/>
      <c r="G1532" s="16" t="inlineStr">
        <is>
          <t>506</t>
        </is>
      </c>
      <c r="H1532" s="14">
        <f>IFERROR(VLOOKUP(G1532&amp;"",PLANO!A:B,2,FALSE),"CONTA NAO EXISTE NO PLANO")</f>
        <v/>
      </c>
      <c r="I1532" s="14" t="inlineStr">
        <is>
          <t>506</t>
        </is>
      </c>
      <c r="J1532" s="14" t="inlineStr">
        <is>
          <t>CORRIGIDO</t>
        </is>
      </c>
      <c r="K1532" s="14" t="inlineStr">
        <is>
          <t>retificado 493-&gt;506: Skin Lab = fornecedor MP (Cosmos)</t>
        </is>
      </c>
      <c r="L1532" s="14" t="inlineStr"/>
      <c r="M1532" s="14" t="inlineStr">
        <is>
          <t>PIX ENVIADO 50.370.136 A</t>
        </is>
      </c>
    </row>
    <row r="1533">
      <c r="A1533" s="14" t="n">
        <v>1532</v>
      </c>
      <c r="B1533" s="14" t="inlineStr">
        <is>
          <t>24/07/2026</t>
        </is>
      </c>
      <c r="C1533" s="14" t="inlineStr">
        <is>
          <t>BOLETO PAGO URBANO SA SO</t>
        </is>
      </c>
      <c r="D1533" s="15" t="n">
        <v>-184.18</v>
      </c>
      <c r="E1533" s="14" t="inlineStr">
        <is>
          <t>(novo)</t>
        </is>
      </c>
      <c r="F1533" s="14" t="inlineStr"/>
      <c r="G1533" s="16" t="inlineStr">
        <is>
          <t>312</t>
        </is>
      </c>
      <c r="H1533" s="14">
        <f>IFERROR(VLOOKUP(G1533&amp;"",PLANO!A:B,2,FALSE),"CONTA NAO EXISTE NO PLANO")</f>
        <v/>
      </c>
      <c r="I1533" s="14" t="inlineStr">
        <is>
          <t>312</t>
        </is>
      </c>
      <c r="J1533" s="14" t="inlineStr">
        <is>
          <t>CORRIGIDO</t>
        </is>
      </c>
      <c r="K1533" s="14" t="inlineStr">
        <is>
          <t>retificado 350-&gt;312: Braspress via Urbano = frete s/ vendas (Cosmos)</t>
        </is>
      </c>
      <c r="L1533" s="14" t="inlineStr"/>
      <c r="M1533" s="14" t="inlineStr">
        <is>
          <t>BOLETO PAGO URBANO SA SO</t>
        </is>
      </c>
    </row>
    <row r="1534">
      <c r="A1534" t="n">
        <v>1533</v>
      </c>
      <c r="B1534" t="inlineStr">
        <is>
          <t>24/07/2026</t>
        </is>
      </c>
      <c r="C1534" t="inlineStr">
        <is>
          <t>BOLETO PAGO TRANS TOMAZ</t>
        </is>
      </c>
      <c r="D1534" s="7" t="n">
        <v>-110.88</v>
      </c>
      <c r="E1534" t="inlineStr">
        <is>
          <t>(novo)</t>
        </is>
      </c>
      <c r="F1534" t="inlineStr"/>
      <c r="G1534" s="2" t="inlineStr">
        <is>
          <t>312</t>
        </is>
      </c>
      <c r="H1534">
        <f>IFERROR(VLOOKUP(G1534&amp;"",PLANO!A:B,2,FALSE),"CONTA NAO EXISTE NO PLANO")</f>
        <v/>
      </c>
      <c r="I1534" t="inlineStr">
        <is>
          <t>312</t>
        </is>
      </c>
      <c r="J1534" t="inlineStr">
        <is>
          <t>OK</t>
        </is>
      </c>
      <c r="K1534" t="inlineStr"/>
      <c r="L1534" t="inlineStr"/>
      <c r="M1534" t="inlineStr">
        <is>
          <t>BOLETO PAGO TRANS TOMAZ</t>
        </is>
      </c>
    </row>
    <row r="1535">
      <c r="A1535" s="4" t="n">
        <v>1534</v>
      </c>
      <c r="B1535" s="4" t="inlineStr">
        <is>
          <t>24/07/2026</t>
        </is>
      </c>
      <c r="C1535" s="4" t="inlineStr">
        <is>
          <t>Sispag COSMETICON COMER</t>
        </is>
      </c>
      <c r="D1535" s="5" t="n">
        <v>3000</v>
      </c>
      <c r="E1535" s="4" t="inlineStr">
        <is>
          <t>(novo)</t>
        </is>
      </c>
      <c r="F1535" s="4" t="inlineStr"/>
      <c r="G1535" s="6" t="inlineStr">
        <is>
          <t>663</t>
        </is>
      </c>
      <c r="H1535" s="4">
        <f>IFERROR(VLOOKUP(G1535&amp;"",PLANO!A:B,2,FALSE),"CONTA NAO EXISTE NO PLANO")</f>
        <v/>
      </c>
      <c r="I1535" s="4" t="inlineStr">
        <is>
          <t>663</t>
        </is>
      </c>
      <c r="J1535" s="4" t="inlineStr">
        <is>
          <t>AJUSTADO</t>
        </is>
      </c>
      <c r="K1535" s="4" t="inlineStr">
        <is>
          <t>COSMETICON - conta-corrente unica de mutuo (663)</t>
        </is>
      </c>
      <c r="L1535" s="4" t="inlineStr"/>
      <c r="M1535" s="4" t="inlineStr">
        <is>
          <t>SISPAG COSMETICON COMER</t>
        </is>
      </c>
    </row>
    <row r="1536">
      <c r="A1536" t="n">
        <v>1535</v>
      </c>
      <c r="B1536" t="inlineStr">
        <is>
          <t>24/07/2026</t>
        </is>
      </c>
      <c r="C1536" t="inlineStr">
        <is>
          <t>Mov Tít Cob Disp 24/07S</t>
        </is>
      </c>
      <c r="D1536" s="7" t="n">
        <v>5219.81</v>
      </c>
      <c r="E1536" t="inlineStr">
        <is>
          <t>(novo)</t>
        </is>
      </c>
      <c r="F1536" t="inlineStr"/>
      <c r="G1536" s="2" t="inlineStr">
        <is>
          <t>504</t>
        </is>
      </c>
      <c r="H1536">
        <f>IFERROR(VLOOKUP(G1536&amp;"",PLANO!A:B,2,FALSE),"CONTA NAO EXISTE NO PLANO")</f>
        <v/>
      </c>
      <c r="I1536" t="inlineStr">
        <is>
          <t>504</t>
        </is>
      </c>
      <c r="J1536" t="inlineStr">
        <is>
          <t>OK</t>
        </is>
      </c>
      <c r="K1536" t="inlineStr"/>
      <c r="L1536" t="inlineStr"/>
      <c r="M1536" t="inlineStr">
        <is>
          <t>MOV TÍT COB DISP 24/07S</t>
        </is>
      </c>
    </row>
    <row r="1537">
      <c r="A1537" t="n">
        <v>1536</v>
      </c>
      <c r="B1537" t="inlineStr">
        <is>
          <t>24/07/2026</t>
        </is>
      </c>
      <c r="C1537" t="inlineStr">
        <is>
          <t>PIX TRANSF Cristia24/07</t>
        </is>
      </c>
      <c r="D1537" s="7" t="n">
        <v>4000</v>
      </c>
      <c r="E1537" t="inlineStr">
        <is>
          <t>(novo)</t>
        </is>
      </c>
      <c r="F1537" t="inlineStr"/>
      <c r="G1537" s="2" t="inlineStr">
        <is>
          <t>504</t>
        </is>
      </c>
      <c r="H1537">
        <f>IFERROR(VLOOKUP(G1537&amp;"",PLANO!A:B,2,FALSE),"CONTA NAO EXISTE NO PLANO")</f>
        <v/>
      </c>
      <c r="I1537" t="inlineStr">
        <is>
          <t>504</t>
        </is>
      </c>
      <c r="J1537" t="inlineStr">
        <is>
          <t>OK</t>
        </is>
      </c>
      <c r="K1537" t="inlineStr"/>
      <c r="L1537" t="inlineStr"/>
      <c r="M1537" t="inlineStr">
        <is>
          <t>PIX TRANSF CRISTIA24/07</t>
        </is>
      </c>
    </row>
    <row r="1538">
      <c r="A1538" t="n">
        <v>1537</v>
      </c>
      <c r="B1538" t="inlineStr">
        <is>
          <t>24/07/2026</t>
        </is>
      </c>
      <c r="C1538" t="inlineStr">
        <is>
          <t>PIX TRANSF NUTRABE24/07</t>
        </is>
      </c>
      <c r="D1538" s="7" t="n">
        <v>7508</v>
      </c>
      <c r="E1538" t="inlineStr">
        <is>
          <t>(novo)</t>
        </is>
      </c>
      <c r="F1538" t="inlineStr"/>
      <c r="G1538" s="2" t="inlineStr">
        <is>
          <t>504</t>
        </is>
      </c>
      <c r="H1538">
        <f>IFERROR(VLOOKUP(G1538&amp;"",PLANO!A:B,2,FALSE),"CONTA NAO EXISTE NO PLANO")</f>
        <v/>
      </c>
      <c r="I1538" t="inlineStr">
        <is>
          <t>504</t>
        </is>
      </c>
      <c r="J1538" t="inlineStr">
        <is>
          <t>OK</t>
        </is>
      </c>
      <c r="K1538" t="inlineStr"/>
      <c r="L1538" t="inlineStr"/>
      <c r="M1538" t="inlineStr">
        <is>
          <t>PIX TRANSF NUTRABE24/07</t>
        </is>
      </c>
    </row>
    <row r="1539">
      <c r="A1539" t="n">
        <v>1538</v>
      </c>
      <c r="B1539" t="inlineStr">
        <is>
          <t>24/07/2026</t>
        </is>
      </c>
      <c r="C1539" t="inlineStr">
        <is>
          <t>Rend Pago Aplic Aut Mais</t>
        </is>
      </c>
      <c r="D1539" s="7" t="n">
        <v>0.09</v>
      </c>
      <c r="E1539" t="inlineStr">
        <is>
          <t>(novo)</t>
        </is>
      </c>
      <c r="F1539" t="inlineStr"/>
      <c r="G1539" s="2" t="inlineStr">
        <is>
          <t>432</t>
        </is>
      </c>
      <c r="H1539">
        <f>IFERROR(VLOOKUP(G1539&amp;"",PLANO!A:B,2,FALSE),"CONTA NAO EXISTE NO PLANO")</f>
        <v/>
      </c>
      <c r="I1539" t="inlineStr">
        <is>
          <t>432</t>
        </is>
      </c>
      <c r="J1539" t="inlineStr">
        <is>
          <t>OK</t>
        </is>
      </c>
      <c r="K1539" t="inlineStr"/>
      <c r="L1539" t="inlineStr"/>
      <c r="M1539" t="inlineStr">
        <is>
          <t>RENDIMENTO APLICACAO AUTOMATICA ITAU</t>
        </is>
      </c>
    </row>
    <row r="1540">
      <c r="A1540" t="n">
        <v>1539</v>
      </c>
      <c r="B1540" t="inlineStr">
        <is>
          <t>27/07/2026</t>
        </is>
      </c>
      <c r="C1540" t="inlineStr">
        <is>
          <t>PIX ENVIADO BARENTZ BRAS</t>
        </is>
      </c>
      <c r="D1540" s="7" t="n">
        <v>-1383.18</v>
      </c>
      <c r="E1540" t="inlineStr">
        <is>
          <t>(novo)</t>
        </is>
      </c>
      <c r="F1540" t="inlineStr"/>
      <c r="G1540" s="2" t="inlineStr">
        <is>
          <t>506</t>
        </is>
      </c>
      <c r="H1540">
        <f>IFERROR(VLOOKUP(G1540&amp;"",PLANO!A:B,2,FALSE),"CONTA NAO EXISTE NO PLANO")</f>
        <v/>
      </c>
      <c r="I1540" t="inlineStr">
        <is>
          <t>506</t>
        </is>
      </c>
      <c r="J1540" t="inlineStr">
        <is>
          <t>OK</t>
        </is>
      </c>
      <c r="K1540" t="inlineStr"/>
      <c r="L1540" t="inlineStr">
        <is>
          <t>BARENTZ BRASIL DISTRIBUIDORA LTDA / ------------------------------------------------------------</t>
        </is>
      </c>
      <c r="M1540" t="inlineStr">
        <is>
          <t>BARENTZ BRASIL DISTRIBUIDORA LTDA</t>
        </is>
      </c>
    </row>
    <row r="1541">
      <c r="A1541" t="n">
        <v>1540</v>
      </c>
      <c r="B1541" t="inlineStr">
        <is>
          <t>27/07/2026</t>
        </is>
      </c>
      <c r="C1541" t="inlineStr">
        <is>
          <t>PIX ENVIADO CHEMYUNION L</t>
        </is>
      </c>
      <c r="D1541" s="7" t="n">
        <v>-2646.71</v>
      </c>
      <c r="E1541" t="inlineStr">
        <is>
          <t>(novo)</t>
        </is>
      </c>
      <c r="F1541" t="inlineStr"/>
      <c r="G1541" s="2" t="inlineStr">
        <is>
          <t>506</t>
        </is>
      </c>
      <c r="H1541">
        <f>IFERROR(VLOOKUP(G1541&amp;"",PLANO!A:B,2,FALSE),"CONTA NAO EXISTE NO PLANO")</f>
        <v/>
      </c>
      <c r="I1541" t="inlineStr">
        <is>
          <t>506</t>
        </is>
      </c>
      <c r="J1541" t="inlineStr">
        <is>
          <t>OK</t>
        </is>
      </c>
      <c r="K1541" t="inlineStr"/>
      <c r="L1541" t="inlineStr">
        <is>
          <t>CHEMYUNION LTDA / ------------------------------------------------------------</t>
        </is>
      </c>
      <c r="M1541" t="inlineStr">
        <is>
          <t>CHEMYUNION LTDA</t>
        </is>
      </c>
    </row>
    <row r="1542">
      <c r="A1542" t="n">
        <v>1541</v>
      </c>
      <c r="B1542" t="inlineStr">
        <is>
          <t>27/07/2026</t>
        </is>
      </c>
      <c r="C1542" t="inlineStr">
        <is>
          <t>BOLETO PAGO PENSU EXACTU</t>
        </is>
      </c>
      <c r="D1542" s="7" t="n">
        <v>-612.25</v>
      </c>
      <c r="E1542" t="inlineStr">
        <is>
          <t>(novo)</t>
        </is>
      </c>
      <c r="F1542" t="inlineStr"/>
      <c r="G1542" s="2" t="inlineStr">
        <is>
          <t>506</t>
        </is>
      </c>
      <c r="H1542">
        <f>IFERROR(VLOOKUP(G1542&amp;"",PLANO!A:B,2,FALSE),"CONTA NAO EXISTE NO PLANO")</f>
        <v/>
      </c>
      <c r="I1542" t="inlineStr">
        <is>
          <t>506</t>
        </is>
      </c>
      <c r="J1542" t="inlineStr">
        <is>
          <t>OK</t>
        </is>
      </c>
      <c r="K1542" t="inlineStr"/>
      <c r="L1542" t="inlineStr">
        <is>
          <t>PENSU EXACTU COMERCIO E SERVICOS DE EQUIPAMENTOS METROLOGICOS LTDA / PGTO REF.</t>
        </is>
      </c>
      <c r="M1542" t="inlineStr">
        <is>
          <t>PENSU EXACTU COMERCIO E SERVICOS DE EQUIPAMENTOS METROLOGICOS LTDA</t>
        </is>
      </c>
    </row>
    <row r="1543">
      <c r="A1543" t="n">
        <v>1542</v>
      </c>
      <c r="B1543" t="inlineStr">
        <is>
          <t>27/07/2026</t>
        </is>
      </c>
      <c r="C1543" t="inlineStr">
        <is>
          <t>Itaú Seg Vida Glob</t>
        </is>
      </c>
      <c r="D1543" s="7" t="n">
        <v>-295.51</v>
      </c>
      <c r="E1543" t="inlineStr">
        <is>
          <t>(novo)</t>
        </is>
      </c>
      <c r="F1543" t="inlineStr"/>
      <c r="G1543" s="2" t="inlineStr">
        <is>
          <t>642</t>
        </is>
      </c>
      <c r="H1543">
        <f>IFERROR(VLOOKUP(G1543&amp;"",PLANO!A:B,2,FALSE),"CONTA NAO EXISTE NO PLANO")</f>
        <v/>
      </c>
      <c r="I1543" t="inlineStr">
        <is>
          <t>642</t>
        </is>
      </c>
      <c r="J1543" t="inlineStr">
        <is>
          <t>OK</t>
        </is>
      </c>
      <c r="K1543" t="inlineStr"/>
      <c r="L1543" t="inlineStr">
        <is>
          <t>BANCO ITAU UNIBANCO / PGTO REF.SEGURO DE VIDA GLOBAL</t>
        </is>
      </c>
      <c r="M1543" t="inlineStr">
        <is>
          <t>BANCO ITAU UNIBANCO</t>
        </is>
      </c>
    </row>
    <row r="1544">
      <c r="A1544" t="n">
        <v>1543</v>
      </c>
      <c r="B1544" t="inlineStr">
        <is>
          <t>27/07/2026</t>
        </is>
      </c>
      <c r="C1544" t="inlineStr">
        <is>
          <t>Mov Tít Cob Disp 26/07S</t>
        </is>
      </c>
      <c r="D1544" s="7" t="n">
        <v>222.38</v>
      </c>
      <c r="E1544" t="inlineStr">
        <is>
          <t>(novo)</t>
        </is>
      </c>
      <c r="F1544" t="inlineStr"/>
      <c r="G1544" s="2" t="inlineStr">
        <is>
          <t>504</t>
        </is>
      </c>
      <c r="H1544">
        <f>IFERROR(VLOOKUP(G1544&amp;"",PLANO!A:B,2,FALSE),"CONTA NAO EXISTE NO PLANO")</f>
        <v/>
      </c>
      <c r="I1544" t="inlineStr">
        <is>
          <t>504</t>
        </is>
      </c>
      <c r="J1544" t="inlineStr">
        <is>
          <t>OK</t>
        </is>
      </c>
      <c r="K1544" t="inlineStr"/>
      <c r="L1544" t="inlineStr"/>
      <c r="M1544" t="inlineStr">
        <is>
          <t>MOV TÍT COB DISP 26/07S</t>
        </is>
      </c>
    </row>
    <row r="1545">
      <c r="A1545" t="n">
        <v>1544</v>
      </c>
      <c r="B1545" t="inlineStr">
        <is>
          <t>27/07/2026</t>
        </is>
      </c>
      <c r="C1545" t="inlineStr">
        <is>
          <t>Mov Tít Cob Disp 27/07S</t>
        </is>
      </c>
      <c r="D1545" s="7" t="n">
        <v>5957.96</v>
      </c>
      <c r="E1545" t="inlineStr">
        <is>
          <t>(novo)</t>
        </is>
      </c>
      <c r="F1545" t="inlineStr"/>
      <c r="G1545" s="2" t="inlineStr">
        <is>
          <t>504</t>
        </is>
      </c>
      <c r="H1545">
        <f>IFERROR(VLOOKUP(G1545&amp;"",PLANO!A:B,2,FALSE),"CONTA NAO EXISTE NO PLANO")</f>
        <v/>
      </c>
      <c r="I1545" t="inlineStr">
        <is>
          <t>504</t>
        </is>
      </c>
      <c r="J1545" t="inlineStr">
        <is>
          <t>OK</t>
        </is>
      </c>
      <c r="K1545" t="inlineStr"/>
      <c r="L1545" t="inlineStr"/>
      <c r="M1545" t="inlineStr">
        <is>
          <t>MOV TÍT COB DISP 27/07S</t>
        </is>
      </c>
    </row>
    <row r="1546">
      <c r="A1546" t="n">
        <v>1545</v>
      </c>
      <c r="B1546" t="inlineStr">
        <is>
          <t>27/07/2026</t>
        </is>
      </c>
      <c r="C1546" t="inlineStr">
        <is>
          <t>Juros 8613.52508-1</t>
        </is>
      </c>
      <c r="D1546" s="7" t="n">
        <v>-4086.5</v>
      </c>
      <c r="E1546" t="inlineStr">
        <is>
          <t>(novo)</t>
        </is>
      </c>
      <c r="F1546" t="inlineStr"/>
      <c r="G1546" s="2" t="inlineStr">
        <is>
          <t>375</t>
        </is>
      </c>
      <c r="H1546">
        <f>IFERROR(VLOOKUP(G1546&amp;"",PLANO!A:B,2,FALSE),"CONTA NAO EXISTE NO PLANO")</f>
        <v/>
      </c>
      <c r="I1546" t="inlineStr">
        <is>
          <t>375</t>
        </is>
      </c>
      <c r="J1546" t="inlineStr">
        <is>
          <t>OK</t>
        </is>
      </c>
      <c r="K1546" t="inlineStr"/>
      <c r="L1546" t="inlineStr">
        <is>
          <t>BANCO ITAU UNIBANCO / PGTO REF.UTILIZAÇÃO LIMITE</t>
        </is>
      </c>
      <c r="M1546" t="inlineStr">
        <is>
          <t>BANCO ITAU UNIBANCO</t>
        </is>
      </c>
    </row>
    <row r="1547">
      <c r="A1547" t="n">
        <v>1546</v>
      </c>
      <c r="B1547" t="inlineStr">
        <is>
          <t>27/07/2026</t>
        </is>
      </c>
      <c r="C1547" t="inlineStr">
        <is>
          <t>Tar/Custas Cobrança</t>
        </is>
      </c>
      <c r="D1547" s="7" t="n">
        <v>-9.140000000000001</v>
      </c>
      <c r="E1547" t="inlineStr">
        <is>
          <t>(novo)</t>
        </is>
      </c>
      <c r="F1547" t="inlineStr"/>
      <c r="G1547" s="2" t="inlineStr">
        <is>
          <t>626</t>
        </is>
      </c>
      <c r="H1547">
        <f>IFERROR(VLOOKUP(G1547&amp;"",PLANO!A:B,2,FALSE),"CONTA NAO EXISTE NO PLANO")</f>
        <v/>
      </c>
      <c r="I1547" t="inlineStr">
        <is>
          <t>626</t>
        </is>
      </c>
      <c r="J1547" t="inlineStr">
        <is>
          <t>OK</t>
        </is>
      </c>
      <c r="K1547" t="inlineStr"/>
      <c r="L1547" t="inlineStr">
        <is>
          <t>BANCO ITAU UNIBANCO / PGTO REF.CUSTAS COBRANÇA</t>
        </is>
      </c>
      <c r="M1547" t="inlineStr">
        <is>
          <t>BANCO ITAU UNIBANCO</t>
        </is>
      </c>
    </row>
    <row r="1548">
      <c r="A1548" t="n">
        <v>1547</v>
      </c>
      <c r="B1548" t="inlineStr">
        <is>
          <t>27/07/2026</t>
        </is>
      </c>
      <c r="C1548" t="inlineStr">
        <is>
          <t>Rend Pago Aplic Aut Mais</t>
        </is>
      </c>
      <c r="D1548" s="7" t="n">
        <v>0.01</v>
      </c>
      <c r="E1548" t="inlineStr">
        <is>
          <t>(novo)</t>
        </is>
      </c>
      <c r="F1548" t="inlineStr"/>
      <c r="G1548" s="2" t="inlineStr">
        <is>
          <t>432</t>
        </is>
      </c>
      <c r="H1548">
        <f>IFERROR(VLOOKUP(G1548&amp;"",PLANO!A:B,2,FALSE),"CONTA NAO EXISTE NO PLANO")</f>
        <v/>
      </c>
      <c r="I1548" t="inlineStr">
        <is>
          <t>432</t>
        </is>
      </c>
      <c r="J1548" t="inlineStr">
        <is>
          <t>OK</t>
        </is>
      </c>
      <c r="K1548" t="inlineStr"/>
      <c r="L1548" t="inlineStr"/>
      <c r="M1548" t="inlineStr">
        <is>
          <t>RENDIMENTO APLICACAO AUTOMATICA ITAU</t>
        </is>
      </c>
    </row>
    <row r="1549">
      <c r="A1549" t="n">
        <v>1548</v>
      </c>
      <c r="B1549" t="inlineStr">
        <is>
          <t>28/07/2026</t>
        </is>
      </c>
      <c r="C1549" t="inlineStr">
        <is>
          <t>PIX ENVIADO AQIA QUIMICA</t>
        </is>
      </c>
      <c r="D1549" s="7" t="n">
        <v>-7098.03</v>
      </c>
      <c r="E1549" t="inlineStr">
        <is>
          <t>(novo)</t>
        </is>
      </c>
      <c r="F1549" t="inlineStr"/>
      <c r="G1549" s="2" t="inlineStr">
        <is>
          <t>506</t>
        </is>
      </c>
      <c r="H1549">
        <f>IFERROR(VLOOKUP(G1549&amp;"",PLANO!A:B,2,FALSE),"CONTA NAO EXISTE NO PLANO")</f>
        <v/>
      </c>
      <c r="I1549" t="inlineStr">
        <is>
          <t>506</t>
        </is>
      </c>
      <c r="J1549" t="inlineStr">
        <is>
          <t>OK</t>
        </is>
      </c>
      <c r="K1549" t="inlineStr"/>
      <c r="L1549" t="inlineStr"/>
      <c r="M1549" t="inlineStr">
        <is>
          <t>PIX ENVIADO AQIA QUIMICA</t>
        </is>
      </c>
    </row>
    <row r="1550">
      <c r="A1550" t="n">
        <v>1549</v>
      </c>
      <c r="B1550" t="inlineStr">
        <is>
          <t>28/07/2026</t>
        </is>
      </c>
      <c r="C1550" t="inlineStr">
        <is>
          <t>PIX ENVIADO MATIZAPLAST</t>
        </is>
      </c>
      <c r="D1550" s="7" t="n">
        <v>-2083</v>
      </c>
      <c r="E1550" t="inlineStr">
        <is>
          <t>(novo)</t>
        </is>
      </c>
      <c r="F1550" t="inlineStr"/>
      <c r="G1550" s="2" t="inlineStr">
        <is>
          <t>506</t>
        </is>
      </c>
      <c r="H1550">
        <f>IFERROR(VLOOKUP(G1550&amp;"",PLANO!A:B,2,FALSE),"CONTA NAO EXISTE NO PLANO")</f>
        <v/>
      </c>
      <c r="I1550" t="inlineStr">
        <is>
          <t>506</t>
        </is>
      </c>
      <c r="J1550" t="inlineStr">
        <is>
          <t>OK</t>
        </is>
      </c>
      <c r="K1550" t="inlineStr"/>
      <c r="L1550" t="inlineStr"/>
      <c r="M1550" t="inlineStr">
        <is>
          <t>MATIZAPLAST PLASTICOS E CORANTES LTDAPAGAMENTO REFERENTE A COMPRA DE PIGMENTO BRANCO</t>
        </is>
      </c>
    </row>
    <row r="1551">
      <c r="A1551" s="4" t="n">
        <v>1550</v>
      </c>
      <c r="B1551" s="4" t="inlineStr">
        <is>
          <t>28/07/2026</t>
        </is>
      </c>
      <c r="C1551" s="4" t="inlineStr">
        <is>
          <t>PIX ENVIADO LUIZ HENRIQU</t>
        </is>
      </c>
      <c r="D1551" s="5" t="n">
        <v>-1365</v>
      </c>
      <c r="E1551" s="4" t="inlineStr">
        <is>
          <t>(novo)</t>
        </is>
      </c>
      <c r="F1551" s="4" t="inlineStr"/>
      <c r="G1551" s="6" t="inlineStr">
        <is>
          <t>362</t>
        </is>
      </c>
      <c r="H1551" s="4">
        <f>IFERROR(VLOOKUP(G1551&amp;"",PLANO!A:B,2,FALSE),"CONTA NAO EXISTE NO PLANO")</f>
        <v/>
      </c>
      <c r="I1551" s="4" t="inlineStr">
        <is>
          <t>362</t>
        </is>
      </c>
      <c r="J1551" s="4" t="inlineStr">
        <is>
          <t>AJUSTADO</t>
        </is>
      </c>
      <c r="K1551" s="4" t="inlineStr">
        <is>
          <t>pessoa fisica - servicos</t>
        </is>
      </c>
      <c r="L1551" s="4" t="inlineStr"/>
      <c r="M1551" s="4" t="inlineStr">
        <is>
          <t>PIX ENVIADO LUIZ HENRIQU</t>
        </is>
      </c>
    </row>
    <row r="1552">
      <c r="A1552" s="4" t="n">
        <v>1551</v>
      </c>
      <c r="B1552" s="4" t="inlineStr">
        <is>
          <t>28/07/2026</t>
        </is>
      </c>
      <c r="C1552" s="4" t="inlineStr">
        <is>
          <t>PIX ENVIADO LUIZ HENRIQU</t>
        </is>
      </c>
      <c r="D1552" s="5" t="n">
        <v>-643</v>
      </c>
      <c r="E1552" s="4" t="inlineStr">
        <is>
          <t>(novo)</t>
        </is>
      </c>
      <c r="F1552" s="4" t="inlineStr"/>
      <c r="G1552" s="6" t="inlineStr">
        <is>
          <t>362</t>
        </is>
      </c>
      <c r="H1552" s="4">
        <f>IFERROR(VLOOKUP(G1552&amp;"",PLANO!A:B,2,FALSE),"CONTA NAO EXISTE NO PLANO")</f>
        <v/>
      </c>
      <c r="I1552" s="4" t="inlineStr">
        <is>
          <t>362</t>
        </is>
      </c>
      <c r="J1552" s="4" t="inlineStr">
        <is>
          <t>AJUSTADO</t>
        </is>
      </c>
      <c r="K1552" s="4" t="inlineStr">
        <is>
          <t>pessoa fisica - servicos</t>
        </is>
      </c>
      <c r="L1552" s="4" t="inlineStr"/>
      <c r="M1552" s="4" t="inlineStr">
        <is>
          <t>PIX ENVIADO LUIZ HENRIQU</t>
        </is>
      </c>
    </row>
    <row r="1553">
      <c r="A1553" t="n">
        <v>1552</v>
      </c>
      <c r="B1553" t="inlineStr">
        <is>
          <t>28/07/2026</t>
        </is>
      </c>
      <c r="C1553" t="inlineStr">
        <is>
          <t>PIX ENVIADO FOCUS TECNOL</t>
        </is>
      </c>
      <c r="D1553" s="7" t="n">
        <v>-3888.01</v>
      </c>
      <c r="E1553" t="inlineStr">
        <is>
          <t>(novo)</t>
        </is>
      </c>
      <c r="F1553" t="inlineStr"/>
      <c r="G1553" s="2" t="inlineStr">
        <is>
          <t>506</t>
        </is>
      </c>
      <c r="H1553">
        <f>IFERROR(VLOOKUP(G1553&amp;"",PLANO!A:B,2,FALSE),"CONTA NAO EXISTE NO PLANO")</f>
        <v/>
      </c>
      <c r="I1553" t="inlineStr">
        <is>
          <t>506</t>
        </is>
      </c>
      <c r="J1553" t="inlineStr">
        <is>
          <t>OK</t>
        </is>
      </c>
      <c r="K1553" t="inlineStr"/>
      <c r="L1553" t="inlineStr"/>
      <c r="M1553" t="inlineStr">
        <is>
          <t>FOCUS TECNOLOGIA COMERCIAL QUIMICA LTDAPGTO REF. A COMPRA DE MATERIA PRIMA, COLOREX 5KG,CM50 100KG</t>
        </is>
      </c>
    </row>
    <row r="1554">
      <c r="A1554" s="11" t="n">
        <v>1553</v>
      </c>
      <c r="B1554" s="11" t="inlineStr">
        <is>
          <t>28/07/2026</t>
        </is>
      </c>
      <c r="C1554" s="11" t="inlineStr">
        <is>
          <t>BOLETO PAGO ASSOCIACAO F</t>
        </is>
      </c>
      <c r="D1554" s="12" t="n">
        <v>-2333.15</v>
      </c>
      <c r="E1554" s="11" t="inlineStr">
        <is>
          <t>(novo)</t>
        </is>
      </c>
      <c r="F1554" s="11" t="inlineStr"/>
      <c r="G1554" s="13" t="inlineStr">
        <is>
          <t>506</t>
        </is>
      </c>
      <c r="H1554" s="11">
        <f>IFERROR(VLOOKUP(G1554&amp;"",PLANO!A:B,2,FALSE),"CONTA NAO EXISTE NO PLANO")</f>
        <v/>
      </c>
      <c r="I1554" s="11" t="inlineStr">
        <is>
          <t>506</t>
        </is>
      </c>
      <c r="J1554" s="11" t="inlineStr">
        <is>
          <t>MANTIDO</t>
        </is>
      </c>
      <c r="K1554" s="11" t="inlineStr">
        <is>
          <t>pagamento sem referencia - tratado como fornecedor (506)</t>
        </is>
      </c>
      <c r="L1554" s="11" t="inlineStr"/>
      <c r="M1554" s="11" t="inlineStr">
        <is>
          <t>BOLETO PAGO ASSOCIACAO F</t>
        </is>
      </c>
    </row>
    <row r="1555">
      <c r="A1555" t="n">
        <v>1554</v>
      </c>
      <c r="B1555" t="inlineStr">
        <is>
          <t>28/07/2026</t>
        </is>
      </c>
      <c r="C1555" t="inlineStr">
        <is>
          <t>BOLETO PAGO GRAFICA E TR</t>
        </is>
      </c>
      <c r="D1555" s="7" t="n">
        <v>-2633.32</v>
      </c>
      <c r="E1555" t="inlineStr">
        <is>
          <t>(novo)</t>
        </is>
      </c>
      <c r="F1555" t="inlineStr"/>
      <c r="G1555" s="2" t="inlineStr">
        <is>
          <t>506</t>
        </is>
      </c>
      <c r="H1555">
        <f>IFERROR(VLOOKUP(G1555&amp;"",PLANO!A:B,2,FALSE),"CONTA NAO EXISTE NO PLANO")</f>
        <v/>
      </c>
      <c r="I1555" t="inlineStr">
        <is>
          <t>506</t>
        </is>
      </c>
      <c r="J1555" t="inlineStr">
        <is>
          <t>OK</t>
        </is>
      </c>
      <c r="K1555" t="inlineStr"/>
      <c r="L1555" t="inlineStr"/>
      <c r="M1555" t="inlineStr">
        <is>
          <t>BOLETO PAGO GRAFICA E TR</t>
        </is>
      </c>
    </row>
    <row r="1556">
      <c r="A1556" t="n">
        <v>1555</v>
      </c>
      <c r="B1556" t="inlineStr">
        <is>
          <t>28/07/2026</t>
        </is>
      </c>
      <c r="C1556" t="inlineStr">
        <is>
          <t>BOLETO PAGO QUIMIFORMULA</t>
        </is>
      </c>
      <c r="D1556" s="7" t="n">
        <v>-1089.23</v>
      </c>
      <c r="E1556" t="inlineStr">
        <is>
          <t>(novo)</t>
        </is>
      </c>
      <c r="F1556" t="inlineStr"/>
      <c r="G1556" s="2" t="inlineStr">
        <is>
          <t>506</t>
        </is>
      </c>
      <c r="H1556">
        <f>IFERROR(VLOOKUP(G1556&amp;"",PLANO!A:B,2,FALSE),"CONTA NAO EXISTE NO PLANO")</f>
        <v/>
      </c>
      <c r="I1556" t="inlineStr">
        <is>
          <t>506</t>
        </is>
      </c>
      <c r="J1556" t="inlineStr">
        <is>
          <t>OK</t>
        </is>
      </c>
      <c r="K1556" t="inlineStr"/>
      <c r="L1556" t="inlineStr"/>
      <c r="M1556" t="inlineStr">
        <is>
          <t>BOLETO PAGO QUIMIFORMULA</t>
        </is>
      </c>
    </row>
    <row r="1557">
      <c r="A1557" t="n">
        <v>1556</v>
      </c>
      <c r="B1557" t="inlineStr">
        <is>
          <t>28/07/2026</t>
        </is>
      </c>
      <c r="C1557" t="inlineStr">
        <is>
          <t>BOLETO PAGO ARGILAS DO B</t>
        </is>
      </c>
      <c r="D1557" s="7" t="n">
        <v>-1233.75</v>
      </c>
      <c r="E1557" t="inlineStr">
        <is>
          <t>(novo)</t>
        </is>
      </c>
      <c r="F1557" t="inlineStr"/>
      <c r="G1557" s="2" t="inlineStr">
        <is>
          <t>506</t>
        </is>
      </c>
      <c r="H1557">
        <f>IFERROR(VLOOKUP(G1557&amp;"",PLANO!A:B,2,FALSE),"CONTA NAO EXISTE NO PLANO")</f>
        <v/>
      </c>
      <c r="I1557" t="inlineStr">
        <is>
          <t>506</t>
        </is>
      </c>
      <c r="J1557" t="inlineStr">
        <is>
          <t>OK</t>
        </is>
      </c>
      <c r="K1557" t="inlineStr"/>
      <c r="L1557" t="inlineStr"/>
      <c r="M1557" t="inlineStr">
        <is>
          <t>BOLETO PAGO ARGILAS DO B</t>
        </is>
      </c>
    </row>
    <row r="1558">
      <c r="A1558" t="n">
        <v>1557</v>
      </c>
      <c r="B1558" t="inlineStr">
        <is>
          <t>28/07/2026</t>
        </is>
      </c>
      <c r="C1558" t="inlineStr">
        <is>
          <t>BOLETO PAGO QUIMIFORMULA</t>
        </is>
      </c>
      <c r="D1558" s="7" t="n">
        <v>-1014.48</v>
      </c>
      <c r="E1558" t="inlineStr">
        <is>
          <t>(novo)</t>
        </is>
      </c>
      <c r="F1558" t="inlineStr"/>
      <c r="G1558" s="2" t="inlineStr">
        <is>
          <t>506</t>
        </is>
      </c>
      <c r="H1558">
        <f>IFERROR(VLOOKUP(G1558&amp;"",PLANO!A:B,2,FALSE),"CONTA NAO EXISTE NO PLANO")</f>
        <v/>
      </c>
      <c r="I1558" t="inlineStr">
        <is>
          <t>506</t>
        </is>
      </c>
      <c r="J1558" t="inlineStr">
        <is>
          <t>OK</t>
        </is>
      </c>
      <c r="K1558" t="inlineStr"/>
      <c r="L1558" t="inlineStr"/>
      <c r="M1558" t="inlineStr">
        <is>
          <t>BOLETO PAGO QUIMIFORMULA</t>
        </is>
      </c>
    </row>
    <row r="1559">
      <c r="A1559" t="n">
        <v>1558</v>
      </c>
      <c r="B1559" t="inlineStr">
        <is>
          <t>28/07/2026</t>
        </is>
      </c>
      <c r="C1559" t="inlineStr">
        <is>
          <t>Mov Tít Cob Disp 28/07S</t>
        </is>
      </c>
      <c r="D1559" s="7" t="n">
        <v>1882.92</v>
      </c>
      <c r="E1559" t="inlineStr">
        <is>
          <t>(novo)</t>
        </is>
      </c>
      <c r="F1559" t="inlineStr"/>
      <c r="G1559" s="2" t="inlineStr">
        <is>
          <t>504</t>
        </is>
      </c>
      <c r="H1559">
        <f>IFERROR(VLOOKUP(G1559&amp;"",PLANO!A:B,2,FALSE),"CONTA NAO EXISTE NO PLANO")</f>
        <v/>
      </c>
      <c r="I1559" t="inlineStr">
        <is>
          <t>504</t>
        </is>
      </c>
      <c r="J1559" t="inlineStr">
        <is>
          <t>OK</t>
        </is>
      </c>
      <c r="K1559" t="inlineStr"/>
      <c r="L1559" t="inlineStr"/>
      <c r="M1559" t="inlineStr">
        <is>
          <t>MOV TÍT COB DISP 28/07S</t>
        </is>
      </c>
    </row>
    <row r="1560">
      <c r="A1560" t="n">
        <v>1559</v>
      </c>
      <c r="B1560" t="inlineStr">
        <is>
          <t>28/07/2026</t>
        </is>
      </c>
      <c r="C1560" t="inlineStr">
        <is>
          <t>Rede MAST AT0081996543</t>
        </is>
      </c>
      <c r="D1560" s="7" t="n">
        <v>13392.47</v>
      </c>
      <c r="E1560" t="inlineStr">
        <is>
          <t>(novo)</t>
        </is>
      </c>
      <c r="F1560" t="inlineStr"/>
      <c r="G1560" s="2" t="inlineStr">
        <is>
          <t>504</t>
        </is>
      </c>
      <c r="H1560">
        <f>IFERROR(VLOOKUP(G1560&amp;"",PLANO!A:B,2,FALSE),"CONTA NAO EXISTE NO PLANO")</f>
        <v/>
      </c>
      <c r="I1560" t="inlineStr">
        <is>
          <t>504</t>
        </is>
      </c>
      <c r="J1560" t="inlineStr">
        <is>
          <t>OK</t>
        </is>
      </c>
      <c r="K1560" t="inlineStr"/>
      <c r="L1560" t="inlineStr"/>
      <c r="M1560" t="inlineStr">
        <is>
          <t>REDE MAST AT0081996543</t>
        </is>
      </c>
    </row>
    <row r="1561">
      <c r="A1561" t="n">
        <v>1560</v>
      </c>
      <c r="B1561" t="inlineStr">
        <is>
          <t>28/07/2026</t>
        </is>
      </c>
      <c r="C1561" t="inlineStr">
        <is>
          <t>PIX TRANSF J V C C28/07</t>
        </is>
      </c>
      <c r="D1561" s="7" t="n">
        <v>4500</v>
      </c>
      <c r="E1561" t="inlineStr">
        <is>
          <t>(novo)</t>
        </is>
      </c>
      <c r="F1561" t="inlineStr"/>
      <c r="G1561" s="2" t="inlineStr">
        <is>
          <t>504</t>
        </is>
      </c>
      <c r="H1561">
        <f>IFERROR(VLOOKUP(G1561&amp;"",PLANO!A:B,2,FALSE),"CONTA NAO EXISTE NO PLANO")</f>
        <v/>
      </c>
      <c r="I1561" t="inlineStr">
        <is>
          <t>504</t>
        </is>
      </c>
      <c r="J1561" t="inlineStr">
        <is>
          <t>OK</t>
        </is>
      </c>
      <c r="K1561" t="inlineStr"/>
      <c r="L1561" t="inlineStr"/>
      <c r="M1561" t="inlineStr">
        <is>
          <t>PIX TRANSF J V C C28/07</t>
        </is>
      </c>
    </row>
    <row r="1562">
      <c r="A1562" t="n">
        <v>1561</v>
      </c>
      <c r="B1562" t="inlineStr">
        <is>
          <t>28/07/2026</t>
        </is>
      </c>
      <c r="C1562" t="inlineStr">
        <is>
          <t>PIX TRANSF JORGE L28/07</t>
        </is>
      </c>
      <c r="D1562" s="7" t="n">
        <v>6681</v>
      </c>
      <c r="E1562" t="inlineStr">
        <is>
          <t>(novo)</t>
        </is>
      </c>
      <c r="F1562" t="inlineStr"/>
      <c r="G1562" s="2" t="inlineStr">
        <is>
          <t>504</t>
        </is>
      </c>
      <c r="H1562">
        <f>IFERROR(VLOOKUP(G1562&amp;"",PLANO!A:B,2,FALSE),"CONTA NAO EXISTE NO PLANO")</f>
        <v/>
      </c>
      <c r="I1562" t="inlineStr">
        <is>
          <t>504</t>
        </is>
      </c>
      <c r="J1562" t="inlineStr">
        <is>
          <t>OK</t>
        </is>
      </c>
      <c r="K1562" t="inlineStr"/>
      <c r="L1562" t="inlineStr"/>
      <c r="M1562" t="inlineStr">
        <is>
          <t>PIX TRANSF JORGE L28/07</t>
        </is>
      </c>
    </row>
    <row r="1563">
      <c r="A1563" t="n">
        <v>1562</v>
      </c>
      <c r="B1563" t="inlineStr">
        <is>
          <t>29/07/2026</t>
        </is>
      </c>
      <c r="C1563" t="inlineStr">
        <is>
          <t>PIX ENVIADO SUL TAPE COM</t>
        </is>
      </c>
      <c r="D1563" s="7" t="n">
        <v>-960</v>
      </c>
      <c r="E1563" t="inlineStr">
        <is>
          <t>(novo)</t>
        </is>
      </c>
      <c r="F1563" t="inlineStr"/>
      <c r="G1563" s="2" t="inlineStr">
        <is>
          <t>506</t>
        </is>
      </c>
      <c r="H1563">
        <f>IFERROR(VLOOKUP(G1563&amp;"",PLANO!A:B,2,FALSE),"CONTA NAO EXISTE NO PLANO")</f>
        <v/>
      </c>
      <c r="I1563" t="inlineStr">
        <is>
          <t>506</t>
        </is>
      </c>
      <c r="J1563" t="inlineStr">
        <is>
          <t>OK</t>
        </is>
      </c>
      <c r="K1563" t="inlineStr"/>
      <c r="L1563" t="inlineStr"/>
      <c r="M1563" t="inlineStr">
        <is>
          <t>SUL TAPE COMERCIO DE EMBALAGENS EIRELIPGTO REF. A COMPRA DE PLASTICO BOLHA</t>
        </is>
      </c>
    </row>
    <row r="1564">
      <c r="A1564" s="4" t="n">
        <v>1563</v>
      </c>
      <c r="B1564" s="4" t="inlineStr">
        <is>
          <t>29/07/2026</t>
        </is>
      </c>
      <c r="C1564" s="4" t="inlineStr">
        <is>
          <t>PIX ENVIADO F.V.S COMERC</t>
        </is>
      </c>
      <c r="D1564" s="5" t="n">
        <v>-2500</v>
      </c>
      <c r="E1564" s="4" t="inlineStr">
        <is>
          <t>(novo)</t>
        </is>
      </c>
      <c r="F1564" s="4" t="inlineStr"/>
      <c r="G1564" s="6" t="inlineStr">
        <is>
          <t>662</t>
        </is>
      </c>
      <c r="H1564" s="4">
        <f>IFERROR(VLOOKUP(G1564&amp;"",PLANO!A:B,2,FALSE),"CONTA NAO EXISTE NO PLANO")</f>
        <v/>
      </c>
      <c r="I1564" s="4" t="inlineStr">
        <is>
          <t>662</t>
        </is>
      </c>
      <c r="J1564" s="4" t="inlineStr">
        <is>
          <t>AJUSTADO</t>
        </is>
      </c>
      <c r="K1564" s="4" t="inlineStr">
        <is>
          <t>F.V.S - conta-corrente unica de mutuo (662)</t>
        </is>
      </c>
      <c r="L1564" s="4" t="inlineStr"/>
      <c r="M1564" s="4" t="inlineStr">
        <is>
          <t>PIX ENVIADO F.V.S COMERC</t>
        </is>
      </c>
    </row>
    <row r="1565">
      <c r="A1565" s="11" t="n">
        <v>1564</v>
      </c>
      <c r="B1565" s="11" t="inlineStr">
        <is>
          <t>29/07/2026</t>
        </is>
      </c>
      <c r="C1565" s="11" t="inlineStr">
        <is>
          <t>BOLETO PAGO QUANTIQ DIST</t>
        </is>
      </c>
      <c r="D1565" s="12" t="n">
        <v>-2044.79</v>
      </c>
      <c r="E1565" s="11" t="inlineStr">
        <is>
          <t>(novo)</t>
        </is>
      </c>
      <c r="F1565" s="11" t="inlineStr"/>
      <c r="G1565" s="13" t="inlineStr">
        <is>
          <t>506</t>
        </is>
      </c>
      <c r="H1565" s="11">
        <f>IFERROR(VLOOKUP(G1565&amp;"",PLANO!A:B,2,FALSE),"CONTA NAO EXISTE NO PLANO")</f>
        <v/>
      </c>
      <c r="I1565" s="11" t="inlineStr">
        <is>
          <t>506</t>
        </is>
      </c>
      <c r="J1565" s="11" t="inlineStr">
        <is>
          <t>MANTIDO</t>
        </is>
      </c>
      <c r="K1565" s="11" t="inlineStr">
        <is>
          <t>pagamento sem referencia - tratado como fornecedor (506)</t>
        </is>
      </c>
      <c r="L1565" s="11" t="inlineStr"/>
      <c r="M1565" s="11" t="inlineStr">
        <is>
          <t>BOLETO PAGO QUANTIQ DIST</t>
        </is>
      </c>
    </row>
    <row r="1566">
      <c r="A1566" t="n">
        <v>1565</v>
      </c>
      <c r="B1566" t="inlineStr">
        <is>
          <t>29/07/2026</t>
        </is>
      </c>
      <c r="C1566" t="inlineStr">
        <is>
          <t>Sispag ESAINT COMERCIO</t>
        </is>
      </c>
      <c r="D1566" s="7" t="n">
        <v>1900</v>
      </c>
      <c r="E1566" t="inlineStr">
        <is>
          <t>(novo)</t>
        </is>
      </c>
      <c r="F1566" t="inlineStr"/>
      <c r="G1566" s="2" t="inlineStr">
        <is>
          <t>504</t>
        </is>
      </c>
      <c r="H1566">
        <f>IFERROR(VLOOKUP(G1566&amp;"",PLANO!A:B,2,FALSE),"CONTA NAO EXISTE NO PLANO")</f>
        <v/>
      </c>
      <c r="I1566" t="inlineStr">
        <is>
          <t>504</t>
        </is>
      </c>
      <c r="J1566" t="inlineStr">
        <is>
          <t>OK</t>
        </is>
      </c>
      <c r="K1566" t="inlineStr"/>
      <c r="L1566" t="inlineStr"/>
      <c r="M1566" t="inlineStr">
        <is>
          <t>SISPAG ESAINT COMERCIO</t>
        </is>
      </c>
    </row>
    <row r="1567">
      <c r="A1567" t="n">
        <v>1566</v>
      </c>
      <c r="B1567" t="inlineStr">
        <is>
          <t>29/07/2026</t>
        </is>
      </c>
      <c r="C1567" t="inlineStr">
        <is>
          <t>Mov Tít Cob Disp 29/07S</t>
        </is>
      </c>
      <c r="D1567" s="7" t="n">
        <v>2043.36</v>
      </c>
      <c r="E1567" t="inlineStr">
        <is>
          <t>(novo)</t>
        </is>
      </c>
      <c r="F1567" t="inlineStr"/>
      <c r="G1567" s="2" t="inlineStr">
        <is>
          <t>504</t>
        </is>
      </c>
      <c r="H1567">
        <f>IFERROR(VLOOKUP(G1567&amp;"",PLANO!A:B,2,FALSE),"CONTA NAO EXISTE NO PLANO")</f>
        <v/>
      </c>
      <c r="I1567" t="inlineStr">
        <is>
          <t>504</t>
        </is>
      </c>
      <c r="J1567" t="inlineStr">
        <is>
          <t>OK</t>
        </is>
      </c>
      <c r="K1567" t="inlineStr"/>
      <c r="L1567" t="inlineStr"/>
      <c r="M1567" t="inlineStr">
        <is>
          <t>MOV TÍT COB DISP 29/07S</t>
        </is>
      </c>
    </row>
    <row r="1568">
      <c r="A1568" t="n">
        <v>1567</v>
      </c>
      <c r="B1568" t="inlineStr">
        <is>
          <t>29/07/2026</t>
        </is>
      </c>
      <c r="C1568" t="inlineStr">
        <is>
          <t>PIX TRANSF DOUGLAS29/07</t>
        </is>
      </c>
      <c r="D1568" s="7" t="n">
        <v>444</v>
      </c>
      <c r="E1568" t="inlineStr">
        <is>
          <t>(novo)</t>
        </is>
      </c>
      <c r="F1568" t="inlineStr"/>
      <c r="G1568" s="2" t="inlineStr">
        <is>
          <t>504</t>
        </is>
      </c>
      <c r="H1568">
        <f>IFERROR(VLOOKUP(G1568&amp;"",PLANO!A:B,2,FALSE),"CONTA NAO EXISTE NO PLANO")</f>
        <v/>
      </c>
      <c r="I1568" t="inlineStr">
        <is>
          <t>504</t>
        </is>
      </c>
      <c r="J1568" t="inlineStr">
        <is>
          <t>OK</t>
        </is>
      </c>
      <c r="K1568" t="inlineStr"/>
      <c r="L1568" t="inlineStr"/>
      <c r="M1568" t="inlineStr">
        <is>
          <t>PIX TRANSF DOUGLAS29/07</t>
        </is>
      </c>
    </row>
    <row r="1569">
      <c r="A1569" t="n">
        <v>1568</v>
      </c>
      <c r="B1569" t="inlineStr">
        <is>
          <t>29/07/2026</t>
        </is>
      </c>
      <c r="C1569" t="inlineStr">
        <is>
          <t>PIX TRANSF Onixsul29/07</t>
        </is>
      </c>
      <c r="D1569" s="7" t="n">
        <v>13000</v>
      </c>
      <c r="E1569" t="inlineStr">
        <is>
          <t>(novo)</t>
        </is>
      </c>
      <c r="F1569" t="inlineStr"/>
      <c r="G1569" s="2" t="inlineStr">
        <is>
          <t>504</t>
        </is>
      </c>
      <c r="H1569">
        <f>IFERROR(VLOOKUP(G1569&amp;"",PLANO!A:B,2,FALSE),"CONTA NAO EXISTE NO PLANO")</f>
        <v/>
      </c>
      <c r="I1569" t="inlineStr">
        <is>
          <t>504</t>
        </is>
      </c>
      <c r="J1569" t="inlineStr">
        <is>
          <t>OK</t>
        </is>
      </c>
      <c r="K1569" t="inlineStr"/>
      <c r="L1569" t="inlineStr"/>
      <c r="M1569" t="inlineStr">
        <is>
          <t>PIX TRANSF ONIXSUL29/07</t>
        </is>
      </c>
    </row>
    <row r="1570">
      <c r="A1570" t="n">
        <v>1569</v>
      </c>
      <c r="B1570" t="inlineStr">
        <is>
          <t>29/07/2026</t>
        </is>
      </c>
      <c r="C1570" t="inlineStr">
        <is>
          <t>Tar/Custas Cobrança</t>
        </is>
      </c>
      <c r="D1570" s="7" t="n">
        <v>-9.140000000000001</v>
      </c>
      <c r="E1570" t="inlineStr">
        <is>
          <t>(novo)</t>
        </is>
      </c>
      <c r="F1570" t="inlineStr"/>
      <c r="G1570" s="2" t="inlineStr">
        <is>
          <t>626</t>
        </is>
      </c>
      <c r="H1570">
        <f>IFERROR(VLOOKUP(G1570&amp;"",PLANO!A:B,2,FALSE),"CONTA NAO EXISTE NO PLANO")</f>
        <v/>
      </c>
      <c r="I1570" t="inlineStr">
        <is>
          <t>626</t>
        </is>
      </c>
      <c r="J1570" t="inlineStr">
        <is>
          <t>OK</t>
        </is>
      </c>
      <c r="K1570" t="inlineStr"/>
      <c r="L1570" t="inlineStr"/>
      <c r="M1570" t="inlineStr">
        <is>
          <t>TAR/CUSTAS COBRANÇA</t>
        </is>
      </c>
    </row>
    <row r="1571">
      <c r="A1571" s="11" t="n">
        <v>1570</v>
      </c>
      <c r="B1571" s="11" t="inlineStr">
        <is>
          <t>30/07/2026</t>
        </is>
      </c>
      <c r="C1571" s="11" t="inlineStr">
        <is>
          <t>PIX ENVIADO FRAEMB INDUS</t>
        </is>
      </c>
      <c r="D1571" s="12" t="n">
        <v>-4200</v>
      </c>
      <c r="E1571" s="11" t="inlineStr">
        <is>
          <t>(novo)</t>
        </is>
      </c>
      <c r="F1571" s="11" t="inlineStr"/>
      <c r="G1571" s="13" t="inlineStr">
        <is>
          <t>506</t>
        </is>
      </c>
      <c r="H1571" s="11">
        <f>IFERROR(VLOOKUP(G1571&amp;"",PLANO!A:B,2,FALSE),"CONTA NAO EXISTE NO PLANO")</f>
        <v/>
      </c>
      <c r="I1571" s="11" t="inlineStr">
        <is>
          <t>506</t>
        </is>
      </c>
      <c r="J1571" s="11" t="inlineStr">
        <is>
          <t>MANTIDO</t>
        </is>
      </c>
      <c r="K1571" s="11" t="inlineStr">
        <is>
          <t>pagamento sem referencia - tratado como fornecedor (506)</t>
        </is>
      </c>
      <c r="L1571" s="11" t="inlineStr"/>
      <c r="M1571" s="11" t="inlineStr">
        <is>
          <t>PIX ENVIADO FRAEMB INDUS</t>
        </is>
      </c>
    </row>
    <row r="1572">
      <c r="A1572" t="n">
        <v>1571</v>
      </c>
      <c r="B1572" t="inlineStr">
        <is>
          <t>30/07/2026</t>
        </is>
      </c>
      <c r="C1572" t="inlineStr">
        <is>
          <t>PIX ENVIADO SUMMIT COSME</t>
        </is>
      </c>
      <c r="D1572" s="7" t="n">
        <v>-4949.83</v>
      </c>
      <c r="E1572" t="inlineStr">
        <is>
          <t>(novo)</t>
        </is>
      </c>
      <c r="F1572" t="inlineStr"/>
      <c r="G1572" s="2" t="inlineStr">
        <is>
          <t>506</t>
        </is>
      </c>
      <c r="H1572">
        <f>IFERROR(VLOOKUP(G1572&amp;"",PLANO!A:B,2,FALSE),"CONTA NAO EXISTE NO PLANO")</f>
        <v/>
      </c>
      <c r="I1572" t="inlineStr">
        <is>
          <t>506</t>
        </is>
      </c>
      <c r="J1572" t="inlineStr">
        <is>
          <t>OK</t>
        </is>
      </c>
      <c r="K1572" t="inlineStr"/>
      <c r="L1572" t="inlineStr"/>
      <c r="M1572" t="inlineStr">
        <is>
          <t>PIX ENVIADO SUMMIT COSME</t>
        </is>
      </c>
    </row>
    <row r="1573">
      <c r="A1573" t="n">
        <v>1572</v>
      </c>
      <c r="B1573" t="inlineStr">
        <is>
          <t>30/07/2026</t>
        </is>
      </c>
      <c r="C1573" t="inlineStr">
        <is>
          <t>BOLETO PAGO TEX COURIER</t>
        </is>
      </c>
      <c r="D1573" s="7" t="n">
        <v>-803.49</v>
      </c>
      <c r="E1573" t="inlineStr">
        <is>
          <t>(novo)</t>
        </is>
      </c>
      <c r="F1573" t="inlineStr"/>
      <c r="G1573" s="2" t="inlineStr">
        <is>
          <t>312</t>
        </is>
      </c>
      <c r="H1573">
        <f>IFERROR(VLOOKUP(G1573&amp;"",PLANO!A:B,2,FALSE),"CONTA NAO EXISTE NO PLANO")</f>
        <v/>
      </c>
      <c r="I1573" t="inlineStr">
        <is>
          <t>312</t>
        </is>
      </c>
      <c r="J1573" t="inlineStr">
        <is>
          <t>OK</t>
        </is>
      </c>
      <c r="K1573" t="inlineStr"/>
      <c r="L1573" t="inlineStr"/>
      <c r="M1573" t="inlineStr">
        <is>
          <t>BOLETO PAGO TEX COURIER</t>
        </is>
      </c>
    </row>
    <row r="1574">
      <c r="A1574" t="n">
        <v>1573</v>
      </c>
      <c r="B1574" t="inlineStr">
        <is>
          <t>30/07/2026</t>
        </is>
      </c>
      <c r="C1574" t="inlineStr">
        <is>
          <t>BOLETO PAGO TRANSAL</t>
        </is>
      </c>
      <c r="D1574" s="7" t="n">
        <v>-554.12</v>
      </c>
      <c r="E1574" t="inlineStr">
        <is>
          <t>(novo)</t>
        </is>
      </c>
      <c r="F1574" t="inlineStr"/>
      <c r="G1574" s="2" t="inlineStr">
        <is>
          <t>312</t>
        </is>
      </c>
      <c r="H1574">
        <f>IFERROR(VLOOKUP(G1574&amp;"",PLANO!A:B,2,FALSE),"CONTA NAO EXISTE NO PLANO")</f>
        <v/>
      </c>
      <c r="I1574" t="inlineStr">
        <is>
          <t>312</t>
        </is>
      </c>
      <c r="J1574" t="inlineStr">
        <is>
          <t>OK</t>
        </is>
      </c>
      <c r="K1574" t="inlineStr"/>
      <c r="L1574" t="inlineStr"/>
      <c r="M1574" t="inlineStr">
        <is>
          <t>BOLETO PAGO TRANSAL</t>
        </is>
      </c>
    </row>
    <row r="1575">
      <c r="A1575" t="n">
        <v>1574</v>
      </c>
      <c r="B1575" t="inlineStr">
        <is>
          <t>30/07/2026</t>
        </is>
      </c>
      <c r="C1575" t="inlineStr">
        <is>
          <t>BOLETO PAGO CRM TECNOLOG</t>
        </is>
      </c>
      <c r="D1575" s="7" t="n">
        <v>-2930.96</v>
      </c>
      <c r="E1575" t="inlineStr">
        <is>
          <t>(novo)</t>
        </is>
      </c>
      <c r="F1575" t="inlineStr"/>
      <c r="G1575" s="2" t="inlineStr">
        <is>
          <t>640</t>
        </is>
      </c>
      <c r="H1575">
        <f>IFERROR(VLOOKUP(G1575&amp;"",PLANO!A:B,2,FALSE),"CONTA NAO EXISTE NO PLANO")</f>
        <v/>
      </c>
      <c r="I1575" t="inlineStr">
        <is>
          <t>640</t>
        </is>
      </c>
      <c r="J1575" t="inlineStr">
        <is>
          <t>OK</t>
        </is>
      </c>
      <c r="K1575" t="inlineStr"/>
      <c r="L1575" t="inlineStr"/>
      <c r="M1575" t="inlineStr">
        <is>
          <t>BOLETO PAGO CRM TECNOLOG</t>
        </is>
      </c>
    </row>
    <row r="1576">
      <c r="A1576" t="n">
        <v>1575</v>
      </c>
      <c r="B1576" t="inlineStr">
        <is>
          <t>30/07/2026</t>
        </is>
      </c>
      <c r="C1576" t="inlineStr">
        <is>
          <t>BOLETO PAGO TECNOPONTO T</t>
        </is>
      </c>
      <c r="D1576" s="7" t="n">
        <v>-74.90000000000001</v>
      </c>
      <c r="E1576" t="inlineStr">
        <is>
          <t>(novo)</t>
        </is>
      </c>
      <c r="F1576" t="inlineStr"/>
      <c r="G1576" s="2" t="inlineStr">
        <is>
          <t>506</t>
        </is>
      </c>
      <c r="H1576">
        <f>IFERROR(VLOOKUP(G1576&amp;"",PLANO!A:B,2,FALSE),"CONTA NAO EXISTE NO PLANO")</f>
        <v/>
      </c>
      <c r="I1576" t="inlineStr">
        <is>
          <t>506</t>
        </is>
      </c>
      <c r="J1576" t="inlineStr">
        <is>
          <t>OK</t>
        </is>
      </c>
      <c r="K1576" t="inlineStr"/>
      <c r="L1576" t="inlineStr"/>
      <c r="M1576" t="inlineStr">
        <is>
          <t>BOLETO PAGO TECNOPONTO T</t>
        </is>
      </c>
    </row>
    <row r="1577">
      <c r="A1577" t="n">
        <v>1576</v>
      </c>
      <c r="B1577" t="inlineStr">
        <is>
          <t>30/07/2026</t>
        </is>
      </c>
      <c r="C1577" t="inlineStr">
        <is>
          <t>Mov Tít Cob Disp 30/07S</t>
        </is>
      </c>
      <c r="D1577" s="7" t="n">
        <v>4932.56</v>
      </c>
      <c r="E1577" t="inlineStr">
        <is>
          <t>(novo)</t>
        </is>
      </c>
      <c r="F1577" t="inlineStr"/>
      <c r="G1577" s="2" t="inlineStr">
        <is>
          <t>504</t>
        </is>
      </c>
      <c r="H1577">
        <f>IFERROR(VLOOKUP(G1577&amp;"",PLANO!A:B,2,FALSE),"CONTA NAO EXISTE NO PLANO")</f>
        <v/>
      </c>
      <c r="I1577" t="inlineStr">
        <is>
          <t>504</t>
        </is>
      </c>
      <c r="J1577" t="inlineStr">
        <is>
          <t>OK</t>
        </is>
      </c>
      <c r="K1577" t="inlineStr"/>
      <c r="L1577" t="inlineStr"/>
      <c r="M1577" t="inlineStr">
        <is>
          <t>MOV TÍT COB DISP 30/07S</t>
        </is>
      </c>
    </row>
    <row r="1578">
      <c r="A1578" t="n">
        <v>1577</v>
      </c>
      <c r="B1578" t="inlineStr">
        <is>
          <t>30/07/2026</t>
        </is>
      </c>
      <c r="C1578" t="inlineStr">
        <is>
          <t>PIX TRANSF Luciane30/07</t>
        </is>
      </c>
      <c r="D1578" s="7" t="n">
        <v>1659</v>
      </c>
      <c r="E1578" t="inlineStr">
        <is>
          <t>(novo)</t>
        </is>
      </c>
      <c r="F1578" t="inlineStr"/>
      <c r="G1578" s="2" t="inlineStr">
        <is>
          <t>504</t>
        </is>
      </c>
      <c r="H1578">
        <f>IFERROR(VLOOKUP(G1578&amp;"",PLANO!A:B,2,FALSE),"CONTA NAO EXISTE NO PLANO")</f>
        <v/>
      </c>
      <c r="I1578" t="inlineStr">
        <is>
          <t>504</t>
        </is>
      </c>
      <c r="J1578" t="inlineStr">
        <is>
          <t>OK</t>
        </is>
      </c>
      <c r="K1578" t="inlineStr"/>
      <c r="L1578" t="inlineStr"/>
      <c r="M1578" t="inlineStr">
        <is>
          <t>PIX TRANSF LUCIANE30/07</t>
        </is>
      </c>
    </row>
    <row r="1579">
      <c r="A1579" t="n">
        <v>1578</v>
      </c>
      <c r="B1579" t="inlineStr">
        <is>
          <t>30/07/2026</t>
        </is>
      </c>
      <c r="C1579" t="inlineStr">
        <is>
          <t>PIX TRANSF SILMARA30/07</t>
        </is>
      </c>
      <c r="D1579" s="7" t="n">
        <v>16.36</v>
      </c>
      <c r="E1579" t="inlineStr">
        <is>
          <t>(novo)</t>
        </is>
      </c>
      <c r="F1579" t="inlineStr"/>
      <c r="G1579" s="2" t="inlineStr">
        <is>
          <t>504</t>
        </is>
      </c>
      <c r="H1579">
        <f>IFERROR(VLOOKUP(G1579&amp;"",PLANO!A:B,2,FALSE),"CONTA NAO EXISTE NO PLANO")</f>
        <v/>
      </c>
      <c r="I1579" t="inlineStr">
        <is>
          <t>504</t>
        </is>
      </c>
      <c r="J1579" t="inlineStr">
        <is>
          <t>OK</t>
        </is>
      </c>
      <c r="K1579" t="inlineStr"/>
      <c r="L1579" t="inlineStr"/>
      <c r="M1579" t="inlineStr">
        <is>
          <t>PIX TRANSF SILMARA30/07</t>
        </is>
      </c>
    </row>
    <row r="1580">
      <c r="A1580" t="n">
        <v>1579</v>
      </c>
      <c r="B1580" t="inlineStr">
        <is>
          <t>30/07/2026</t>
        </is>
      </c>
      <c r="C1580" t="inlineStr">
        <is>
          <t>Rend Pago Aplic Aut Mais</t>
        </is>
      </c>
      <c r="D1580" s="7" t="n">
        <v>0.02</v>
      </c>
      <c r="E1580" t="inlineStr">
        <is>
          <t>(novo)</t>
        </is>
      </c>
      <c r="F1580" t="inlineStr"/>
      <c r="G1580" s="2" t="inlineStr">
        <is>
          <t>432</t>
        </is>
      </c>
      <c r="H1580">
        <f>IFERROR(VLOOKUP(G1580&amp;"",PLANO!A:B,2,FALSE),"CONTA NAO EXISTE NO PLANO")</f>
        <v/>
      </c>
      <c r="I1580" t="inlineStr">
        <is>
          <t>432</t>
        </is>
      </c>
      <c r="J1580" t="inlineStr">
        <is>
          <t>OK</t>
        </is>
      </c>
      <c r="K1580" t="inlineStr"/>
      <c r="L1580" t="inlineStr"/>
      <c r="M1580" t="inlineStr">
        <is>
          <t>RENDIMENTO APLICACAO AUTOMATICA ITAU</t>
        </is>
      </c>
    </row>
    <row r="1581">
      <c r="A1581" t="n">
        <v>1580</v>
      </c>
      <c r="B1581" t="inlineStr">
        <is>
          <t>31/07/2026</t>
        </is>
      </c>
      <c r="C1581" t="inlineStr">
        <is>
          <t>PIX ENVIADO INNOVARTH CO</t>
        </is>
      </c>
      <c r="D1581" s="7" t="n">
        <v>-1207.5</v>
      </c>
      <c r="E1581" t="inlineStr">
        <is>
          <t>(novo)</t>
        </is>
      </c>
      <c r="F1581" t="inlineStr"/>
      <c r="G1581" s="2" t="inlineStr">
        <is>
          <t>506</t>
        </is>
      </c>
      <c r="H1581">
        <f>IFERROR(VLOOKUP(G1581&amp;"",PLANO!A:B,2,FALSE),"CONTA NAO EXISTE NO PLANO")</f>
        <v/>
      </c>
      <c r="I1581" t="inlineStr">
        <is>
          <t>506</t>
        </is>
      </c>
      <c r="J1581" t="inlineStr">
        <is>
          <t>OK</t>
        </is>
      </c>
      <c r="K1581" t="inlineStr"/>
      <c r="L1581" t="inlineStr"/>
      <c r="M1581" t="inlineStr">
        <is>
          <t>INNOVARTH COMERCIO DE PRODUTOS QUIMICOS LTDA 115 6 4 0,00 1.264,00 -422.010,84PAGAMENTO EFERENTE A COMPRA DE MATERIA PRIMA, EDTATETRASSODICO 50KG</t>
        </is>
      </c>
    </row>
    <row r="1582">
      <c r="A1582" s="14" t="n">
        <v>1581</v>
      </c>
      <c r="B1582" s="14" t="inlineStr">
        <is>
          <t>31/07/2026</t>
        </is>
      </c>
      <c r="C1582" s="14" t="inlineStr">
        <is>
          <t>PIX ENVIADO 50.370.136 A</t>
        </is>
      </c>
      <c r="D1582" s="15" t="n">
        <v>-9684</v>
      </c>
      <c r="E1582" s="14" t="inlineStr">
        <is>
          <t>(novo)</t>
        </is>
      </c>
      <c r="F1582" s="14" t="inlineStr"/>
      <c r="G1582" s="16" t="inlineStr">
        <is>
          <t>506</t>
        </is>
      </c>
      <c r="H1582" s="14">
        <f>IFERROR(VLOOKUP(G1582&amp;"",PLANO!A:B,2,FALSE),"CONTA NAO EXISTE NO PLANO")</f>
        <v/>
      </c>
      <c r="I1582" s="14" t="inlineStr">
        <is>
          <t>506</t>
        </is>
      </c>
      <c r="J1582" s="14" t="inlineStr">
        <is>
          <t>CORRIGIDO</t>
        </is>
      </c>
      <c r="K1582" s="14" t="inlineStr">
        <is>
          <t>retificado 493-&gt;506: Skin Lab = fornecedor MP (Cosmos)</t>
        </is>
      </c>
      <c r="L1582" s="14" t="inlineStr"/>
      <c r="M1582" s="14" t="inlineStr">
        <is>
          <t>PIX ENVIADO 50.370.136 A</t>
        </is>
      </c>
    </row>
    <row r="1583">
      <c r="A1583" t="n">
        <v>1582</v>
      </c>
      <c r="B1583" t="inlineStr">
        <is>
          <t>31/07/2026</t>
        </is>
      </c>
      <c r="C1583" t="inlineStr">
        <is>
          <t>PIX ENVIADO AZUL LINHAS</t>
        </is>
      </c>
      <c r="D1583" s="7" t="n">
        <v>-3183.5</v>
      </c>
      <c r="E1583" t="inlineStr">
        <is>
          <t>(novo)</t>
        </is>
      </c>
      <c r="F1583" t="inlineStr"/>
      <c r="G1583" s="2" t="inlineStr">
        <is>
          <t>312</t>
        </is>
      </c>
      <c r="H1583">
        <f>IFERROR(VLOOKUP(G1583&amp;"",PLANO!A:B,2,FALSE),"CONTA NAO EXISTE NO PLANO")</f>
        <v/>
      </c>
      <c r="I1583" t="inlineStr">
        <is>
          <t>312</t>
        </is>
      </c>
      <c r="J1583" t="inlineStr">
        <is>
          <t>OK</t>
        </is>
      </c>
      <c r="K1583" t="inlineStr"/>
      <c r="L1583" t="inlineStr"/>
      <c r="M1583" t="inlineStr">
        <is>
          <t>AZUL LINHAS AEREAS BRASILEIRAS S.A.PGTO REF.FRETE AEREO PARA VERONICA (CLIENTE CAUCA)</t>
        </is>
      </c>
    </row>
    <row r="1584">
      <c r="A1584" s="4" t="n">
        <v>1583</v>
      </c>
      <c r="B1584" s="4" t="inlineStr">
        <is>
          <t>31/07/2026</t>
        </is>
      </c>
      <c r="C1584" s="4" t="inlineStr">
        <is>
          <t>PIX ENVIADO F.V.S COMERC</t>
        </is>
      </c>
      <c r="D1584" s="5" t="n">
        <v>-11000</v>
      </c>
      <c r="E1584" s="4" t="inlineStr">
        <is>
          <t>(novo)</t>
        </is>
      </c>
      <c r="F1584" s="4" t="inlineStr"/>
      <c r="G1584" s="6" t="inlineStr">
        <is>
          <t>662</t>
        </is>
      </c>
      <c r="H1584" s="4">
        <f>IFERROR(VLOOKUP(G1584&amp;"",PLANO!A:B,2,FALSE),"CONTA NAO EXISTE NO PLANO")</f>
        <v/>
      </c>
      <c r="I1584" s="4" t="inlineStr">
        <is>
          <t>662</t>
        </is>
      </c>
      <c r="J1584" s="4" t="inlineStr">
        <is>
          <t>AJUSTADO</t>
        </is>
      </c>
      <c r="K1584" s="4" t="inlineStr">
        <is>
          <t>F.V.S - conta-corrente unica de mutuo (662)</t>
        </is>
      </c>
      <c r="L1584" s="4" t="inlineStr"/>
      <c r="M1584" s="4" t="inlineStr">
        <is>
          <t>PIX ENVIADO F.V.S COMERC</t>
        </is>
      </c>
    </row>
    <row r="1585">
      <c r="A1585" s="4" t="n">
        <v>1584</v>
      </c>
      <c r="B1585" s="4" t="inlineStr">
        <is>
          <t>31/07/2026</t>
        </is>
      </c>
      <c r="C1585" s="4" t="inlineStr">
        <is>
          <t>PIX ENVIADO GULA COSMETI</t>
        </is>
      </c>
      <c r="D1585" s="5" t="n">
        <v>-12000</v>
      </c>
      <c r="E1585" s="4" t="inlineStr">
        <is>
          <t>(novo)</t>
        </is>
      </c>
      <c r="F1585" s="4" t="inlineStr"/>
      <c r="G1585" s="6" t="inlineStr">
        <is>
          <t>366</t>
        </is>
      </c>
      <c r="H1585" s="4">
        <f>IFERROR(VLOOKUP(G1585&amp;"",PLANO!A:B,2,FALSE),"CONTA NAO EXISTE NO PLANO")</f>
        <v/>
      </c>
      <c r="I1585" s="4" t="inlineStr">
        <is>
          <t>672</t>
        </is>
      </c>
      <c r="J1585" s="4" t="inlineStr">
        <is>
          <t>AJUSTADO</t>
        </is>
      </c>
      <c r="K1585" s="4" t="inlineStr">
        <is>
          <t>GULA/FIQUE BEM (mesmo CNPJ, empresa do grupo) - mutuo em EMPRESTIMOS A TERCEIROS (366); nao e fornecedor</t>
        </is>
      </c>
      <c r="L1585" s="4" t="inlineStr"/>
      <c r="M1585" s="4" t="inlineStr">
        <is>
          <t>PIX ENVIADO GULA COSMETI</t>
        </is>
      </c>
    </row>
    <row r="1586">
      <c r="A1586" s="14" t="n">
        <v>1585</v>
      </c>
      <c r="B1586" s="14" t="inlineStr">
        <is>
          <t>31/07/2026</t>
        </is>
      </c>
      <c r="C1586" s="14" t="inlineStr">
        <is>
          <t>BOLETO PAGO URBANO SA SO</t>
        </is>
      </c>
      <c r="D1586" s="15" t="n">
        <v>-219.02</v>
      </c>
      <c r="E1586" s="14" t="inlineStr">
        <is>
          <t>(novo)</t>
        </is>
      </c>
      <c r="F1586" s="14" t="inlineStr"/>
      <c r="G1586" s="16" t="inlineStr">
        <is>
          <t>312</t>
        </is>
      </c>
      <c r="H1586" s="14">
        <f>IFERROR(VLOOKUP(G1586&amp;"",PLANO!A:B,2,FALSE),"CONTA NAO EXISTE NO PLANO")</f>
        <v/>
      </c>
      <c r="I1586" s="14" t="inlineStr">
        <is>
          <t>312</t>
        </is>
      </c>
      <c r="J1586" s="14" t="inlineStr">
        <is>
          <t>CORRIGIDO</t>
        </is>
      </c>
      <c r="K1586" s="14" t="inlineStr">
        <is>
          <t>retificado 350-&gt;312: Braspress via Urbano = frete s/ vendas (Cosmos)</t>
        </is>
      </c>
      <c r="L1586" s="14" t="inlineStr"/>
      <c r="M1586" s="14" t="inlineStr">
        <is>
          <t>BOLETO PAGO URBANO SA SO</t>
        </is>
      </c>
    </row>
    <row r="1587">
      <c r="A1587" s="11" t="n">
        <v>1586</v>
      </c>
      <c r="B1587" s="11" t="inlineStr">
        <is>
          <t>31/07/2026</t>
        </is>
      </c>
      <c r="C1587" s="11" t="inlineStr">
        <is>
          <t>BOLETO PAGO LABAZ CIENTI</t>
        </is>
      </c>
      <c r="D1587" s="12" t="n">
        <v>-1854</v>
      </c>
      <c r="E1587" s="11" t="inlineStr">
        <is>
          <t>(novo)</t>
        </is>
      </c>
      <c r="F1587" s="11" t="inlineStr"/>
      <c r="G1587" s="13" t="inlineStr">
        <is>
          <t>506</t>
        </is>
      </c>
      <c r="H1587" s="11">
        <f>IFERROR(VLOOKUP(G1587&amp;"",PLANO!A:B,2,FALSE),"CONTA NAO EXISTE NO PLANO")</f>
        <v/>
      </c>
      <c r="I1587" s="11" t="inlineStr">
        <is>
          <t>506</t>
        </is>
      </c>
      <c r="J1587" s="11" t="inlineStr">
        <is>
          <t>MANTIDO</t>
        </is>
      </c>
      <c r="K1587" s="11" t="inlineStr">
        <is>
          <t>pagamento sem referencia - tratado como fornecedor (506)</t>
        </is>
      </c>
      <c r="L1587" s="11" t="inlineStr"/>
      <c r="M1587" s="11" t="inlineStr">
        <is>
          <t>BOLETO PAGO LABAZ CIENTI</t>
        </is>
      </c>
    </row>
    <row r="1588">
      <c r="A1588" t="n">
        <v>1587</v>
      </c>
      <c r="B1588" t="inlineStr">
        <is>
          <t>31/07/2026</t>
        </is>
      </c>
      <c r="C1588" t="inlineStr">
        <is>
          <t>Mov Tít Cob Disp 31/07S</t>
        </is>
      </c>
      <c r="D1588" s="7" t="n">
        <v>2761.12</v>
      </c>
      <c r="E1588" t="inlineStr">
        <is>
          <t>(novo)</t>
        </is>
      </c>
      <c r="F1588" t="inlineStr"/>
      <c r="G1588" s="2" t="inlineStr">
        <is>
          <t>504</t>
        </is>
      </c>
      <c r="H1588">
        <f>IFERROR(VLOOKUP(G1588&amp;"",PLANO!A:B,2,FALSE),"CONTA NAO EXISTE NO PLANO")</f>
        <v/>
      </c>
      <c r="I1588" t="inlineStr">
        <is>
          <t>504</t>
        </is>
      </c>
      <c r="J1588" t="inlineStr">
        <is>
          <t>OK</t>
        </is>
      </c>
      <c r="K1588" t="inlineStr"/>
      <c r="L1588" t="inlineStr"/>
      <c r="M1588" t="inlineStr">
        <is>
          <t>MOV TÍT COB DISP 31/07S</t>
        </is>
      </c>
    </row>
    <row r="1589">
      <c r="A1589" t="n">
        <v>1588</v>
      </c>
      <c r="B1589" t="inlineStr">
        <is>
          <t>31/07/2026</t>
        </is>
      </c>
      <c r="C1589" t="inlineStr">
        <is>
          <t>Rede MAST AT0081996543</t>
        </is>
      </c>
      <c r="D1589" s="7" t="n">
        <v>8769.280000000001</v>
      </c>
      <c r="E1589" t="inlineStr">
        <is>
          <t>(novo)</t>
        </is>
      </c>
      <c r="F1589" t="inlineStr"/>
      <c r="G1589" s="2" t="inlineStr">
        <is>
          <t>504</t>
        </is>
      </c>
      <c r="H1589">
        <f>IFERROR(VLOOKUP(G1589&amp;"",PLANO!A:B,2,FALSE),"CONTA NAO EXISTE NO PLANO")</f>
        <v/>
      </c>
      <c r="I1589" t="inlineStr">
        <is>
          <t>504</t>
        </is>
      </c>
      <c r="J1589" t="inlineStr">
        <is>
          <t>OK</t>
        </is>
      </c>
      <c r="K1589" t="inlineStr"/>
      <c r="L1589" t="inlineStr"/>
      <c r="M1589" t="inlineStr">
        <is>
          <t>REDE MAST AT0081996543</t>
        </is>
      </c>
    </row>
    <row r="1590">
      <c r="A1590" t="n">
        <v>1589</v>
      </c>
      <c r="B1590" t="inlineStr">
        <is>
          <t>31/07/2026</t>
        </is>
      </c>
      <c r="C1590" t="inlineStr">
        <is>
          <t>Rede VISA AT0081996543</t>
        </is>
      </c>
      <c r="D1590" s="7" t="n">
        <v>27875.14</v>
      </c>
      <c r="E1590" t="inlineStr">
        <is>
          <t>(novo)</t>
        </is>
      </c>
      <c r="F1590" t="inlineStr"/>
      <c r="G1590" s="2" t="inlineStr">
        <is>
          <t>504</t>
        </is>
      </c>
      <c r="H1590">
        <f>IFERROR(VLOOKUP(G1590&amp;"",PLANO!A:B,2,FALSE),"CONTA NAO EXISTE NO PLANO")</f>
        <v/>
      </c>
      <c r="I1590" t="inlineStr">
        <is>
          <t>504</t>
        </is>
      </c>
      <c r="J1590" t="inlineStr">
        <is>
          <t>OK</t>
        </is>
      </c>
      <c r="K1590" t="inlineStr"/>
      <c r="L1590" t="inlineStr"/>
      <c r="M1590" t="inlineStr">
        <is>
          <t>REDE VISA AT0081996543</t>
        </is>
      </c>
    </row>
    <row r="1591">
      <c r="A1591" t="n">
        <v>1590</v>
      </c>
      <c r="B1591" t="inlineStr">
        <is>
          <t>31/07/2026</t>
        </is>
      </c>
      <c r="C1591" t="inlineStr">
        <is>
          <t>PIX TRANSF R&amp;S COM31/07</t>
        </is>
      </c>
      <c r="D1591" s="7" t="n">
        <v>1560</v>
      </c>
      <c r="E1591" t="inlineStr">
        <is>
          <t>(novo)</t>
        </is>
      </c>
      <c r="F1591" t="inlineStr"/>
      <c r="G1591" s="2" t="inlineStr">
        <is>
          <t>504</t>
        </is>
      </c>
      <c r="H1591">
        <f>IFERROR(VLOOKUP(G1591&amp;"",PLANO!A:B,2,FALSE),"CONTA NAO EXISTE NO PLANO")</f>
        <v/>
      </c>
      <c r="I1591" t="inlineStr">
        <is>
          <t>504</t>
        </is>
      </c>
      <c r="J1591" t="inlineStr">
        <is>
          <t>OK</t>
        </is>
      </c>
      <c r="K1591" t="inlineStr"/>
      <c r="L1591" t="inlineStr"/>
      <c r="M1591" t="inlineStr">
        <is>
          <t>PIX TRANSF R&amp;S COM31/07</t>
        </is>
      </c>
    </row>
    <row r="1592">
      <c r="A1592" t="n">
        <v>1591</v>
      </c>
      <c r="B1592" t="inlineStr">
        <is>
          <t>03/08/2026</t>
        </is>
      </c>
      <c r="C1592" t="inlineStr">
        <is>
          <t>PIX ENVIADO RODONAVES TR</t>
        </is>
      </c>
      <c r="D1592" s="7" t="n">
        <v>-119.76</v>
      </c>
      <c r="E1592" t="inlineStr">
        <is>
          <t>(novo)</t>
        </is>
      </c>
      <c r="F1592" t="inlineStr"/>
      <c r="G1592" s="2" t="inlineStr">
        <is>
          <t>312</t>
        </is>
      </c>
      <c r="H1592">
        <f>IFERROR(VLOOKUP(G1592&amp;"",PLANO!A:B,2,FALSE),"CONTA NAO EXISTE NO PLANO")</f>
        <v/>
      </c>
      <c r="I1592" t="inlineStr">
        <is>
          <t>312</t>
        </is>
      </c>
      <c r="J1592" t="inlineStr">
        <is>
          <t>OK</t>
        </is>
      </c>
      <c r="K1592" t="inlineStr"/>
      <c r="L1592" t="inlineStr"/>
      <c r="M1592" t="inlineStr">
        <is>
          <t>PIX ENVIADO RODONAVES TR</t>
        </is>
      </c>
    </row>
    <row r="1593">
      <c r="A1593" s="4" t="n">
        <v>1592</v>
      </c>
      <c r="B1593" s="4" t="inlineStr">
        <is>
          <t>03/08/2026</t>
        </is>
      </c>
      <c r="C1593" s="4" t="inlineStr">
        <is>
          <t>PIX ENVIADO COSMETICON C</t>
        </is>
      </c>
      <c r="D1593" s="5" t="n">
        <v>-4000</v>
      </c>
      <c r="E1593" s="4" t="inlineStr">
        <is>
          <t>(novo)</t>
        </is>
      </c>
      <c r="F1593" s="4" t="inlineStr"/>
      <c r="G1593" s="6" t="inlineStr">
        <is>
          <t>663</t>
        </is>
      </c>
      <c r="H1593" s="4">
        <f>IFERROR(VLOOKUP(G1593&amp;"",PLANO!A:B,2,FALSE),"CONTA NAO EXISTE NO PLANO")</f>
        <v/>
      </c>
      <c r="I1593" s="4" t="inlineStr">
        <is>
          <t>663</t>
        </is>
      </c>
      <c r="J1593" s="4" t="inlineStr">
        <is>
          <t>AJUSTADO</t>
        </is>
      </c>
      <c r="K1593" s="4" t="inlineStr">
        <is>
          <t>COSMETICON - conta-corrente unica de mutuo (663)</t>
        </is>
      </c>
      <c r="L1593" s="4" t="inlineStr"/>
      <c r="M1593" s="4" t="inlineStr">
        <is>
          <t>PIX ENVIADO COSMETICON C</t>
        </is>
      </c>
    </row>
    <row r="1594">
      <c r="A1594" s="11" t="n">
        <v>1593</v>
      </c>
      <c r="B1594" s="11" t="inlineStr">
        <is>
          <t>03/08/2026</t>
        </is>
      </c>
      <c r="C1594" s="11" t="inlineStr">
        <is>
          <t>BOLETO PAGO BANCO SOFISA</t>
        </is>
      </c>
      <c r="D1594" s="12" t="n">
        <v>-325.8</v>
      </c>
      <c r="E1594" s="11" t="inlineStr">
        <is>
          <t>(novo)</t>
        </is>
      </c>
      <c r="F1594" s="11" t="inlineStr"/>
      <c r="G1594" s="13" t="inlineStr">
        <is>
          <t>506</t>
        </is>
      </c>
      <c r="H1594" s="11">
        <f>IFERROR(VLOOKUP(G1594&amp;"",PLANO!A:B,2,FALSE),"CONTA NAO EXISTE NO PLANO")</f>
        <v/>
      </c>
      <c r="I1594" s="11" t="inlineStr">
        <is>
          <t>506</t>
        </is>
      </c>
      <c r="J1594" s="11" t="inlineStr">
        <is>
          <t>MANTIDO</t>
        </is>
      </c>
      <c r="K1594" s="11" t="inlineStr">
        <is>
          <t>boleto Banco Sofisa sem identificacao do cedente</t>
        </is>
      </c>
      <c r="L1594" s="11" t="inlineStr"/>
      <c r="M1594" s="11" t="inlineStr">
        <is>
          <t>BOLETO PAGO BANCO SOFISA</t>
        </is>
      </c>
    </row>
    <row r="1595">
      <c r="A1595" s="11" t="n">
        <v>1594</v>
      </c>
      <c r="B1595" s="11" t="inlineStr">
        <is>
          <t>03/08/2026</t>
        </is>
      </c>
      <c r="C1595" s="11" t="inlineStr">
        <is>
          <t>BOLETO PAGO ASSOCIACAO F</t>
        </is>
      </c>
      <c r="D1595" s="12" t="n">
        <v>-2312.45</v>
      </c>
      <c r="E1595" s="11" t="inlineStr">
        <is>
          <t>(novo)</t>
        </is>
      </c>
      <c r="F1595" s="11" t="inlineStr"/>
      <c r="G1595" s="13" t="inlineStr">
        <is>
          <t>506</t>
        </is>
      </c>
      <c r="H1595" s="11">
        <f>IFERROR(VLOOKUP(G1595&amp;"",PLANO!A:B,2,FALSE),"CONTA NAO EXISTE NO PLANO")</f>
        <v/>
      </c>
      <c r="I1595" s="11" t="inlineStr">
        <is>
          <t>506</t>
        </is>
      </c>
      <c r="J1595" s="11" t="inlineStr">
        <is>
          <t>MANTIDO</t>
        </is>
      </c>
      <c r="K1595" s="11" t="inlineStr">
        <is>
          <t>pagamento sem referencia - tratado como fornecedor (506)</t>
        </is>
      </c>
      <c r="L1595" s="11" t="inlineStr"/>
      <c r="M1595" s="11" t="inlineStr">
        <is>
          <t>BOLETO PAGO ASSOCIACAO F</t>
        </is>
      </c>
    </row>
    <row r="1596">
      <c r="A1596" t="n">
        <v>1595</v>
      </c>
      <c r="B1596" t="inlineStr">
        <is>
          <t>03/08/2026</t>
        </is>
      </c>
      <c r="C1596" t="inlineStr">
        <is>
          <t>Mov Tít Cob Disp 03/08S</t>
        </is>
      </c>
      <c r="D1596" s="7" t="n">
        <v>6128.03</v>
      </c>
      <c r="E1596" t="inlineStr">
        <is>
          <t>(novo)</t>
        </is>
      </c>
      <c r="F1596" t="inlineStr"/>
      <c r="G1596" s="2" t="inlineStr">
        <is>
          <t>504</t>
        </is>
      </c>
      <c r="H1596">
        <f>IFERROR(VLOOKUP(G1596&amp;"",PLANO!A:B,2,FALSE),"CONTA NAO EXISTE NO PLANO")</f>
        <v/>
      </c>
      <c r="I1596" t="inlineStr">
        <is>
          <t>504</t>
        </is>
      </c>
      <c r="J1596" t="inlineStr">
        <is>
          <t>OK</t>
        </is>
      </c>
      <c r="K1596" t="inlineStr"/>
      <c r="L1596" t="inlineStr"/>
      <c r="M1596" t="inlineStr">
        <is>
          <t>MOV TÍT COB DISP 03/08S</t>
        </is>
      </c>
    </row>
    <row r="1597">
      <c r="A1597" t="n">
        <v>1596</v>
      </c>
      <c r="B1597" t="inlineStr">
        <is>
          <t>03/08/2026</t>
        </is>
      </c>
      <c r="C1597" t="inlineStr">
        <is>
          <t>PIX TRANSF NELIO J03/08</t>
        </is>
      </c>
      <c r="D1597" s="7" t="n">
        <v>593.76</v>
      </c>
      <c r="E1597" t="inlineStr">
        <is>
          <t>(novo)</t>
        </is>
      </c>
      <c r="F1597" t="inlineStr"/>
      <c r="G1597" s="2" t="inlineStr">
        <is>
          <t>504</t>
        </is>
      </c>
      <c r="H1597">
        <f>IFERROR(VLOOKUP(G1597&amp;"",PLANO!A:B,2,FALSE),"CONTA NAO EXISTE NO PLANO")</f>
        <v/>
      </c>
      <c r="I1597" t="inlineStr">
        <is>
          <t>504</t>
        </is>
      </c>
      <c r="J1597" t="inlineStr">
        <is>
          <t>OK</t>
        </is>
      </c>
      <c r="K1597" t="inlineStr"/>
      <c r="L1597" t="inlineStr"/>
      <c r="M1597" t="inlineStr">
        <is>
          <t>PIX TRANSF NELIO J03/08</t>
        </is>
      </c>
    </row>
    <row r="1598">
      <c r="A1598" t="n">
        <v>1597</v>
      </c>
      <c r="B1598" t="inlineStr">
        <is>
          <t>03/08/2026</t>
        </is>
      </c>
      <c r="C1598" t="inlineStr">
        <is>
          <t>TED 363.0001.RNX F M D R</t>
        </is>
      </c>
      <c r="D1598" s="7" t="n">
        <v>14679.78</v>
      </c>
      <c r="E1598" t="inlineStr">
        <is>
          <t>(novo)</t>
        </is>
      </c>
      <c r="F1598" t="inlineStr"/>
      <c r="G1598" s="2" t="inlineStr">
        <is>
          <t>504</t>
        </is>
      </c>
      <c r="H1598">
        <f>IFERROR(VLOOKUP(G1598&amp;"",PLANO!A:B,2,FALSE),"CONTA NAO EXISTE NO PLANO")</f>
        <v/>
      </c>
      <c r="I1598" t="inlineStr">
        <is>
          <t>504</t>
        </is>
      </c>
      <c r="J1598" t="inlineStr">
        <is>
          <t>OK</t>
        </is>
      </c>
      <c r="K1598" t="inlineStr"/>
      <c r="L1598" t="inlineStr"/>
      <c r="M1598" t="inlineStr">
        <is>
          <t>TED 363.0001.RNX F M D R</t>
        </is>
      </c>
    </row>
    <row r="1599">
      <c r="A1599" t="n">
        <v>1598</v>
      </c>
      <c r="B1599" t="inlineStr">
        <is>
          <t>04/08/2026</t>
        </is>
      </c>
      <c r="C1599" t="inlineStr">
        <is>
          <t>IOF 8613.52508-1/ C/C</t>
        </is>
      </c>
      <c r="D1599" s="7" t="n">
        <v>-139.81</v>
      </c>
      <c r="E1599" t="inlineStr">
        <is>
          <t>(novo)</t>
        </is>
      </c>
      <c r="F1599" t="inlineStr"/>
      <c r="G1599" s="2" t="inlineStr">
        <is>
          <t>625</t>
        </is>
      </c>
      <c r="H1599">
        <f>IFERROR(VLOOKUP(G1599&amp;"",PLANO!A:B,2,FALSE),"CONTA NAO EXISTE NO PLANO")</f>
        <v/>
      </c>
      <c r="I1599" t="inlineStr">
        <is>
          <t>625</t>
        </is>
      </c>
      <c r="J1599" t="inlineStr">
        <is>
          <t>OK</t>
        </is>
      </c>
      <c r="K1599" t="inlineStr"/>
      <c r="L1599" t="inlineStr"/>
      <c r="M1599" t="inlineStr">
        <is>
          <t>IOF 8613.52508-1/ C/C</t>
        </is>
      </c>
    </row>
    <row r="1600">
      <c r="A1600" t="n">
        <v>1599</v>
      </c>
      <c r="B1600" t="inlineStr">
        <is>
          <t>04/08/2026</t>
        </is>
      </c>
      <c r="C1600" t="inlineStr">
        <is>
          <t>IOF</t>
        </is>
      </c>
      <c r="D1600" s="7" t="n">
        <v>-18.74</v>
      </c>
      <c r="E1600" t="inlineStr">
        <is>
          <t>(novo)</t>
        </is>
      </c>
      <c r="F1600" t="inlineStr"/>
      <c r="G1600" s="2" t="inlineStr">
        <is>
          <t>625</t>
        </is>
      </c>
      <c r="H1600">
        <f>IFERROR(VLOOKUP(G1600&amp;"",PLANO!A:B,2,FALSE),"CONTA NAO EXISTE NO PLANO")</f>
        <v/>
      </c>
      <c r="I1600" t="inlineStr">
        <is>
          <t>625</t>
        </is>
      </c>
      <c r="J1600" t="inlineStr">
        <is>
          <t>OK</t>
        </is>
      </c>
      <c r="K1600" t="inlineStr"/>
      <c r="L1600" t="inlineStr"/>
      <c r="M1600" t="inlineStr">
        <is>
          <t>IOF</t>
        </is>
      </c>
    </row>
    <row r="1601">
      <c r="A1601" s="4" t="n">
        <v>1600</v>
      </c>
      <c r="B1601" s="4" t="inlineStr">
        <is>
          <t>04/08/2026</t>
        </is>
      </c>
      <c r="C1601" s="4" t="inlineStr">
        <is>
          <t>PIX ENVIADO F.V.S COMERC</t>
        </is>
      </c>
      <c r="D1601" s="5" t="n">
        <v>-3000</v>
      </c>
      <c r="E1601" s="4" t="inlineStr">
        <is>
          <t>(novo)</t>
        </is>
      </c>
      <c r="F1601" s="4" t="inlineStr"/>
      <c r="G1601" s="6" t="inlineStr">
        <is>
          <t>662</t>
        </is>
      </c>
      <c r="H1601" s="4">
        <f>IFERROR(VLOOKUP(G1601&amp;"",PLANO!A:B,2,FALSE),"CONTA NAO EXISTE NO PLANO")</f>
        <v/>
      </c>
      <c r="I1601" s="4" t="inlineStr">
        <is>
          <t>662</t>
        </is>
      </c>
      <c r="J1601" s="4" t="inlineStr">
        <is>
          <t>AJUSTADO</t>
        </is>
      </c>
      <c r="K1601" s="4" t="inlineStr">
        <is>
          <t>F.V.S - conta-corrente unica de mutuo (662)</t>
        </is>
      </c>
      <c r="L1601" s="4" t="inlineStr"/>
      <c r="M1601" s="4" t="inlineStr">
        <is>
          <t>PIX ENVIADO F.V.S COMERC</t>
        </is>
      </c>
    </row>
    <row r="1602">
      <c r="A1602" t="n">
        <v>1601</v>
      </c>
      <c r="B1602" t="inlineStr">
        <is>
          <t>04/08/2026</t>
        </is>
      </c>
      <c r="C1602" t="inlineStr">
        <is>
          <t>PIX ENVIADO JUAREZ ANTON</t>
        </is>
      </c>
      <c r="D1602" s="7" t="n">
        <v>-4500</v>
      </c>
      <c r="E1602" t="inlineStr">
        <is>
          <t>(novo)</t>
        </is>
      </c>
      <c r="F1602" t="inlineStr"/>
      <c r="G1602" s="2" t="inlineStr">
        <is>
          <t>506</t>
        </is>
      </c>
      <c r="H1602">
        <f>IFERROR(VLOOKUP(G1602&amp;"",PLANO!A:B,2,FALSE),"CONTA NAO EXISTE NO PLANO")</f>
        <v/>
      </c>
      <c r="I1602" t="inlineStr">
        <is>
          <t>506</t>
        </is>
      </c>
      <c r="J1602" t="inlineStr">
        <is>
          <t>OK</t>
        </is>
      </c>
      <c r="K1602" t="inlineStr"/>
      <c r="L1602" t="inlineStr"/>
      <c r="M1602" t="inlineStr">
        <is>
          <t>PIX ENVIADO JUAREZ ANTON</t>
        </is>
      </c>
    </row>
    <row r="1603">
      <c r="A1603" t="n">
        <v>1602</v>
      </c>
      <c r="B1603" t="inlineStr">
        <is>
          <t>04/08/2026</t>
        </is>
      </c>
      <c r="C1603" t="inlineStr">
        <is>
          <t>PIX ENVIADO MARCIO ANTON</t>
        </is>
      </c>
      <c r="D1603" s="7" t="n">
        <v>-333.21</v>
      </c>
      <c r="E1603" t="inlineStr">
        <is>
          <t>(novo)</t>
        </is>
      </c>
      <c r="F1603" t="inlineStr"/>
      <c r="G1603" s="2" t="inlineStr">
        <is>
          <t>506</t>
        </is>
      </c>
      <c r="H1603">
        <f>IFERROR(VLOOKUP(G1603&amp;"",PLANO!A:B,2,FALSE),"CONTA NAO EXISTE NO PLANO")</f>
        <v/>
      </c>
      <c r="I1603" t="inlineStr">
        <is>
          <t>506</t>
        </is>
      </c>
      <c r="J1603" t="inlineStr">
        <is>
          <t>OK</t>
        </is>
      </c>
      <c r="K1603" t="inlineStr"/>
      <c r="L1603" t="inlineStr"/>
      <c r="M1603" t="inlineStr">
        <is>
          <t>PIX ENVIADO MARCIO ANTON</t>
        </is>
      </c>
    </row>
    <row r="1604">
      <c r="A1604" s="11" t="n">
        <v>1603</v>
      </c>
      <c r="B1604" s="11" t="inlineStr">
        <is>
          <t>04/08/2026</t>
        </is>
      </c>
      <c r="C1604" s="11" t="inlineStr">
        <is>
          <t>PIX ENVIADO MASTER BIOGA</t>
        </is>
      </c>
      <c r="D1604" s="12" t="n">
        <v>-360</v>
      </c>
      <c r="E1604" s="11" t="inlineStr">
        <is>
          <t>(novo)</t>
        </is>
      </c>
      <c r="F1604" s="11" t="inlineStr"/>
      <c r="G1604" s="13" t="inlineStr">
        <is>
          <t>506</t>
        </is>
      </c>
      <c r="H1604" s="11">
        <f>IFERROR(VLOOKUP(G1604&amp;"",PLANO!A:B,2,FALSE),"CONTA NAO EXISTE NO PLANO")</f>
        <v/>
      </c>
      <c r="I1604" s="11" t="inlineStr">
        <is>
          <t>506</t>
        </is>
      </c>
      <c r="J1604" s="11" t="inlineStr">
        <is>
          <t>MANTIDO</t>
        </is>
      </c>
      <c r="K1604" s="11" t="inlineStr">
        <is>
          <t>pagamento sem referencia - tratado como fornecedor (506)</t>
        </is>
      </c>
      <c r="L1604" s="11" t="inlineStr"/>
      <c r="M1604" s="11" t="inlineStr">
        <is>
          <t>PIX ENVIADO MASTER BIOGA</t>
        </is>
      </c>
    </row>
    <row r="1605">
      <c r="A1605" t="n">
        <v>1604</v>
      </c>
      <c r="B1605" t="inlineStr">
        <is>
          <t>04/08/2026</t>
        </is>
      </c>
      <c r="C1605" t="inlineStr">
        <is>
          <t>PIX ENVIADO SAVATEC COME</t>
        </is>
      </c>
      <c r="D1605" s="7" t="n">
        <v>-3435.49</v>
      </c>
      <c r="E1605" t="inlineStr">
        <is>
          <t>(novo)</t>
        </is>
      </c>
      <c r="F1605" t="inlineStr"/>
      <c r="G1605" s="2" t="inlineStr">
        <is>
          <t>640</t>
        </is>
      </c>
      <c r="H1605">
        <f>IFERROR(VLOOKUP(G1605&amp;"",PLANO!A:B,2,FALSE),"CONTA NAO EXISTE NO PLANO")</f>
        <v/>
      </c>
      <c r="I1605" t="inlineStr">
        <is>
          <t>640</t>
        </is>
      </c>
      <c r="J1605" t="inlineStr">
        <is>
          <t>OK</t>
        </is>
      </c>
      <c r="K1605" t="inlineStr"/>
      <c r="L1605" t="inlineStr"/>
      <c r="M1605" t="inlineStr">
        <is>
          <t>PIX ENVIADO SAVATEC COME</t>
        </is>
      </c>
    </row>
    <row r="1606">
      <c r="A1606" t="n">
        <v>1605</v>
      </c>
      <c r="B1606" t="inlineStr">
        <is>
          <t>04/08/2026</t>
        </is>
      </c>
      <c r="C1606" t="inlineStr">
        <is>
          <t>BOLETO PAGO QUIMIFORMULA</t>
        </is>
      </c>
      <c r="D1606" s="7" t="n">
        <v>-1089.23</v>
      </c>
      <c r="E1606" t="inlineStr">
        <is>
          <t>(novo)</t>
        </is>
      </c>
      <c r="F1606" t="inlineStr"/>
      <c r="G1606" s="2" t="inlineStr">
        <is>
          <t>506</t>
        </is>
      </c>
      <c r="H1606">
        <f>IFERROR(VLOOKUP(G1606&amp;"",PLANO!A:B,2,FALSE),"CONTA NAO EXISTE NO PLANO")</f>
        <v/>
      </c>
      <c r="I1606" t="inlineStr">
        <is>
          <t>506</t>
        </is>
      </c>
      <c r="J1606" t="inlineStr">
        <is>
          <t>OK</t>
        </is>
      </c>
      <c r="K1606" t="inlineStr"/>
      <c r="L1606" t="inlineStr"/>
      <c r="M1606" t="inlineStr">
        <is>
          <t>BOLETO PAGO QUIMIFORMULA</t>
        </is>
      </c>
    </row>
    <row r="1607">
      <c r="A1607" t="n">
        <v>1606</v>
      </c>
      <c r="B1607" t="inlineStr">
        <is>
          <t>04/08/2026</t>
        </is>
      </c>
      <c r="C1607" t="inlineStr">
        <is>
          <t>BOLETO PAGO EXPRESSO SAO</t>
        </is>
      </c>
      <c r="D1607" s="7" t="n">
        <v>-127.83</v>
      </c>
      <c r="E1607" t="inlineStr">
        <is>
          <t>(novo)</t>
        </is>
      </c>
      <c r="F1607" t="inlineStr"/>
      <c r="G1607" s="2" t="inlineStr">
        <is>
          <t>312</t>
        </is>
      </c>
      <c r="H1607">
        <f>IFERROR(VLOOKUP(G1607&amp;"",PLANO!A:B,2,FALSE),"CONTA NAO EXISTE NO PLANO")</f>
        <v/>
      </c>
      <c r="I1607" t="inlineStr">
        <is>
          <t>312</t>
        </is>
      </c>
      <c r="J1607" t="inlineStr">
        <is>
          <t>OK</t>
        </is>
      </c>
      <c r="K1607" t="inlineStr"/>
      <c r="L1607" t="inlineStr"/>
      <c r="M1607" t="inlineStr">
        <is>
          <t>BOLETO PAGO EXPRESSO SAO</t>
        </is>
      </c>
    </row>
    <row r="1608">
      <c r="A1608" t="n">
        <v>1607</v>
      </c>
      <c r="B1608" t="inlineStr">
        <is>
          <t>04/08/2026</t>
        </is>
      </c>
      <c r="C1608" t="inlineStr">
        <is>
          <t>BOLETO PAGO QUIMIFORMULA</t>
        </is>
      </c>
      <c r="D1608" s="7" t="n">
        <v>-1014.48</v>
      </c>
      <c r="E1608" t="inlineStr">
        <is>
          <t>(novo)</t>
        </is>
      </c>
      <c r="F1608" t="inlineStr"/>
      <c r="G1608" s="2" t="inlineStr">
        <is>
          <t>506</t>
        </is>
      </c>
      <c r="H1608">
        <f>IFERROR(VLOOKUP(G1608&amp;"",PLANO!A:B,2,FALSE),"CONTA NAO EXISTE NO PLANO")</f>
        <v/>
      </c>
      <c r="I1608" t="inlineStr">
        <is>
          <t>506</t>
        </is>
      </c>
      <c r="J1608" t="inlineStr">
        <is>
          <t>OK</t>
        </is>
      </c>
      <c r="K1608" t="inlineStr"/>
      <c r="L1608" t="inlineStr"/>
      <c r="M1608" t="inlineStr">
        <is>
          <t>BOLETO PAGO QUIMIFORMULA</t>
        </is>
      </c>
    </row>
    <row r="1609">
      <c r="A1609" t="n">
        <v>1608</v>
      </c>
      <c r="B1609" t="inlineStr">
        <is>
          <t>04/08/2026</t>
        </is>
      </c>
      <c r="C1609" t="inlineStr">
        <is>
          <t>BOLETO PAGO EFITRANS TRA</t>
        </is>
      </c>
      <c r="D1609" s="7" t="n">
        <v>-490.89</v>
      </c>
      <c r="E1609" t="inlineStr">
        <is>
          <t>(novo)</t>
        </is>
      </c>
      <c r="F1609" t="inlineStr"/>
      <c r="G1609" s="2" t="inlineStr">
        <is>
          <t>312</t>
        </is>
      </c>
      <c r="H1609">
        <f>IFERROR(VLOOKUP(G1609&amp;"",PLANO!A:B,2,FALSE),"CONTA NAO EXISTE NO PLANO")</f>
        <v/>
      </c>
      <c r="I1609" t="inlineStr">
        <is>
          <t>312</t>
        </is>
      </c>
      <c r="J1609" t="inlineStr">
        <is>
          <t>OK</t>
        </is>
      </c>
      <c r="K1609" t="inlineStr"/>
      <c r="L1609" t="inlineStr"/>
      <c r="M1609" t="inlineStr">
        <is>
          <t>BOLETO PAGO EFITRANS TRA</t>
        </is>
      </c>
    </row>
    <row r="1610">
      <c r="A1610" t="n">
        <v>1609</v>
      </c>
      <c r="B1610" t="inlineStr">
        <is>
          <t>04/08/2026</t>
        </is>
      </c>
      <c r="C1610" t="inlineStr">
        <is>
          <t>TED 448.0000FIDC OS RL</t>
        </is>
      </c>
      <c r="D1610" s="7" t="n">
        <v>3485.72</v>
      </c>
      <c r="E1610" t="inlineStr">
        <is>
          <t>(novo)</t>
        </is>
      </c>
      <c r="F1610" t="inlineStr"/>
      <c r="G1610" s="2" t="inlineStr">
        <is>
          <t>504</t>
        </is>
      </c>
      <c r="H1610">
        <f>IFERROR(VLOOKUP(G1610&amp;"",PLANO!A:B,2,FALSE),"CONTA NAO EXISTE NO PLANO")</f>
        <v/>
      </c>
      <c r="I1610" t="inlineStr">
        <is>
          <t>504</t>
        </is>
      </c>
      <c r="J1610" t="inlineStr">
        <is>
          <t>OK</t>
        </is>
      </c>
      <c r="K1610" t="inlineStr"/>
      <c r="L1610" t="inlineStr"/>
      <c r="M1610" t="inlineStr">
        <is>
          <t>TED 448.0000FIDC OS RL</t>
        </is>
      </c>
    </row>
    <row r="1611">
      <c r="A1611" t="n">
        <v>1610</v>
      </c>
      <c r="B1611" t="inlineStr">
        <is>
          <t>04/08/2026</t>
        </is>
      </c>
      <c r="C1611" t="inlineStr">
        <is>
          <t>Mov Tít Cob Disp 04/08S</t>
        </is>
      </c>
      <c r="D1611" s="7" t="n">
        <v>2509.71</v>
      </c>
      <c r="E1611" t="inlineStr">
        <is>
          <t>(novo)</t>
        </is>
      </c>
      <c r="F1611" t="inlineStr"/>
      <c r="G1611" s="2" t="inlineStr">
        <is>
          <t>504</t>
        </is>
      </c>
      <c r="H1611">
        <f>IFERROR(VLOOKUP(G1611&amp;"",PLANO!A:B,2,FALSE),"CONTA NAO EXISTE NO PLANO")</f>
        <v/>
      </c>
      <c r="I1611" t="inlineStr">
        <is>
          <t>504</t>
        </is>
      </c>
      <c r="J1611" t="inlineStr">
        <is>
          <t>OK</t>
        </is>
      </c>
      <c r="K1611" t="inlineStr"/>
      <c r="L1611" t="inlineStr"/>
      <c r="M1611" t="inlineStr">
        <is>
          <t>MOV TÍT COB DISP 04/08S</t>
        </is>
      </c>
    </row>
    <row r="1612">
      <c r="A1612" t="n">
        <v>1611</v>
      </c>
      <c r="B1612" t="inlineStr">
        <is>
          <t>04/08/2026</t>
        </is>
      </c>
      <c r="C1612" t="inlineStr">
        <is>
          <t>Tar Cobrança Exp</t>
        </is>
      </c>
      <c r="D1612" s="7" t="n">
        <v>-649.35</v>
      </c>
      <c r="E1612" t="inlineStr">
        <is>
          <t>(novo)</t>
        </is>
      </c>
      <c r="F1612" t="inlineStr"/>
      <c r="G1612" s="2" t="inlineStr">
        <is>
          <t>626</t>
        </is>
      </c>
      <c r="H1612">
        <f>IFERROR(VLOOKUP(G1612&amp;"",PLANO!A:B,2,FALSE),"CONTA NAO EXISTE NO PLANO")</f>
        <v/>
      </c>
      <c r="I1612" t="inlineStr">
        <is>
          <t>626</t>
        </is>
      </c>
      <c r="J1612" t="inlineStr">
        <is>
          <t>OK</t>
        </is>
      </c>
      <c r="K1612" t="inlineStr"/>
      <c r="L1612" t="inlineStr"/>
      <c r="M1612" t="inlineStr">
        <is>
          <t>TAR COBRANÇA EXP</t>
        </is>
      </c>
    </row>
    <row r="1613">
      <c r="A1613" t="n">
        <v>1612</v>
      </c>
      <c r="B1613" t="inlineStr">
        <is>
          <t>04/08/2026</t>
        </is>
      </c>
      <c r="C1613" t="inlineStr">
        <is>
          <t>TAR PIX PGTO TRANSF</t>
        </is>
      </c>
      <c r="D1613" s="7" t="n">
        <v>-375.5</v>
      </c>
      <c r="E1613" t="inlineStr">
        <is>
          <t>(novo)</t>
        </is>
      </c>
      <c r="F1613" t="inlineStr"/>
      <c r="G1613" s="2" t="inlineStr">
        <is>
          <t>626</t>
        </is>
      </c>
      <c r="H1613">
        <f>IFERROR(VLOOKUP(G1613&amp;"",PLANO!A:B,2,FALSE),"CONTA NAO EXISTE NO PLANO")</f>
        <v/>
      </c>
      <c r="I1613" t="inlineStr">
        <is>
          <t>626</t>
        </is>
      </c>
      <c r="J1613" t="inlineStr">
        <is>
          <t>OK</t>
        </is>
      </c>
      <c r="K1613" t="inlineStr"/>
      <c r="L1613" t="inlineStr"/>
      <c r="M1613" t="inlineStr">
        <is>
          <t>TAR PIX PGTO TRANSF</t>
        </is>
      </c>
    </row>
    <row r="1614">
      <c r="A1614" t="n">
        <v>1613</v>
      </c>
      <c r="B1614" t="inlineStr">
        <is>
          <t>04/08/2026</t>
        </is>
      </c>
      <c r="C1614" t="inlineStr">
        <is>
          <t>Rend Pago Aplic Aut Mais</t>
        </is>
      </c>
      <c r="D1614" s="7" t="n">
        <v>0.07000000000000001</v>
      </c>
      <c r="E1614" t="inlineStr">
        <is>
          <t>(novo)</t>
        </is>
      </c>
      <c r="F1614" t="inlineStr"/>
      <c r="G1614" s="2" t="inlineStr">
        <is>
          <t>432</t>
        </is>
      </c>
      <c r="H1614">
        <f>IFERROR(VLOOKUP(G1614&amp;"",PLANO!A:B,2,FALSE),"CONTA NAO EXISTE NO PLANO")</f>
        <v/>
      </c>
      <c r="I1614" t="inlineStr">
        <is>
          <t>432</t>
        </is>
      </c>
      <c r="J1614" t="inlineStr">
        <is>
          <t>OK</t>
        </is>
      </c>
      <c r="K1614" t="inlineStr"/>
      <c r="L1614" t="inlineStr"/>
      <c r="M1614" t="inlineStr">
        <is>
          <t>RENDIMENTO APLICACAO AUTOMATICA ITAU</t>
        </is>
      </c>
    </row>
    <row r="1615">
      <c r="A1615" t="n">
        <v>1614</v>
      </c>
      <c r="B1615" t="inlineStr">
        <is>
          <t>05/08/2026</t>
        </is>
      </c>
      <c r="C1615" t="inlineStr">
        <is>
          <t>PIX ENVIADO NOVA PIRAMID</t>
        </is>
      </c>
      <c r="D1615" s="7" t="n">
        <v>-9193.379999999999</v>
      </c>
      <c r="E1615" t="inlineStr">
        <is>
          <t>(novo)</t>
        </is>
      </c>
      <c r="F1615" t="inlineStr"/>
      <c r="G1615" s="2" t="inlineStr">
        <is>
          <t>506</t>
        </is>
      </c>
      <c r="H1615">
        <f>IFERROR(VLOOKUP(G1615&amp;"",PLANO!A:B,2,FALSE),"CONTA NAO EXISTE NO PLANO")</f>
        <v/>
      </c>
      <c r="I1615" t="inlineStr">
        <is>
          <t>506</t>
        </is>
      </c>
      <c r="J1615" t="inlineStr">
        <is>
          <t>OK</t>
        </is>
      </c>
      <c r="K1615" t="inlineStr"/>
      <c r="L1615" t="inlineStr"/>
      <c r="M1615" t="inlineStr">
        <is>
          <t>PIX ENVIADO NOVA PIRAMID</t>
        </is>
      </c>
    </row>
    <row r="1616">
      <c r="A1616" t="n">
        <v>1615</v>
      </c>
      <c r="B1616" t="inlineStr">
        <is>
          <t>05/08/2026</t>
        </is>
      </c>
      <c r="C1616" t="inlineStr">
        <is>
          <t>PIX ENVIADO PIZZA PACK C</t>
        </is>
      </c>
      <c r="D1616" s="7" t="n">
        <v>-3787.5</v>
      </c>
      <c r="E1616" t="inlineStr">
        <is>
          <t>(novo)</t>
        </is>
      </c>
      <c r="F1616" t="inlineStr"/>
      <c r="G1616" s="2" t="inlineStr">
        <is>
          <t>493</t>
        </is>
      </c>
      <c r="H1616">
        <f>IFERROR(VLOOKUP(G1616&amp;"",PLANO!A:B,2,FALSE),"CONTA NAO EXISTE NO PLANO")</f>
        <v/>
      </c>
      <c r="I1616" t="inlineStr">
        <is>
          <t>493</t>
        </is>
      </c>
      <c r="J1616" t="inlineStr">
        <is>
          <t>OK</t>
        </is>
      </c>
      <c r="K1616" t="inlineStr"/>
      <c r="L1616" t="inlineStr"/>
      <c r="M1616" t="inlineStr">
        <is>
          <t>PIX ENVIADO PIZZA PACK C</t>
        </is>
      </c>
    </row>
    <row r="1617">
      <c r="A1617" t="n">
        <v>1616</v>
      </c>
      <c r="B1617" t="inlineStr">
        <is>
          <t>05/08/2026</t>
        </is>
      </c>
      <c r="C1617" t="inlineStr">
        <is>
          <t>BOLETO PAGO TRANSAL</t>
        </is>
      </c>
      <c r="D1617" s="7" t="n">
        <v>-205.06</v>
      </c>
      <c r="E1617" t="inlineStr">
        <is>
          <t>(novo)</t>
        </is>
      </c>
      <c r="F1617" t="inlineStr"/>
      <c r="G1617" s="2" t="inlineStr">
        <is>
          <t>312</t>
        </is>
      </c>
      <c r="H1617">
        <f>IFERROR(VLOOKUP(G1617&amp;"",PLANO!A:B,2,FALSE),"CONTA NAO EXISTE NO PLANO")</f>
        <v/>
      </c>
      <c r="I1617" t="inlineStr">
        <is>
          <t>312</t>
        </is>
      </c>
      <c r="J1617" t="inlineStr">
        <is>
          <t>OK</t>
        </is>
      </c>
      <c r="K1617" t="inlineStr"/>
      <c r="L1617" t="inlineStr"/>
      <c r="M1617" t="inlineStr">
        <is>
          <t>BOLETO PAGO TRANSAL</t>
        </is>
      </c>
    </row>
    <row r="1618">
      <c r="A1618" t="n">
        <v>1617</v>
      </c>
      <c r="B1618" t="inlineStr">
        <is>
          <t>05/08/2026</t>
        </is>
      </c>
      <c r="C1618" t="inlineStr">
        <is>
          <t>BOLETO PAGO H S INKLASER</t>
        </is>
      </c>
      <c r="D1618" s="7" t="n">
        <v>-1074.5</v>
      </c>
      <c r="E1618" t="inlineStr">
        <is>
          <t>(novo)</t>
        </is>
      </c>
      <c r="F1618" t="inlineStr"/>
      <c r="G1618" s="2" t="inlineStr">
        <is>
          <t>506</t>
        </is>
      </c>
      <c r="H1618">
        <f>IFERROR(VLOOKUP(G1618&amp;"",PLANO!A:B,2,FALSE),"CONTA NAO EXISTE NO PLANO")</f>
        <v/>
      </c>
      <c r="I1618" t="inlineStr">
        <is>
          <t>506</t>
        </is>
      </c>
      <c r="J1618" t="inlineStr">
        <is>
          <t>OK</t>
        </is>
      </c>
      <c r="K1618" t="inlineStr"/>
      <c r="L1618" t="inlineStr"/>
      <c r="M1618" t="inlineStr">
        <is>
          <t>BOLETO PAGO H S INKLASER</t>
        </is>
      </c>
    </row>
    <row r="1619">
      <c r="A1619" s="11" t="n">
        <v>1618</v>
      </c>
      <c r="B1619" s="11" t="inlineStr">
        <is>
          <t>05/08/2026</t>
        </is>
      </c>
      <c r="C1619" s="11" t="inlineStr">
        <is>
          <t>BOLETO PAGO AKG ADM DE I</t>
        </is>
      </c>
      <c r="D1619" s="12" t="n">
        <v>-16891.88</v>
      </c>
      <c r="E1619" s="11" t="inlineStr">
        <is>
          <t>(novo)</t>
        </is>
      </c>
      <c r="F1619" s="11" t="inlineStr"/>
      <c r="G1619" s="13" t="inlineStr">
        <is>
          <t>320</t>
        </is>
      </c>
      <c r="H1619" s="11">
        <f>IFERROR(VLOOKUP(G1619&amp;"",PLANO!A:B,2,FALSE),"CONTA NAO EXISTE NO PLANO")</f>
        <v/>
      </c>
      <c r="I1619" s="11" t="inlineStr">
        <is>
          <t>320</t>
        </is>
      </c>
      <c r="J1619" s="11" t="inlineStr">
        <is>
          <t>MANTIDO</t>
        </is>
      </c>
      <c r="K1619" s="11" t="inlineStr">
        <is>
          <t>AKG ADMINISTRACAO E IMOVEIS - locacao Barracao 42</t>
        </is>
      </c>
      <c r="L1619" s="11" t="inlineStr"/>
      <c r="M1619" s="11" t="inlineStr">
        <is>
          <t>BOLETO PAGO AKG ADM DE I</t>
        </is>
      </c>
    </row>
    <row r="1620">
      <c r="A1620" t="n">
        <v>1619</v>
      </c>
      <c r="B1620" t="inlineStr">
        <is>
          <t>05/08/2026</t>
        </is>
      </c>
      <c r="C1620" t="inlineStr">
        <is>
          <t>BOLETO PAGO ANDRADE ENGE</t>
        </is>
      </c>
      <c r="D1620" s="7" t="n">
        <v>-1124.56</v>
      </c>
      <c r="E1620" t="inlineStr">
        <is>
          <t>(novo)</t>
        </is>
      </c>
      <c r="F1620" t="inlineStr"/>
      <c r="G1620" s="2" t="inlineStr">
        <is>
          <t>362</t>
        </is>
      </c>
      <c r="H1620">
        <f>IFERROR(VLOOKUP(G1620&amp;"",PLANO!A:B,2,FALSE),"CONTA NAO EXISTE NO PLANO")</f>
        <v/>
      </c>
      <c r="I1620" t="inlineStr">
        <is>
          <t>362</t>
        </is>
      </c>
      <c r="J1620" t="inlineStr">
        <is>
          <t>OK</t>
        </is>
      </c>
      <c r="K1620" t="inlineStr"/>
      <c r="L1620" t="inlineStr"/>
      <c r="M1620" t="inlineStr">
        <is>
          <t>BOLETO PAGO ANDRADE ENGE</t>
        </is>
      </c>
    </row>
    <row r="1621">
      <c r="A1621" s="4" t="n">
        <v>1620</v>
      </c>
      <c r="B1621" s="4" t="inlineStr">
        <is>
          <t>05/08/2026</t>
        </is>
      </c>
      <c r="C1621" s="4" t="inlineStr">
        <is>
          <t>Sispag COSMETICON COMER</t>
        </is>
      </c>
      <c r="D1621" s="5" t="n">
        <v>3000</v>
      </c>
      <c r="E1621" s="4" t="inlineStr">
        <is>
          <t>(novo)</t>
        </is>
      </c>
      <c r="F1621" s="4" t="inlineStr"/>
      <c r="G1621" s="6" t="inlineStr">
        <is>
          <t>663</t>
        </is>
      </c>
      <c r="H1621" s="4">
        <f>IFERROR(VLOOKUP(G1621&amp;"",PLANO!A:B,2,FALSE),"CONTA NAO EXISTE NO PLANO")</f>
        <v/>
      </c>
      <c r="I1621" s="4" t="inlineStr">
        <is>
          <t>663</t>
        </is>
      </c>
      <c r="J1621" s="4" t="inlineStr">
        <is>
          <t>AJUSTADO</t>
        </is>
      </c>
      <c r="K1621" s="4" t="inlineStr">
        <is>
          <t>COSMETICON - conta-corrente unica de mutuo (663)</t>
        </is>
      </c>
      <c r="L1621" s="4" t="inlineStr"/>
      <c r="M1621" s="4" t="inlineStr">
        <is>
          <t>SISPAG COSMETICON COMER</t>
        </is>
      </c>
    </row>
    <row r="1622">
      <c r="A1622" t="n">
        <v>1621</v>
      </c>
      <c r="B1622" t="inlineStr">
        <is>
          <t>05/08/2026</t>
        </is>
      </c>
      <c r="C1622" t="inlineStr">
        <is>
          <t>Mov Tít Cob Disp 05/08S</t>
        </is>
      </c>
      <c r="D1622" s="7" t="n">
        <v>3411.23</v>
      </c>
      <c r="E1622" t="inlineStr">
        <is>
          <t>(novo)</t>
        </is>
      </c>
      <c r="F1622" t="inlineStr"/>
      <c r="G1622" s="2" t="inlineStr">
        <is>
          <t>504</t>
        </is>
      </c>
      <c r="H1622">
        <f>IFERROR(VLOOKUP(G1622&amp;"",PLANO!A:B,2,FALSE),"CONTA NAO EXISTE NO PLANO")</f>
        <v/>
      </c>
      <c r="I1622" t="inlineStr">
        <is>
          <t>504</t>
        </is>
      </c>
      <c r="J1622" t="inlineStr">
        <is>
          <t>OK</t>
        </is>
      </c>
      <c r="K1622" t="inlineStr"/>
      <c r="L1622" t="inlineStr"/>
      <c r="M1622" t="inlineStr">
        <is>
          <t>MOV TÍT COB DISP 05/08S</t>
        </is>
      </c>
    </row>
    <row r="1623">
      <c r="A1623" t="n">
        <v>1622</v>
      </c>
      <c r="B1623" t="inlineStr">
        <is>
          <t>05/08/2026</t>
        </is>
      </c>
      <c r="C1623" t="inlineStr">
        <is>
          <t>Rede MAST AT0081996543</t>
        </is>
      </c>
      <c r="D1623" s="7" t="n">
        <v>1437.86</v>
      </c>
      <c r="E1623" t="inlineStr">
        <is>
          <t>(novo)</t>
        </is>
      </c>
      <c r="F1623" t="inlineStr"/>
      <c r="G1623" s="2" t="inlineStr">
        <is>
          <t>504</t>
        </is>
      </c>
      <c r="H1623">
        <f>IFERROR(VLOOKUP(G1623&amp;"",PLANO!A:B,2,FALSE),"CONTA NAO EXISTE NO PLANO")</f>
        <v/>
      </c>
      <c r="I1623" t="inlineStr">
        <is>
          <t>504</t>
        </is>
      </c>
      <c r="J1623" t="inlineStr">
        <is>
          <t>OK</t>
        </is>
      </c>
      <c r="K1623" t="inlineStr"/>
      <c r="L1623" t="inlineStr"/>
      <c r="M1623" t="inlineStr">
        <is>
          <t>REDE MAST AT0081996543</t>
        </is>
      </c>
    </row>
    <row r="1624">
      <c r="A1624" t="n">
        <v>1623</v>
      </c>
      <c r="B1624" t="inlineStr">
        <is>
          <t>05/08/2026</t>
        </is>
      </c>
      <c r="C1624" t="inlineStr">
        <is>
          <t>Rede VISA AT0081996543</t>
        </is>
      </c>
      <c r="D1624" s="7" t="n">
        <v>11170.83</v>
      </c>
      <c r="E1624" t="inlineStr">
        <is>
          <t>(novo)</t>
        </is>
      </c>
      <c r="F1624" t="inlineStr"/>
      <c r="G1624" s="2" t="inlineStr">
        <is>
          <t>504</t>
        </is>
      </c>
      <c r="H1624">
        <f>IFERROR(VLOOKUP(G1624&amp;"",PLANO!A:B,2,FALSE),"CONTA NAO EXISTE NO PLANO")</f>
        <v/>
      </c>
      <c r="I1624" t="inlineStr">
        <is>
          <t>504</t>
        </is>
      </c>
      <c r="J1624" t="inlineStr">
        <is>
          <t>OK</t>
        </is>
      </c>
      <c r="K1624" t="inlineStr"/>
      <c r="L1624" t="inlineStr"/>
      <c r="M1624" t="inlineStr">
        <is>
          <t>REDE VISA AT0081996543</t>
        </is>
      </c>
    </row>
    <row r="1625">
      <c r="A1625" t="n">
        <v>1624</v>
      </c>
      <c r="B1625" t="inlineStr">
        <is>
          <t>05/08/2026</t>
        </is>
      </c>
      <c r="C1625" t="inlineStr">
        <is>
          <t>Rend Pago Aplic Aut Mais</t>
        </is>
      </c>
      <c r="D1625" s="7" t="n">
        <v>0.02</v>
      </c>
      <c r="E1625" t="inlineStr">
        <is>
          <t>(novo)</t>
        </is>
      </c>
      <c r="F1625" t="inlineStr"/>
      <c r="G1625" s="2" t="inlineStr">
        <is>
          <t>432</t>
        </is>
      </c>
      <c r="H1625">
        <f>IFERROR(VLOOKUP(G1625&amp;"",PLANO!A:B,2,FALSE),"CONTA NAO EXISTE NO PLANO")</f>
        <v/>
      </c>
      <c r="I1625" t="inlineStr">
        <is>
          <t>432</t>
        </is>
      </c>
      <c r="J1625" t="inlineStr">
        <is>
          <t>OK</t>
        </is>
      </c>
      <c r="K1625" t="inlineStr"/>
      <c r="L1625" t="inlineStr"/>
      <c r="M1625" t="inlineStr">
        <is>
          <t>RENDIMENTO APLICACAO AUTOMATICA ITAU</t>
        </is>
      </c>
    </row>
    <row r="1626">
      <c r="A1626" t="n">
        <v>1625</v>
      </c>
      <c r="B1626" t="inlineStr">
        <is>
          <t>06/08/2026</t>
        </is>
      </c>
      <c r="C1626" t="inlineStr">
        <is>
          <t>Pgto Mín-ITAUCARD-2941</t>
        </is>
      </c>
      <c r="D1626" s="7" t="n">
        <v>-5718.6</v>
      </c>
      <c r="E1626" t="inlineStr">
        <is>
          <t>(novo)</t>
        </is>
      </c>
      <c r="F1626" t="inlineStr"/>
      <c r="G1626" s="2" t="inlineStr">
        <is>
          <t>357</t>
        </is>
      </c>
      <c r="H1626">
        <f>IFERROR(VLOOKUP(G1626&amp;"",PLANO!A:B,2,FALSE),"CONTA NAO EXISTE NO PLANO")</f>
        <v/>
      </c>
      <c r="I1626" t="inlineStr">
        <is>
          <t>357</t>
        </is>
      </c>
      <c r="J1626" t="inlineStr">
        <is>
          <t>OK</t>
        </is>
      </c>
      <c r="K1626" t="inlineStr"/>
      <c r="L1626" t="inlineStr"/>
      <c r="M1626" t="inlineStr">
        <is>
          <t>PGTO MÍN-ITAUCARD-2941</t>
        </is>
      </c>
    </row>
    <row r="1627">
      <c r="A1627" t="n">
        <v>1626</v>
      </c>
      <c r="B1627" t="inlineStr">
        <is>
          <t>06/08/2026</t>
        </is>
      </c>
      <c r="C1627" t="inlineStr">
        <is>
          <t>PIX ENVIADO RODONAVES TR</t>
        </is>
      </c>
      <c r="D1627" s="7" t="n">
        <v>-424.73</v>
      </c>
      <c r="E1627" t="inlineStr">
        <is>
          <t>(novo)</t>
        </is>
      </c>
      <c r="F1627" t="inlineStr"/>
      <c r="G1627" s="2" t="inlineStr">
        <is>
          <t>312</t>
        </is>
      </c>
      <c r="H1627">
        <f>IFERROR(VLOOKUP(G1627&amp;"",PLANO!A:B,2,FALSE),"CONTA NAO EXISTE NO PLANO")</f>
        <v/>
      </c>
      <c r="I1627" t="inlineStr">
        <is>
          <t>312</t>
        </is>
      </c>
      <c r="J1627" t="inlineStr">
        <is>
          <t>OK</t>
        </is>
      </c>
      <c r="K1627" t="inlineStr"/>
      <c r="L1627" t="inlineStr"/>
      <c r="M1627" t="inlineStr">
        <is>
          <t>PIX ENVIADO RODONAVES TR</t>
        </is>
      </c>
    </row>
    <row r="1628">
      <c r="A1628" t="n">
        <v>1627</v>
      </c>
      <c r="B1628" t="inlineStr">
        <is>
          <t>06/08/2026</t>
        </is>
      </c>
      <c r="C1628" t="inlineStr">
        <is>
          <t>TED 448.0000FIDC OS RL</t>
        </is>
      </c>
      <c r="D1628" s="7" t="n">
        <v>9920.92</v>
      </c>
      <c r="E1628" t="inlineStr">
        <is>
          <t>(novo)</t>
        </is>
      </c>
      <c r="F1628" t="inlineStr"/>
      <c r="G1628" s="2" t="inlineStr">
        <is>
          <t>504</t>
        </is>
      </c>
      <c r="H1628">
        <f>IFERROR(VLOOKUP(G1628&amp;"",PLANO!A:B,2,FALSE),"CONTA NAO EXISTE NO PLANO")</f>
        <v/>
      </c>
      <c r="I1628" t="inlineStr">
        <is>
          <t>504</t>
        </is>
      </c>
      <c r="J1628" t="inlineStr">
        <is>
          <t>OK</t>
        </is>
      </c>
      <c r="K1628" t="inlineStr"/>
      <c r="L1628" t="inlineStr"/>
      <c r="M1628" t="inlineStr">
        <is>
          <t>TED 448.0000FIDC OS RL</t>
        </is>
      </c>
    </row>
    <row r="1629">
      <c r="A1629" t="n">
        <v>1628</v>
      </c>
      <c r="B1629" t="inlineStr">
        <is>
          <t>06/08/2026</t>
        </is>
      </c>
      <c r="C1629" t="inlineStr">
        <is>
          <t>Mov Tít Cob Disp 06/08S</t>
        </is>
      </c>
      <c r="D1629" s="7" t="n">
        <v>365.27</v>
      </c>
      <c r="E1629" t="inlineStr">
        <is>
          <t>(novo)</t>
        </is>
      </c>
      <c r="F1629" t="inlineStr"/>
      <c r="G1629" s="2" t="inlineStr">
        <is>
          <t>504</t>
        </is>
      </c>
      <c r="H1629">
        <f>IFERROR(VLOOKUP(G1629&amp;"",PLANO!A:B,2,FALSE),"CONTA NAO EXISTE NO PLANO")</f>
        <v/>
      </c>
      <c r="I1629" t="inlineStr">
        <is>
          <t>504</t>
        </is>
      </c>
      <c r="J1629" t="inlineStr">
        <is>
          <t>OK</t>
        </is>
      </c>
      <c r="K1629" t="inlineStr"/>
      <c r="L1629" t="inlineStr"/>
      <c r="M1629" t="inlineStr">
        <is>
          <t>MOV TÍT COB DISP 06/08S</t>
        </is>
      </c>
    </row>
    <row r="1630">
      <c r="A1630" t="n">
        <v>1629</v>
      </c>
      <c r="B1630" t="inlineStr">
        <is>
          <t>06/08/2026</t>
        </is>
      </c>
      <c r="C1630" t="inlineStr">
        <is>
          <t>PIX TRANSF Tivolli06/08</t>
        </is>
      </c>
      <c r="D1630" s="7" t="n">
        <v>1000</v>
      </c>
      <c r="E1630" t="inlineStr">
        <is>
          <t>(novo)</t>
        </is>
      </c>
      <c r="F1630" t="inlineStr"/>
      <c r="G1630" s="2" t="inlineStr">
        <is>
          <t>504</t>
        </is>
      </c>
      <c r="H1630">
        <f>IFERROR(VLOOKUP(G1630&amp;"",PLANO!A:B,2,FALSE),"CONTA NAO EXISTE NO PLANO")</f>
        <v/>
      </c>
      <c r="I1630" t="inlineStr">
        <is>
          <t>504</t>
        </is>
      </c>
      <c r="J1630" t="inlineStr">
        <is>
          <t>OK</t>
        </is>
      </c>
      <c r="K1630" t="inlineStr"/>
      <c r="L1630" t="inlineStr"/>
      <c r="M1630" t="inlineStr">
        <is>
          <t>PIX TRANSF TIVOLLI06/08</t>
        </is>
      </c>
    </row>
    <row r="1631">
      <c r="A1631" s="4" t="n">
        <v>1630</v>
      </c>
      <c r="B1631" s="4" t="inlineStr">
        <is>
          <t>07/08/2026</t>
        </is>
      </c>
      <c r="C1631" s="4" t="inlineStr">
        <is>
          <t>PIX ENVIADO COSMETICON C</t>
        </is>
      </c>
      <c r="D1631" s="5" t="n">
        <v>-3000</v>
      </c>
      <c r="E1631" s="4" t="inlineStr">
        <is>
          <t>(novo)</t>
        </is>
      </c>
      <c r="F1631" s="4" t="inlineStr"/>
      <c r="G1631" s="6" t="inlineStr">
        <is>
          <t>663</t>
        </is>
      </c>
      <c r="H1631" s="4">
        <f>IFERROR(VLOOKUP(G1631&amp;"",PLANO!A:B,2,FALSE),"CONTA NAO EXISTE NO PLANO")</f>
        <v/>
      </c>
      <c r="I1631" s="4" t="inlineStr">
        <is>
          <t>663</t>
        </is>
      </c>
      <c r="J1631" s="4" t="inlineStr">
        <is>
          <t>AJUSTADO</t>
        </is>
      </c>
      <c r="K1631" s="4" t="inlineStr">
        <is>
          <t>COSMETICON - conta-corrente unica de mutuo (663)</t>
        </is>
      </c>
      <c r="L1631" s="4" t="inlineStr"/>
      <c r="M1631" s="4" t="inlineStr">
        <is>
          <t>PIX ENVIADO COSMETICON C</t>
        </is>
      </c>
    </row>
    <row r="1632">
      <c r="A1632" t="n">
        <v>1631</v>
      </c>
      <c r="B1632" t="inlineStr">
        <is>
          <t>07/08/2026</t>
        </is>
      </c>
      <c r="C1632" t="inlineStr">
        <is>
          <t>BOLETO PAGO BISPHARMA EM</t>
        </is>
      </c>
      <c r="D1632" s="7" t="n">
        <v>-10326.32</v>
      </c>
      <c r="E1632" t="inlineStr">
        <is>
          <t>(novo)</t>
        </is>
      </c>
      <c r="F1632" t="inlineStr"/>
      <c r="G1632" s="2" t="inlineStr">
        <is>
          <t>506</t>
        </is>
      </c>
      <c r="H1632">
        <f>IFERROR(VLOOKUP(G1632&amp;"",PLANO!A:B,2,FALSE),"CONTA NAO EXISTE NO PLANO")</f>
        <v/>
      </c>
      <c r="I1632" t="inlineStr">
        <is>
          <t>506</t>
        </is>
      </c>
      <c r="J1632" t="inlineStr">
        <is>
          <t>OK</t>
        </is>
      </c>
      <c r="K1632" t="inlineStr"/>
      <c r="L1632" t="inlineStr"/>
      <c r="M1632" t="inlineStr">
        <is>
          <t>BOLETO PAGO BISPHARMA EM</t>
        </is>
      </c>
    </row>
    <row r="1633">
      <c r="A1633" s="14" t="n">
        <v>1632</v>
      </c>
      <c r="B1633" s="14" t="inlineStr">
        <is>
          <t>07/08/2026</t>
        </is>
      </c>
      <c r="C1633" s="14" t="inlineStr">
        <is>
          <t>BOLETO PAGO URBANO SA SO</t>
        </is>
      </c>
      <c r="D1633" s="15" t="n">
        <v>-423.12</v>
      </c>
      <c r="E1633" s="14" t="inlineStr">
        <is>
          <t>(novo)</t>
        </is>
      </c>
      <c r="F1633" s="14" t="inlineStr"/>
      <c r="G1633" s="16" t="inlineStr">
        <is>
          <t>312</t>
        </is>
      </c>
      <c r="H1633" s="14">
        <f>IFERROR(VLOOKUP(G1633&amp;"",PLANO!A:B,2,FALSE),"CONTA NAO EXISTE NO PLANO")</f>
        <v/>
      </c>
      <c r="I1633" s="14" t="inlineStr">
        <is>
          <t>312</t>
        </is>
      </c>
      <c r="J1633" s="14" t="inlineStr">
        <is>
          <t>CORRIGIDO</t>
        </is>
      </c>
      <c r="K1633" s="14" t="inlineStr">
        <is>
          <t>retificado 350-&gt;312: Braspress via Urbano = frete s/ vendas (Cosmos)</t>
        </is>
      </c>
      <c r="L1633" s="14" t="inlineStr"/>
      <c r="M1633" s="14" t="inlineStr">
        <is>
          <t>BOLETO PAGO URBANO SA SO</t>
        </is>
      </c>
    </row>
    <row r="1634">
      <c r="A1634" s="11" t="n">
        <v>1633</v>
      </c>
      <c r="B1634" s="11" t="inlineStr">
        <is>
          <t>07/08/2026</t>
        </is>
      </c>
      <c r="C1634" s="11" t="inlineStr">
        <is>
          <t>BOLETO PAGO BRASPRESS TR</t>
        </is>
      </c>
      <c r="D1634" s="12" t="n">
        <v>-212.34</v>
      </c>
      <c r="E1634" s="11" t="inlineStr">
        <is>
          <t>(novo)</t>
        </is>
      </c>
      <c r="F1634" s="11" t="inlineStr"/>
      <c r="G1634" s="13" t="inlineStr">
        <is>
          <t>350</t>
        </is>
      </c>
      <c r="H1634" s="11">
        <f>IFERROR(VLOOKUP(G1634&amp;"",PLANO!A:B,2,FALSE),"CONTA NAO EXISTE NO PLANO")</f>
        <v/>
      </c>
      <c r="I1634" s="11" t="inlineStr">
        <is>
          <t>350</t>
        </is>
      </c>
      <c r="J1634" s="11" t="inlineStr">
        <is>
          <t>MANTIDO</t>
        </is>
      </c>
      <c r="K1634" s="11" t="inlineStr"/>
      <c r="L1634" s="11" t="inlineStr"/>
      <c r="M1634" s="11" t="inlineStr">
        <is>
          <t>BRASPRESS TRANSPORTES URGENTES LTDAPGTO REF.FRETE</t>
        </is>
      </c>
    </row>
    <row r="1635">
      <c r="A1635" t="n">
        <v>1634</v>
      </c>
      <c r="B1635" t="inlineStr">
        <is>
          <t>07/08/2026</t>
        </is>
      </c>
      <c r="C1635" t="inlineStr">
        <is>
          <t>BOLETO PAGO INSETCONTROL</t>
        </is>
      </c>
      <c r="D1635" s="7" t="n">
        <v>-730</v>
      </c>
      <c r="E1635" t="inlineStr">
        <is>
          <t>(novo)</t>
        </is>
      </c>
      <c r="F1635" t="inlineStr"/>
      <c r="G1635" s="2" t="inlineStr">
        <is>
          <t>506</t>
        </is>
      </c>
      <c r="H1635">
        <f>IFERROR(VLOOKUP(G1635&amp;"",PLANO!A:B,2,FALSE),"CONTA NAO EXISTE NO PLANO")</f>
        <v/>
      </c>
      <c r="I1635" t="inlineStr">
        <is>
          <t>506</t>
        </is>
      </c>
      <c r="J1635" t="inlineStr">
        <is>
          <t>OK</t>
        </is>
      </c>
      <c r="K1635" t="inlineStr"/>
      <c r="L1635" t="inlineStr"/>
      <c r="M1635" t="inlineStr">
        <is>
          <t>BOLETO PAGO INSETCONTROL</t>
        </is>
      </c>
    </row>
    <row r="1636">
      <c r="A1636" t="n">
        <v>1635</v>
      </c>
      <c r="B1636" t="inlineStr">
        <is>
          <t>07/08/2026</t>
        </is>
      </c>
      <c r="C1636" t="inlineStr">
        <is>
          <t>BOLETO PAGO TRANS TOMAZ</t>
        </is>
      </c>
      <c r="D1636" s="7" t="n">
        <v>-111.52</v>
      </c>
      <c r="E1636" t="inlineStr">
        <is>
          <t>(novo)</t>
        </is>
      </c>
      <c r="F1636" t="inlineStr"/>
      <c r="G1636" s="2" t="inlineStr">
        <is>
          <t>312</t>
        </is>
      </c>
      <c r="H1636">
        <f>IFERROR(VLOOKUP(G1636&amp;"",PLANO!A:B,2,FALSE),"CONTA NAO EXISTE NO PLANO")</f>
        <v/>
      </c>
      <c r="I1636" t="inlineStr">
        <is>
          <t>312</t>
        </is>
      </c>
      <c r="J1636" t="inlineStr">
        <is>
          <t>OK</t>
        </is>
      </c>
      <c r="K1636" t="inlineStr"/>
      <c r="L1636" t="inlineStr"/>
      <c r="M1636" t="inlineStr">
        <is>
          <t>BOLETO PAGO TRANS TOMAZ</t>
        </is>
      </c>
    </row>
    <row r="1637">
      <c r="A1637" t="n">
        <v>1636</v>
      </c>
      <c r="B1637" t="inlineStr">
        <is>
          <t>07/08/2026</t>
        </is>
      </c>
      <c r="C1637" t="inlineStr">
        <is>
          <t>BOLETO PAGO TRANSAL</t>
        </is>
      </c>
      <c r="D1637" s="7" t="n">
        <v>-576.02</v>
      </c>
      <c r="E1637" t="inlineStr">
        <is>
          <t>(novo)</t>
        </is>
      </c>
      <c r="F1637" t="inlineStr"/>
      <c r="G1637" s="2" t="inlineStr">
        <is>
          <t>312</t>
        </is>
      </c>
      <c r="H1637">
        <f>IFERROR(VLOOKUP(G1637&amp;"",PLANO!A:B,2,FALSE),"CONTA NAO EXISTE NO PLANO")</f>
        <v/>
      </c>
      <c r="I1637" t="inlineStr">
        <is>
          <t>312</t>
        </is>
      </c>
      <c r="J1637" t="inlineStr">
        <is>
          <t>OK</t>
        </is>
      </c>
      <c r="K1637" t="inlineStr"/>
      <c r="L1637" t="inlineStr"/>
      <c r="M1637" t="inlineStr">
        <is>
          <t>BOLETO PAGO TRANSAL</t>
        </is>
      </c>
    </row>
    <row r="1638">
      <c r="A1638" s="4" t="n">
        <v>1637</v>
      </c>
      <c r="B1638" s="4" t="inlineStr">
        <is>
          <t>07/08/2026</t>
        </is>
      </c>
      <c r="C1638" s="4" t="inlineStr">
        <is>
          <t>Sispag COSMETICON COMER</t>
        </is>
      </c>
      <c r="D1638" s="5" t="n">
        <v>10100</v>
      </c>
      <c r="E1638" s="4" t="inlineStr">
        <is>
          <t>(novo)</t>
        </is>
      </c>
      <c r="F1638" s="4" t="inlineStr"/>
      <c r="G1638" s="6" t="inlineStr">
        <is>
          <t>663</t>
        </is>
      </c>
      <c r="H1638" s="4">
        <f>IFERROR(VLOOKUP(G1638&amp;"",PLANO!A:B,2,FALSE),"CONTA NAO EXISTE NO PLANO")</f>
        <v/>
      </c>
      <c r="I1638" s="4" t="inlineStr">
        <is>
          <t>663</t>
        </is>
      </c>
      <c r="J1638" s="4" t="inlineStr">
        <is>
          <t>AJUSTADO</t>
        </is>
      </c>
      <c r="K1638" s="4" t="inlineStr">
        <is>
          <t>COSMETICON - conta-corrente unica de mutuo (663)</t>
        </is>
      </c>
      <c r="L1638" s="4" t="inlineStr"/>
      <c r="M1638" s="4" t="inlineStr">
        <is>
          <t>SISPAG COSMETICON COMER</t>
        </is>
      </c>
    </row>
    <row r="1639">
      <c r="A1639" t="n">
        <v>1638</v>
      </c>
      <c r="B1639" t="inlineStr">
        <is>
          <t>07/08/2026</t>
        </is>
      </c>
      <c r="C1639" t="inlineStr">
        <is>
          <t>Mov Tít Cob Disp 07/08S</t>
        </is>
      </c>
      <c r="D1639" s="7" t="n">
        <v>1653.82</v>
      </c>
      <c r="E1639" t="inlineStr">
        <is>
          <t>(novo)</t>
        </is>
      </c>
      <c r="F1639" t="inlineStr"/>
      <c r="G1639" s="2" t="inlineStr">
        <is>
          <t>504</t>
        </is>
      </c>
      <c r="H1639">
        <f>IFERROR(VLOOKUP(G1639&amp;"",PLANO!A:B,2,FALSE),"CONTA NAO EXISTE NO PLANO")</f>
        <v/>
      </c>
      <c r="I1639" t="inlineStr">
        <is>
          <t>504</t>
        </is>
      </c>
      <c r="J1639" t="inlineStr">
        <is>
          <t>OK</t>
        </is>
      </c>
      <c r="K1639" t="inlineStr"/>
      <c r="L1639" t="inlineStr"/>
      <c r="M1639" t="inlineStr">
        <is>
          <t>MOV TÍT COB DISP 07/08S</t>
        </is>
      </c>
    </row>
    <row r="1640">
      <c r="A1640" t="n">
        <v>1639</v>
      </c>
      <c r="B1640" t="inlineStr">
        <is>
          <t>07/08/2026</t>
        </is>
      </c>
      <c r="C1640" t="inlineStr">
        <is>
          <t>Rend Pago Aplic Aut Mais</t>
        </is>
      </c>
      <c r="D1640" s="7" t="n">
        <v>0.01</v>
      </c>
      <c r="E1640" t="inlineStr">
        <is>
          <t>(novo)</t>
        </is>
      </c>
      <c r="F1640" t="inlineStr"/>
      <c r="G1640" s="2" t="inlineStr">
        <is>
          <t>432</t>
        </is>
      </c>
      <c r="H1640">
        <f>IFERROR(VLOOKUP(G1640&amp;"",PLANO!A:B,2,FALSE),"CONTA NAO EXISTE NO PLANO")</f>
        <v/>
      </c>
      <c r="I1640" t="inlineStr">
        <is>
          <t>432</t>
        </is>
      </c>
      <c r="J1640" t="inlineStr">
        <is>
          <t>OK</t>
        </is>
      </c>
      <c r="K1640" t="inlineStr"/>
      <c r="L1640" t="inlineStr"/>
      <c r="M1640" t="inlineStr">
        <is>
          <t>RENDIMENTO APLICACAO AUTOMATICA ITAU</t>
        </is>
      </c>
    </row>
    <row r="1641">
      <c r="A1641" t="n">
        <v>1640</v>
      </c>
      <c r="B1641" t="inlineStr">
        <is>
          <t>10/08/2026</t>
        </is>
      </c>
      <c r="C1641" t="inlineStr">
        <is>
          <t>Sispag PIX QR-CODE</t>
        </is>
      </c>
      <c r="D1641" s="7" t="n">
        <v>-199.99</v>
      </c>
      <c r="E1641" t="inlineStr">
        <is>
          <t>(novo)</t>
        </is>
      </c>
      <c r="F1641" t="inlineStr"/>
      <c r="G1641" s="2" t="inlineStr">
        <is>
          <t>555</t>
        </is>
      </c>
      <c r="H1641">
        <f>IFERROR(VLOOKUP(G1641&amp;"",PLANO!A:B,2,FALSE),"CONTA NAO EXISTE NO PLANO")</f>
        <v/>
      </c>
      <c r="I1641" t="inlineStr">
        <is>
          <t>555</t>
        </is>
      </c>
      <c r="J1641" t="inlineStr">
        <is>
          <t>OK</t>
        </is>
      </c>
      <c r="K1641" t="inlineStr"/>
      <c r="L1641" t="inlineStr"/>
      <c r="M1641" t="inlineStr">
        <is>
          <t>SISPAG PIX QR-CODE</t>
        </is>
      </c>
    </row>
    <row r="1642">
      <c r="A1642" s="14" t="n">
        <v>1641</v>
      </c>
      <c r="B1642" s="14" t="inlineStr">
        <is>
          <t>10/08/2026</t>
        </is>
      </c>
      <c r="C1642" s="14" t="inlineStr">
        <is>
          <t>PIX ENVIADO 50.370.136 A</t>
        </is>
      </c>
      <c r="D1642" s="15" t="n">
        <v>-5419.1</v>
      </c>
      <c r="E1642" s="14" t="inlineStr">
        <is>
          <t>(novo)</t>
        </is>
      </c>
      <c r="F1642" s="14" t="inlineStr"/>
      <c r="G1642" s="16" t="inlineStr">
        <is>
          <t>506</t>
        </is>
      </c>
      <c r="H1642" s="14">
        <f>IFERROR(VLOOKUP(G1642&amp;"",PLANO!A:B,2,FALSE),"CONTA NAO EXISTE NO PLANO")</f>
        <v/>
      </c>
      <c r="I1642" s="14" t="inlineStr">
        <is>
          <t>506</t>
        </is>
      </c>
      <c r="J1642" s="14" t="inlineStr">
        <is>
          <t>CORRIGIDO</t>
        </is>
      </c>
      <c r="K1642" s="14" t="inlineStr">
        <is>
          <t>retificado 493-&gt;506: Skin Lab = fornecedor MP (Cosmos)</t>
        </is>
      </c>
      <c r="L1642" s="14" t="inlineStr"/>
      <c r="M1642" s="14" t="inlineStr">
        <is>
          <t>PIX ENVIADO 50.370.136 A</t>
        </is>
      </c>
    </row>
    <row r="1643">
      <c r="A1643" s="14" t="n">
        <v>1642</v>
      </c>
      <c r="B1643" s="14" t="inlineStr">
        <is>
          <t>10/08/2026</t>
        </is>
      </c>
      <c r="C1643" s="14" t="inlineStr">
        <is>
          <t>PIX ENVIADO 50.370.136 A</t>
        </is>
      </c>
      <c r="D1643" s="15" t="n">
        <v>-9557.389999999999</v>
      </c>
      <c r="E1643" s="14" t="inlineStr">
        <is>
          <t>(novo)</t>
        </is>
      </c>
      <c r="F1643" s="14" t="inlineStr"/>
      <c r="G1643" s="16" t="inlineStr">
        <is>
          <t>506</t>
        </is>
      </c>
      <c r="H1643" s="14">
        <f>IFERROR(VLOOKUP(G1643&amp;"",PLANO!A:B,2,FALSE),"CONTA NAO EXISTE NO PLANO")</f>
        <v/>
      </c>
      <c r="I1643" s="14" t="inlineStr">
        <is>
          <t>506</t>
        </is>
      </c>
      <c r="J1643" s="14" t="inlineStr">
        <is>
          <t>CORRIGIDO</t>
        </is>
      </c>
      <c r="K1643" s="14" t="inlineStr">
        <is>
          <t>retificado 493-&gt;506: Skin Lab = fornecedor MP (Cosmos)</t>
        </is>
      </c>
      <c r="L1643" s="14" t="inlineStr"/>
      <c r="M1643" s="14" t="inlineStr">
        <is>
          <t>PIX ENVIADO 50.370.136 A</t>
        </is>
      </c>
    </row>
    <row r="1644">
      <c r="A1644" s="4" t="n">
        <v>1643</v>
      </c>
      <c r="B1644" s="4" t="inlineStr">
        <is>
          <t>10/08/2026</t>
        </is>
      </c>
      <c r="C1644" s="4" t="inlineStr">
        <is>
          <t>PIX ENVIADO FIQUE BEM CO</t>
        </is>
      </c>
      <c r="D1644" s="5" t="n">
        <v>-2000</v>
      </c>
      <c r="E1644" s="4" t="inlineStr">
        <is>
          <t>(novo)</t>
        </is>
      </c>
      <c r="F1644" s="4" t="inlineStr"/>
      <c r="G1644" s="6" t="inlineStr">
        <is>
          <t>366</t>
        </is>
      </c>
      <c r="H1644" s="4">
        <f>IFERROR(VLOOKUP(G1644&amp;"",PLANO!A:B,2,FALSE),"CONTA NAO EXISTE NO PLANO")</f>
        <v/>
      </c>
      <c r="I1644" s="4" t="inlineStr">
        <is>
          <t>672</t>
        </is>
      </c>
      <c r="J1644" s="4" t="inlineStr">
        <is>
          <t>AJUSTADO</t>
        </is>
      </c>
      <c r="K1644" s="4" t="inlineStr">
        <is>
          <t>GULA/FIQUE BEM (mesmo CNPJ, empresa do grupo) - mutuo em EMPRESTIMOS A TERCEIROS (366); nao e fornecedor</t>
        </is>
      </c>
      <c r="L1644" s="4" t="inlineStr"/>
      <c r="M1644" s="4" t="inlineStr">
        <is>
          <t>PIX ENVIADO FIQUE BEM CO</t>
        </is>
      </c>
    </row>
    <row r="1645">
      <c r="A1645" t="n">
        <v>1644</v>
      </c>
      <c r="B1645" t="inlineStr">
        <is>
          <t>10/08/2026</t>
        </is>
      </c>
      <c r="C1645" t="inlineStr">
        <is>
          <t>BOLETO PAGO PLUS SANTE E</t>
        </is>
      </c>
      <c r="D1645" s="7" t="n">
        <v>-342.3</v>
      </c>
      <c r="E1645" t="inlineStr">
        <is>
          <t>(novo)</t>
        </is>
      </c>
      <c r="F1645" t="inlineStr"/>
      <c r="G1645" s="2" t="inlineStr">
        <is>
          <t>653</t>
        </is>
      </c>
      <c r="H1645">
        <f>IFERROR(VLOOKUP(G1645&amp;"",PLANO!A:B,2,FALSE),"CONTA NAO EXISTE NO PLANO")</f>
        <v/>
      </c>
      <c r="I1645" t="inlineStr">
        <is>
          <t>653</t>
        </is>
      </c>
      <c r="J1645" t="inlineStr">
        <is>
          <t>OK</t>
        </is>
      </c>
      <c r="K1645" t="inlineStr"/>
      <c r="L1645" t="inlineStr"/>
      <c r="M1645" t="inlineStr">
        <is>
          <t>BOLETO PAGO PLUS SANTE E</t>
        </is>
      </c>
    </row>
    <row r="1646">
      <c r="A1646" t="n">
        <v>1645</v>
      </c>
      <c r="B1646" t="inlineStr">
        <is>
          <t>10/08/2026</t>
        </is>
      </c>
      <c r="C1646" t="inlineStr">
        <is>
          <t>BOLETO PAGO SINDICATO DA</t>
        </is>
      </c>
      <c r="D1646" s="7" t="n">
        <v>-358.58</v>
      </c>
      <c r="E1646" t="inlineStr">
        <is>
          <t>(novo)</t>
        </is>
      </c>
      <c r="F1646" t="inlineStr"/>
      <c r="G1646" s="2" t="inlineStr">
        <is>
          <t>350</t>
        </is>
      </c>
      <c r="H1646">
        <f>IFERROR(VLOOKUP(G1646&amp;"",PLANO!A:B,2,FALSE),"CONTA NAO EXISTE NO PLANO")</f>
        <v/>
      </c>
      <c r="I1646" t="inlineStr">
        <is>
          <t>350</t>
        </is>
      </c>
      <c r="J1646" t="inlineStr">
        <is>
          <t>OK</t>
        </is>
      </c>
      <c r="K1646" t="inlineStr"/>
      <c r="L1646" t="inlineStr"/>
      <c r="M1646" t="inlineStr">
        <is>
          <t>BOLETO PAGO SINDICATO DA</t>
        </is>
      </c>
    </row>
    <row r="1647">
      <c r="A1647" t="n">
        <v>1646</v>
      </c>
      <c r="B1647" t="inlineStr">
        <is>
          <t>10/08/2026</t>
        </is>
      </c>
      <c r="C1647" t="inlineStr">
        <is>
          <t>BOLETO PAGO AGENCIA NACI</t>
        </is>
      </c>
      <c r="D1647" s="7" t="n">
        <v>-175.72</v>
      </c>
      <c r="E1647" t="inlineStr">
        <is>
          <t>(novo)</t>
        </is>
      </c>
      <c r="F1647" t="inlineStr"/>
      <c r="G1647" s="2" t="inlineStr">
        <is>
          <t>350</t>
        </is>
      </c>
      <c r="H1647">
        <f>IFERROR(VLOOKUP(G1647&amp;"",PLANO!A:B,2,FALSE),"CONTA NAO EXISTE NO PLANO")</f>
        <v/>
      </c>
      <c r="I1647" t="inlineStr">
        <is>
          <t>350</t>
        </is>
      </c>
      <c r="J1647" t="inlineStr">
        <is>
          <t>OK</t>
        </is>
      </c>
      <c r="K1647" t="inlineStr"/>
      <c r="L1647" t="inlineStr"/>
      <c r="M1647" t="inlineStr">
        <is>
          <t>BOLETO PAGO AGENCIA NACI</t>
        </is>
      </c>
    </row>
    <row r="1648">
      <c r="A1648" t="n">
        <v>1647</v>
      </c>
      <c r="B1648" t="inlineStr">
        <is>
          <t>10/08/2026</t>
        </is>
      </c>
      <c r="C1648" t="inlineStr">
        <is>
          <t>BOLETO PAGO AGENCIA NACI</t>
        </is>
      </c>
      <c r="D1648" s="7" t="n">
        <v>-175.72</v>
      </c>
      <c r="E1648" t="inlineStr">
        <is>
          <t>(novo)</t>
        </is>
      </c>
      <c r="F1648" t="inlineStr"/>
      <c r="G1648" s="2" t="inlineStr">
        <is>
          <t>350</t>
        </is>
      </c>
      <c r="H1648">
        <f>IFERROR(VLOOKUP(G1648&amp;"",PLANO!A:B,2,FALSE),"CONTA NAO EXISTE NO PLANO")</f>
        <v/>
      </c>
      <c r="I1648" t="inlineStr">
        <is>
          <t>350</t>
        </is>
      </c>
      <c r="J1648" t="inlineStr">
        <is>
          <t>OK</t>
        </is>
      </c>
      <c r="K1648" t="inlineStr"/>
      <c r="L1648" t="inlineStr"/>
      <c r="M1648" t="inlineStr">
        <is>
          <t>BOLETO PAGO AGENCIA NACI</t>
        </is>
      </c>
    </row>
    <row r="1649">
      <c r="A1649" t="n">
        <v>1648</v>
      </c>
      <c r="B1649" t="inlineStr">
        <is>
          <t>10/08/2026</t>
        </is>
      </c>
      <c r="C1649" t="inlineStr">
        <is>
          <t>BOLETO PAGO AGENCIA NACI</t>
        </is>
      </c>
      <c r="D1649" s="7" t="n">
        <v>-175.72</v>
      </c>
      <c r="E1649" t="inlineStr">
        <is>
          <t>(novo)</t>
        </is>
      </c>
      <c r="F1649" t="inlineStr"/>
      <c r="G1649" s="2" t="inlineStr">
        <is>
          <t>350</t>
        </is>
      </c>
      <c r="H1649">
        <f>IFERROR(VLOOKUP(G1649&amp;"",PLANO!A:B,2,FALSE),"CONTA NAO EXISTE NO PLANO")</f>
        <v/>
      </c>
      <c r="I1649" t="inlineStr">
        <is>
          <t>350</t>
        </is>
      </c>
      <c r="J1649" t="inlineStr">
        <is>
          <t>OK</t>
        </is>
      </c>
      <c r="K1649" t="inlineStr"/>
      <c r="L1649" t="inlineStr"/>
      <c r="M1649" t="inlineStr">
        <is>
          <t>BOLETO PAGO AGENCIA NACI</t>
        </is>
      </c>
    </row>
    <row r="1650">
      <c r="A1650" t="n">
        <v>1649</v>
      </c>
      <c r="B1650" t="inlineStr">
        <is>
          <t>10/08/2026</t>
        </is>
      </c>
      <c r="C1650" t="inlineStr">
        <is>
          <t>TED 448.0000FIDC OS RL</t>
        </is>
      </c>
      <c r="D1650" s="7" t="n">
        <v>9838.860000000001</v>
      </c>
      <c r="E1650" t="inlineStr">
        <is>
          <t>(novo)</t>
        </is>
      </c>
      <c r="F1650" t="inlineStr"/>
      <c r="G1650" s="2" t="inlineStr">
        <is>
          <t>504</t>
        </is>
      </c>
      <c r="H1650">
        <f>IFERROR(VLOOKUP(G1650&amp;"",PLANO!A:B,2,FALSE),"CONTA NAO EXISTE NO PLANO")</f>
        <v/>
      </c>
      <c r="I1650" t="inlineStr">
        <is>
          <t>504</t>
        </is>
      </c>
      <c r="J1650" t="inlineStr">
        <is>
          <t>OK</t>
        </is>
      </c>
      <c r="K1650" t="inlineStr"/>
      <c r="L1650" t="inlineStr"/>
      <c r="M1650" t="inlineStr">
        <is>
          <t>TED 448.0000FIDC OS RL</t>
        </is>
      </c>
    </row>
    <row r="1651">
      <c r="A1651" t="n">
        <v>1650</v>
      </c>
      <c r="B1651" t="inlineStr">
        <is>
          <t>10/08/2026</t>
        </is>
      </c>
      <c r="C1651" t="inlineStr">
        <is>
          <t>Mov Tít Cob Disp 10/08S</t>
        </is>
      </c>
      <c r="D1651" s="7" t="n">
        <v>799.65</v>
      </c>
      <c r="E1651" t="inlineStr">
        <is>
          <t>(novo)</t>
        </is>
      </c>
      <c r="F1651" t="inlineStr"/>
      <c r="G1651" s="2" t="inlineStr">
        <is>
          <t>504</t>
        </is>
      </c>
      <c r="H1651">
        <f>IFERROR(VLOOKUP(G1651&amp;"",PLANO!A:B,2,FALSE),"CONTA NAO EXISTE NO PLANO")</f>
        <v/>
      </c>
      <c r="I1651" t="inlineStr">
        <is>
          <t>504</t>
        </is>
      </c>
      <c r="J1651" t="inlineStr">
        <is>
          <t>OK</t>
        </is>
      </c>
      <c r="K1651" t="inlineStr"/>
      <c r="L1651" t="inlineStr"/>
      <c r="M1651" t="inlineStr">
        <is>
          <t>MOV TÍT COB DISP 10/08S</t>
        </is>
      </c>
    </row>
    <row r="1652">
      <c r="A1652" t="n">
        <v>1651</v>
      </c>
      <c r="B1652" t="inlineStr">
        <is>
          <t>10/08/2026</t>
        </is>
      </c>
      <c r="C1652" t="inlineStr">
        <is>
          <t>PIX TRANSF R&amp;S COM10/08</t>
        </is>
      </c>
      <c r="D1652" s="7" t="n">
        <v>10000</v>
      </c>
      <c r="E1652" t="inlineStr">
        <is>
          <t>(novo)</t>
        </is>
      </c>
      <c r="F1652" t="inlineStr"/>
      <c r="G1652" s="2" t="inlineStr">
        <is>
          <t>504</t>
        </is>
      </c>
      <c r="H1652">
        <f>IFERROR(VLOOKUP(G1652&amp;"",PLANO!A:B,2,FALSE),"CONTA NAO EXISTE NO PLANO")</f>
        <v/>
      </c>
      <c r="I1652" t="inlineStr">
        <is>
          <t>504</t>
        </is>
      </c>
      <c r="J1652" t="inlineStr">
        <is>
          <t>OK</t>
        </is>
      </c>
      <c r="K1652" t="inlineStr"/>
      <c r="L1652" t="inlineStr"/>
      <c r="M1652" t="inlineStr">
        <is>
          <t>PIX TRANSF R&amp;S COM10/08</t>
        </is>
      </c>
    </row>
    <row r="1653">
      <c r="A1653" t="n">
        <v>1652</v>
      </c>
      <c r="B1653" t="inlineStr">
        <is>
          <t>10/08/2026</t>
        </is>
      </c>
      <c r="C1653" t="inlineStr">
        <is>
          <t>Tar/Custas Cobrança</t>
        </is>
      </c>
      <c r="D1653" s="7" t="n">
        <v>-9.140000000000001</v>
      </c>
      <c r="E1653" t="inlineStr">
        <is>
          <t>(novo)</t>
        </is>
      </c>
      <c r="F1653" t="inlineStr"/>
      <c r="G1653" s="2" t="inlineStr">
        <is>
          <t>626</t>
        </is>
      </c>
      <c r="H1653">
        <f>IFERROR(VLOOKUP(G1653&amp;"",PLANO!A:B,2,FALSE),"CONTA NAO EXISTE NO PLANO")</f>
        <v/>
      </c>
      <c r="I1653" t="inlineStr">
        <is>
          <t>626</t>
        </is>
      </c>
      <c r="J1653" t="inlineStr">
        <is>
          <t>OK</t>
        </is>
      </c>
      <c r="K1653" t="inlineStr"/>
      <c r="L1653" t="inlineStr"/>
      <c r="M1653" t="inlineStr">
        <is>
          <t>TAR/CUSTAS COBRANÇA</t>
        </is>
      </c>
    </row>
    <row r="1654">
      <c r="A1654" s="11" t="n">
        <v>1653</v>
      </c>
      <c r="B1654" s="11" t="inlineStr">
        <is>
          <t>11/08/2026</t>
        </is>
      </c>
      <c r="C1654" s="11" t="inlineStr">
        <is>
          <t>PIX ENVIADO SCENTEC ESSE</t>
        </is>
      </c>
      <c r="D1654" s="12" t="n">
        <v>-4486.59</v>
      </c>
      <c r="E1654" s="11" t="inlineStr">
        <is>
          <t>(novo)</t>
        </is>
      </c>
      <c r="F1654" s="11" t="inlineStr"/>
      <c r="G1654" s="13" t="inlineStr">
        <is>
          <t>506</t>
        </is>
      </c>
      <c r="H1654" s="11">
        <f>IFERROR(VLOOKUP(G1654&amp;"",PLANO!A:B,2,FALSE),"CONTA NAO EXISTE NO PLANO")</f>
        <v/>
      </c>
      <c r="I1654" s="11" t="inlineStr">
        <is>
          <t>506</t>
        </is>
      </c>
      <c r="J1654" s="11" t="inlineStr">
        <is>
          <t>MANTIDO</t>
        </is>
      </c>
      <c r="K1654" s="11" t="inlineStr">
        <is>
          <t>pagamento sem referencia - tratado como fornecedor (506)</t>
        </is>
      </c>
      <c r="L1654" s="11" t="inlineStr"/>
      <c r="M1654" s="11" t="inlineStr">
        <is>
          <t>PIX ENVIADO SCENTEC ESSE</t>
        </is>
      </c>
    </row>
    <row r="1655">
      <c r="A1655" s="11" t="n">
        <v>1654</v>
      </c>
      <c r="B1655" s="11" t="inlineStr">
        <is>
          <t>11/08/2026</t>
        </is>
      </c>
      <c r="C1655" s="11" t="inlineStr">
        <is>
          <t>BOLETO PAGO EMBACAPS QUI</t>
        </is>
      </c>
      <c r="D1655" s="12" t="n">
        <v>-2078.89</v>
      </c>
      <c r="E1655" s="11" t="inlineStr">
        <is>
          <t>(novo)</t>
        </is>
      </c>
      <c r="F1655" s="11" t="inlineStr"/>
      <c r="G1655" s="13" t="inlineStr">
        <is>
          <t>506</t>
        </is>
      </c>
      <c r="H1655" s="11">
        <f>IFERROR(VLOOKUP(G1655&amp;"",PLANO!A:B,2,FALSE),"CONTA NAO EXISTE NO PLANO")</f>
        <v/>
      </c>
      <c r="I1655" s="11" t="inlineStr">
        <is>
          <t>506</t>
        </is>
      </c>
      <c r="J1655" s="11" t="inlineStr">
        <is>
          <t>MANTIDO</t>
        </is>
      </c>
      <c r="K1655" s="11" t="inlineStr"/>
      <c r="L1655" s="11" t="inlineStr"/>
      <c r="M1655" s="11" t="inlineStr">
        <is>
          <t>EMBACAPS QUIMICA E FARMACEUTICA LTDA PAGAMENTO REFERENTE A COMPRA DE MATERIA PRIMA,BELSIL ADM 10KG, DEHYDOL 12KG ,ALCOOL CETO 1000KG,PLANTAREM 102KG</t>
        </is>
      </c>
    </row>
    <row r="1656">
      <c r="A1656" t="n">
        <v>1655</v>
      </c>
      <c r="B1656" t="inlineStr">
        <is>
          <t>11/08/2026</t>
        </is>
      </c>
      <c r="C1656" t="inlineStr">
        <is>
          <t>BOLETO PAGO EFITRANS TRA</t>
        </is>
      </c>
      <c r="D1656" s="7" t="n">
        <v>-624.92</v>
      </c>
      <c r="E1656" t="inlineStr">
        <is>
          <t>(novo)</t>
        </is>
      </c>
      <c r="F1656" t="inlineStr"/>
      <c r="G1656" s="2" t="inlineStr">
        <is>
          <t>312</t>
        </is>
      </c>
      <c r="H1656">
        <f>IFERROR(VLOOKUP(G1656&amp;"",PLANO!A:B,2,FALSE),"CONTA NAO EXISTE NO PLANO")</f>
        <v/>
      </c>
      <c r="I1656" t="inlineStr">
        <is>
          <t>312</t>
        </is>
      </c>
      <c r="J1656" t="inlineStr">
        <is>
          <t>OK</t>
        </is>
      </c>
      <c r="K1656" t="inlineStr"/>
      <c r="L1656" t="inlineStr"/>
      <c r="M1656" t="inlineStr">
        <is>
          <t>BOLETO PAGO EFITRANS TRA</t>
        </is>
      </c>
    </row>
    <row r="1657">
      <c r="A1657" t="n">
        <v>1656</v>
      </c>
      <c r="B1657" t="inlineStr">
        <is>
          <t>11/08/2026</t>
        </is>
      </c>
      <c r="C1657" t="inlineStr">
        <is>
          <t>BOLETO PAGO QUIMIFORMULA</t>
        </is>
      </c>
      <c r="D1657" s="7" t="n">
        <v>-1014.48</v>
      </c>
      <c r="E1657" t="inlineStr">
        <is>
          <t>(novo)</t>
        </is>
      </c>
      <c r="F1657" t="inlineStr"/>
      <c r="G1657" s="2" t="inlineStr">
        <is>
          <t>506</t>
        </is>
      </c>
      <c r="H1657">
        <f>IFERROR(VLOOKUP(G1657&amp;"",PLANO!A:B,2,FALSE),"CONTA NAO EXISTE NO PLANO")</f>
        <v/>
      </c>
      <c r="I1657" t="inlineStr">
        <is>
          <t>506</t>
        </is>
      </c>
      <c r="J1657" t="inlineStr">
        <is>
          <t>OK</t>
        </is>
      </c>
      <c r="K1657" t="inlineStr"/>
      <c r="L1657" t="inlineStr"/>
      <c r="M1657" t="inlineStr">
        <is>
          <t>BOLETO PAGO QUIMIFORMULA</t>
        </is>
      </c>
    </row>
    <row r="1658">
      <c r="A1658" t="n">
        <v>1657</v>
      </c>
      <c r="B1658" t="inlineStr">
        <is>
          <t>11/08/2026</t>
        </is>
      </c>
      <c r="C1658" t="inlineStr">
        <is>
          <t>BOLETO PAGO QUIMIFORMULA</t>
        </is>
      </c>
      <c r="D1658" s="7" t="n">
        <v>-1089.23</v>
      </c>
      <c r="E1658" t="inlineStr">
        <is>
          <t>(novo)</t>
        </is>
      </c>
      <c r="F1658" t="inlineStr"/>
      <c r="G1658" s="2" t="inlineStr">
        <is>
          <t>506</t>
        </is>
      </c>
      <c r="H1658">
        <f>IFERROR(VLOOKUP(G1658&amp;"",PLANO!A:B,2,FALSE),"CONTA NAO EXISTE NO PLANO")</f>
        <v/>
      </c>
      <c r="I1658" t="inlineStr">
        <is>
          <t>506</t>
        </is>
      </c>
      <c r="J1658" t="inlineStr">
        <is>
          <t>OK</t>
        </is>
      </c>
      <c r="K1658" t="inlineStr"/>
      <c r="L1658" t="inlineStr"/>
      <c r="M1658" t="inlineStr">
        <is>
          <t>BOLETO PAGO QUIMIFORMULA</t>
        </is>
      </c>
    </row>
    <row r="1659">
      <c r="A1659" t="n">
        <v>1658</v>
      </c>
      <c r="B1659" t="inlineStr">
        <is>
          <t>11/08/2026</t>
        </is>
      </c>
      <c r="C1659" t="inlineStr">
        <is>
          <t>PIX TRANSF LEIA SI11/08</t>
        </is>
      </c>
      <c r="D1659" s="7" t="n">
        <v>5490</v>
      </c>
      <c r="E1659" t="inlineStr">
        <is>
          <t>(novo)</t>
        </is>
      </c>
      <c r="F1659" t="inlineStr"/>
      <c r="G1659" s="2" t="inlineStr">
        <is>
          <t>504</t>
        </is>
      </c>
      <c r="H1659">
        <f>IFERROR(VLOOKUP(G1659&amp;"",PLANO!A:B,2,FALSE),"CONTA NAO EXISTE NO PLANO")</f>
        <v/>
      </c>
      <c r="I1659" t="inlineStr">
        <is>
          <t>504</t>
        </is>
      </c>
      <c r="J1659" t="inlineStr">
        <is>
          <t>OK</t>
        </is>
      </c>
      <c r="K1659" t="inlineStr"/>
      <c r="L1659" t="inlineStr"/>
      <c r="M1659" t="inlineStr">
        <is>
          <t>PIX TRANSF LEIA SI11/08</t>
        </is>
      </c>
    </row>
    <row r="1660">
      <c r="A1660" t="n">
        <v>1659</v>
      </c>
      <c r="B1660" t="inlineStr">
        <is>
          <t>11/08/2026</t>
        </is>
      </c>
      <c r="C1660" t="inlineStr">
        <is>
          <t>Rend Pago Aplic Aut Mais</t>
        </is>
      </c>
      <c r="D1660" s="7" t="n">
        <v>0.02</v>
      </c>
      <c r="E1660" t="inlineStr">
        <is>
          <t>(novo)</t>
        </is>
      </c>
      <c r="F1660" t="inlineStr"/>
      <c r="G1660" s="2" t="inlineStr">
        <is>
          <t>432</t>
        </is>
      </c>
      <c r="H1660">
        <f>IFERROR(VLOOKUP(G1660&amp;"",PLANO!A:B,2,FALSE),"CONTA NAO EXISTE NO PLANO")</f>
        <v/>
      </c>
      <c r="I1660" t="inlineStr">
        <is>
          <t>432</t>
        </is>
      </c>
      <c r="J1660" t="inlineStr">
        <is>
          <t>OK</t>
        </is>
      </c>
      <c r="K1660" t="inlineStr"/>
      <c r="L1660" t="inlineStr"/>
      <c r="M1660" t="inlineStr">
        <is>
          <t>RENDIMENTO APLICACAO AUTOMATICA ITAU</t>
        </is>
      </c>
    </row>
    <row r="1661">
      <c r="A1661" t="n">
        <v>1660</v>
      </c>
      <c r="B1661" t="inlineStr">
        <is>
          <t>12/08/2026</t>
        </is>
      </c>
      <c r="C1661" t="inlineStr">
        <is>
          <t>PIX ENVIADO BARENTZ BRAS</t>
        </is>
      </c>
      <c r="D1661" s="7" t="n">
        <v>-6081.9</v>
      </c>
      <c r="E1661" t="inlineStr">
        <is>
          <t>(novo)</t>
        </is>
      </c>
      <c r="F1661" t="inlineStr"/>
      <c r="G1661" s="2" t="inlineStr">
        <is>
          <t>506</t>
        </is>
      </c>
      <c r="H1661">
        <f>IFERROR(VLOOKUP(G1661&amp;"",PLANO!A:B,2,FALSE),"CONTA NAO EXISTE NO PLANO")</f>
        <v/>
      </c>
      <c r="I1661" t="inlineStr">
        <is>
          <t>506</t>
        </is>
      </c>
      <c r="J1661" t="inlineStr">
        <is>
          <t>OK</t>
        </is>
      </c>
      <c r="K1661" t="inlineStr"/>
      <c r="L1661" t="inlineStr"/>
      <c r="M1661" t="inlineStr">
        <is>
          <t>PIX ENVIADO BARENTZ BRAS</t>
        </is>
      </c>
    </row>
    <row r="1662">
      <c r="A1662" t="n">
        <v>1661</v>
      </c>
      <c r="B1662" t="inlineStr">
        <is>
          <t>12/08/2026</t>
        </is>
      </c>
      <c r="C1662" t="inlineStr">
        <is>
          <t>TED 448.0000FIDC OS RL</t>
        </is>
      </c>
      <c r="D1662" s="7" t="n">
        <v>5642.64</v>
      </c>
      <c r="E1662" t="inlineStr">
        <is>
          <t>(novo)</t>
        </is>
      </c>
      <c r="F1662" t="inlineStr"/>
      <c r="G1662" s="2" t="inlineStr">
        <is>
          <t>504</t>
        </is>
      </c>
      <c r="H1662">
        <f>IFERROR(VLOOKUP(G1662&amp;"",PLANO!A:B,2,FALSE),"CONTA NAO EXISTE NO PLANO")</f>
        <v/>
      </c>
      <c r="I1662" t="inlineStr">
        <is>
          <t>504</t>
        </is>
      </c>
      <c r="J1662" t="inlineStr">
        <is>
          <t>OK</t>
        </is>
      </c>
      <c r="K1662" t="inlineStr"/>
      <c r="L1662" t="inlineStr"/>
      <c r="M1662" t="inlineStr">
        <is>
          <t>TED 448.0000FIDC OS RL</t>
        </is>
      </c>
    </row>
    <row r="1663">
      <c r="A1663" t="n">
        <v>1662</v>
      </c>
      <c r="B1663" t="inlineStr">
        <is>
          <t>12/08/2026</t>
        </is>
      </c>
      <c r="C1663" t="inlineStr">
        <is>
          <t>Mov Tít Cob Disp 12/08S</t>
        </is>
      </c>
      <c r="D1663" s="7" t="n">
        <v>2131.46</v>
      </c>
      <c r="E1663" t="inlineStr">
        <is>
          <t>(novo)</t>
        </is>
      </c>
      <c r="F1663" t="inlineStr"/>
      <c r="G1663" s="2" t="inlineStr">
        <is>
          <t>504</t>
        </is>
      </c>
      <c r="H1663">
        <f>IFERROR(VLOOKUP(G1663&amp;"",PLANO!A:B,2,FALSE),"CONTA NAO EXISTE NO PLANO")</f>
        <v/>
      </c>
      <c r="I1663" t="inlineStr">
        <is>
          <t>504</t>
        </is>
      </c>
      <c r="J1663" t="inlineStr">
        <is>
          <t>OK</t>
        </is>
      </c>
      <c r="K1663" t="inlineStr"/>
      <c r="L1663" t="inlineStr"/>
      <c r="M1663" t="inlineStr">
        <is>
          <t>MOV TÍT COB DISP 12/08S</t>
        </is>
      </c>
    </row>
    <row r="1664">
      <c r="A1664" t="n">
        <v>1663</v>
      </c>
      <c r="B1664" t="inlineStr">
        <is>
          <t>12/08/2026</t>
        </is>
      </c>
      <c r="C1664" t="inlineStr">
        <is>
          <t>PIX TRANSF Tivolli12/08</t>
        </is>
      </c>
      <c r="D1664" s="7" t="n">
        <v>1227.03</v>
      </c>
      <c r="E1664" t="inlineStr">
        <is>
          <t>(novo)</t>
        </is>
      </c>
      <c r="F1664" t="inlineStr"/>
      <c r="G1664" s="2" t="inlineStr">
        <is>
          <t>504</t>
        </is>
      </c>
      <c r="H1664">
        <f>IFERROR(VLOOKUP(G1664&amp;"",PLANO!A:B,2,FALSE),"CONTA NAO EXISTE NO PLANO")</f>
        <v/>
      </c>
      <c r="I1664" t="inlineStr">
        <is>
          <t>504</t>
        </is>
      </c>
      <c r="J1664" t="inlineStr">
        <is>
          <t>OK</t>
        </is>
      </c>
      <c r="K1664" t="inlineStr"/>
      <c r="L1664" t="inlineStr"/>
      <c r="M1664" t="inlineStr">
        <is>
          <t>PIX TRANSF TIVOLLI12/08</t>
        </is>
      </c>
    </row>
    <row r="1665">
      <c r="A1665" t="n">
        <v>1664</v>
      </c>
      <c r="B1665" t="inlineStr">
        <is>
          <t>13/08/2026</t>
        </is>
      </c>
      <c r="C1665" t="inlineStr">
        <is>
          <t>Sispag CONCESSIONARIA</t>
        </is>
      </c>
      <c r="D1665" s="7" t="n">
        <v>-4126.66</v>
      </c>
      <c r="E1665" t="inlineStr">
        <is>
          <t>(novo)</t>
        </is>
      </c>
      <c r="F1665" t="inlineStr"/>
      <c r="G1665" s="2" t="inlineStr">
        <is>
          <t>354</t>
        </is>
      </c>
      <c r="H1665">
        <f>IFERROR(VLOOKUP(G1665&amp;"",PLANO!A:B,2,FALSE),"CONTA NAO EXISTE NO PLANO")</f>
        <v/>
      </c>
      <c r="I1665" t="inlineStr">
        <is>
          <t>354</t>
        </is>
      </c>
      <c r="J1665" t="inlineStr">
        <is>
          <t>OK</t>
        </is>
      </c>
      <c r="K1665" t="inlineStr"/>
      <c r="L1665" t="inlineStr"/>
      <c r="M1665" t="inlineStr">
        <is>
          <t>SISPAG CONCESSIONARIA</t>
        </is>
      </c>
    </row>
    <row r="1666">
      <c r="A1666" t="n">
        <v>1665</v>
      </c>
      <c r="B1666" t="inlineStr">
        <is>
          <t>13/08/2026</t>
        </is>
      </c>
      <c r="C1666" t="inlineStr">
        <is>
          <t>PIX ENVIADO HIGH CHEM CO</t>
        </is>
      </c>
      <c r="D1666" s="7" t="n">
        <v>-23.25</v>
      </c>
      <c r="E1666" t="inlineStr">
        <is>
          <t>(novo)</t>
        </is>
      </c>
      <c r="F1666" t="inlineStr"/>
      <c r="G1666" s="2" t="inlineStr">
        <is>
          <t>506</t>
        </is>
      </c>
      <c r="H1666">
        <f>IFERROR(VLOOKUP(G1666&amp;"",PLANO!A:B,2,FALSE),"CONTA NAO EXISTE NO PLANO")</f>
        <v/>
      </c>
      <c r="I1666" t="inlineStr">
        <is>
          <t>506</t>
        </is>
      </c>
      <c r="J1666" t="inlineStr">
        <is>
          <t>OK</t>
        </is>
      </c>
      <c r="K1666" t="inlineStr"/>
      <c r="L1666" t="inlineStr"/>
      <c r="M1666" t="inlineStr">
        <is>
          <t>PIX ENVIADO HIGH CHEM CO</t>
        </is>
      </c>
    </row>
    <row r="1667">
      <c r="A1667" t="n">
        <v>1666</v>
      </c>
      <c r="B1667" t="inlineStr">
        <is>
          <t>13/08/2026</t>
        </is>
      </c>
      <c r="C1667" t="inlineStr">
        <is>
          <t>PIX ENVIADO PIZZA PACK C</t>
        </is>
      </c>
      <c r="D1667" s="7" t="n">
        <v>-4992.27</v>
      </c>
      <c r="E1667" t="inlineStr">
        <is>
          <t>(novo)</t>
        </is>
      </c>
      <c r="F1667" t="inlineStr"/>
      <c r="G1667" s="2" t="inlineStr">
        <is>
          <t>493</t>
        </is>
      </c>
      <c r="H1667">
        <f>IFERROR(VLOOKUP(G1667&amp;"",PLANO!A:B,2,FALSE),"CONTA NAO EXISTE NO PLANO")</f>
        <v/>
      </c>
      <c r="I1667" t="inlineStr">
        <is>
          <t>493</t>
        </is>
      </c>
      <c r="J1667" t="inlineStr">
        <is>
          <t>OK</t>
        </is>
      </c>
      <c r="K1667" t="inlineStr"/>
      <c r="L1667" t="inlineStr"/>
      <c r="M1667" t="inlineStr">
        <is>
          <t>PIX ENVIADO PIZZA PACK C</t>
        </is>
      </c>
    </row>
    <row r="1668">
      <c r="A1668" t="n">
        <v>1667</v>
      </c>
      <c r="B1668" t="inlineStr">
        <is>
          <t>13/08/2026</t>
        </is>
      </c>
      <c r="C1668" t="inlineStr">
        <is>
          <t>Sispag A F VOLCAO</t>
        </is>
      </c>
      <c r="D1668" s="7" t="n">
        <v>853.2</v>
      </c>
      <c r="E1668" t="inlineStr">
        <is>
          <t>(novo)</t>
        </is>
      </c>
      <c r="F1668" t="inlineStr"/>
      <c r="G1668" s="2" t="inlineStr">
        <is>
          <t>504</t>
        </is>
      </c>
      <c r="H1668">
        <f>IFERROR(VLOOKUP(G1668&amp;"",PLANO!A:B,2,FALSE),"CONTA NAO EXISTE NO PLANO")</f>
        <v/>
      </c>
      <c r="I1668" t="inlineStr">
        <is>
          <t>504</t>
        </is>
      </c>
      <c r="J1668" t="inlineStr">
        <is>
          <t>OK</t>
        </is>
      </c>
      <c r="K1668" t="inlineStr"/>
      <c r="L1668" t="inlineStr"/>
      <c r="M1668" t="inlineStr">
        <is>
          <t>SISPAG A F VOLCAO</t>
        </is>
      </c>
    </row>
    <row r="1669">
      <c r="A1669" t="n">
        <v>1668</v>
      </c>
      <c r="B1669" t="inlineStr">
        <is>
          <t>13/08/2026</t>
        </is>
      </c>
      <c r="C1669" t="inlineStr">
        <is>
          <t>Mov Tít Cob Disp 13/08S</t>
        </is>
      </c>
      <c r="D1669" s="7" t="n">
        <v>9726.120000000001</v>
      </c>
      <c r="E1669" t="inlineStr">
        <is>
          <t>(novo)</t>
        </is>
      </c>
      <c r="F1669" t="inlineStr"/>
      <c r="G1669" s="2" t="inlineStr">
        <is>
          <t>504</t>
        </is>
      </c>
      <c r="H1669">
        <f>IFERROR(VLOOKUP(G1669&amp;"",PLANO!A:B,2,FALSE),"CONTA NAO EXISTE NO PLANO")</f>
        <v/>
      </c>
      <c r="I1669" t="inlineStr">
        <is>
          <t>504</t>
        </is>
      </c>
      <c r="J1669" t="inlineStr">
        <is>
          <t>OK</t>
        </is>
      </c>
      <c r="K1669" t="inlineStr"/>
      <c r="L1669" t="inlineStr"/>
      <c r="M1669" t="inlineStr">
        <is>
          <t>MOV TÍT COB DISP 13/08S</t>
        </is>
      </c>
    </row>
    <row r="1670">
      <c r="A1670" t="n">
        <v>1669</v>
      </c>
      <c r="B1670" t="inlineStr">
        <is>
          <t>13/08/2026</t>
        </is>
      </c>
      <c r="C1670" t="inlineStr">
        <is>
          <t>TED 363.0001.RNX F M D R</t>
        </is>
      </c>
      <c r="D1670" s="7" t="n">
        <v>3053.7</v>
      </c>
      <c r="E1670" t="inlineStr">
        <is>
          <t>(novo)</t>
        </is>
      </c>
      <c r="F1670" t="inlineStr"/>
      <c r="G1670" s="2" t="inlineStr">
        <is>
          <t>504</t>
        </is>
      </c>
      <c r="H1670">
        <f>IFERROR(VLOOKUP(G1670&amp;"",PLANO!A:B,2,FALSE),"CONTA NAO EXISTE NO PLANO")</f>
        <v/>
      </c>
      <c r="I1670" t="inlineStr">
        <is>
          <t>504</t>
        </is>
      </c>
      <c r="J1670" t="inlineStr">
        <is>
          <t>OK</t>
        </is>
      </c>
      <c r="K1670" t="inlineStr"/>
      <c r="L1670" t="inlineStr"/>
      <c r="M1670" t="inlineStr">
        <is>
          <t>TED 363.0001.RNX F M D R</t>
        </is>
      </c>
    </row>
    <row r="1671">
      <c r="A1671" s="4" t="n">
        <v>1670</v>
      </c>
      <c r="B1671" s="4" t="inlineStr">
        <is>
          <t>14/08/2026</t>
        </is>
      </c>
      <c r="C1671" s="4" t="inlineStr">
        <is>
          <t>PIX ENVIADO FIQUE BEM CO</t>
        </is>
      </c>
      <c r="D1671" s="5" t="n">
        <v>-5000</v>
      </c>
      <c r="E1671" s="4" t="inlineStr">
        <is>
          <t>(novo)</t>
        </is>
      </c>
      <c r="F1671" s="4" t="inlineStr"/>
      <c r="G1671" s="6" t="inlineStr">
        <is>
          <t>366</t>
        </is>
      </c>
      <c r="H1671" s="4">
        <f>IFERROR(VLOOKUP(G1671&amp;"",PLANO!A:B,2,FALSE),"CONTA NAO EXISTE NO PLANO")</f>
        <v/>
      </c>
      <c r="I1671" s="4" t="inlineStr">
        <is>
          <t>672</t>
        </is>
      </c>
      <c r="J1671" s="4" t="inlineStr">
        <is>
          <t>AJUSTADO</t>
        </is>
      </c>
      <c r="K1671" s="4" t="inlineStr">
        <is>
          <t>GULA/FIQUE BEM (mesmo CNPJ, empresa do grupo) - mutuo em EMPRESTIMOS A TERCEIROS (366); nao e fornecedor</t>
        </is>
      </c>
      <c r="L1671" s="4" t="inlineStr"/>
      <c r="M1671" s="4" t="inlineStr">
        <is>
          <t>PIX ENVIADO FIQUE BEM CO</t>
        </is>
      </c>
    </row>
    <row r="1672">
      <c r="A1672" s="14" t="n">
        <v>1671</v>
      </c>
      <c r="B1672" s="14" t="inlineStr">
        <is>
          <t>14/08/2026</t>
        </is>
      </c>
      <c r="C1672" s="14" t="inlineStr">
        <is>
          <t>BOLETO PAGO URBANO SA SO</t>
        </is>
      </c>
      <c r="D1672" s="15" t="n">
        <v>-846.83</v>
      </c>
      <c r="E1672" s="14" t="inlineStr">
        <is>
          <t>(novo)</t>
        </is>
      </c>
      <c r="F1672" s="14" t="inlineStr"/>
      <c r="G1672" s="16" t="inlineStr">
        <is>
          <t>312</t>
        </is>
      </c>
      <c r="H1672" s="14">
        <f>IFERROR(VLOOKUP(G1672&amp;"",PLANO!A:B,2,FALSE),"CONTA NAO EXISTE NO PLANO")</f>
        <v/>
      </c>
      <c r="I1672" s="14" t="inlineStr">
        <is>
          <t>312</t>
        </is>
      </c>
      <c r="J1672" s="14" t="inlineStr">
        <is>
          <t>CORRIGIDO</t>
        </is>
      </c>
      <c r="K1672" s="14" t="inlineStr">
        <is>
          <t>retificado 350-&gt;312: Braspress via Urbano = frete s/ vendas (Cosmos)</t>
        </is>
      </c>
      <c r="L1672" s="14" t="inlineStr"/>
      <c r="M1672" s="14" t="inlineStr">
        <is>
          <t>BOLETO PAGO URBANO SA SO</t>
        </is>
      </c>
    </row>
    <row r="1673">
      <c r="A1673" s="14" t="n">
        <v>1672</v>
      </c>
      <c r="B1673" s="14" t="inlineStr">
        <is>
          <t>14/08/2026</t>
        </is>
      </c>
      <c r="C1673" s="14" t="inlineStr">
        <is>
          <t>BOLETO PAGO URBANO SA SO</t>
        </is>
      </c>
      <c r="D1673" s="15" t="n">
        <v>-271.95</v>
      </c>
      <c r="E1673" s="14" t="inlineStr">
        <is>
          <t>(novo)</t>
        </is>
      </c>
      <c r="F1673" s="14" t="inlineStr"/>
      <c r="G1673" s="16" t="inlineStr">
        <is>
          <t>312</t>
        </is>
      </c>
      <c r="H1673" s="14">
        <f>IFERROR(VLOOKUP(G1673&amp;"",PLANO!A:B,2,FALSE),"CONTA NAO EXISTE NO PLANO")</f>
        <v/>
      </c>
      <c r="I1673" s="14" t="inlineStr">
        <is>
          <t>312</t>
        </is>
      </c>
      <c r="J1673" s="14" t="inlineStr">
        <is>
          <t>CORRIGIDO</t>
        </is>
      </c>
      <c r="K1673" s="14" t="inlineStr">
        <is>
          <t>retificado 350-&gt;312: Braspress via Urbano = frete s/ vendas (Cosmos)</t>
        </is>
      </c>
      <c r="L1673" s="14" t="inlineStr"/>
      <c r="M1673" s="14" t="inlineStr">
        <is>
          <t>BOLETO PAGO URBANO SA SO</t>
        </is>
      </c>
    </row>
    <row r="1674">
      <c r="A1674" t="n">
        <v>1673</v>
      </c>
      <c r="B1674" t="inlineStr">
        <is>
          <t>14/08/2026</t>
        </is>
      </c>
      <c r="C1674" t="inlineStr">
        <is>
          <t>BOLETO PAGO TRANS TOMAZ</t>
        </is>
      </c>
      <c r="D1674" s="7" t="n">
        <v>-581.08</v>
      </c>
      <c r="E1674" t="inlineStr">
        <is>
          <t>(novo)</t>
        </is>
      </c>
      <c r="F1674" t="inlineStr"/>
      <c r="G1674" s="2" t="inlineStr">
        <is>
          <t>312</t>
        </is>
      </c>
      <c r="H1674">
        <f>IFERROR(VLOOKUP(G1674&amp;"",PLANO!A:B,2,FALSE),"CONTA NAO EXISTE NO PLANO")</f>
        <v/>
      </c>
      <c r="I1674" t="inlineStr">
        <is>
          <t>312</t>
        </is>
      </c>
      <c r="J1674" t="inlineStr">
        <is>
          <t>OK</t>
        </is>
      </c>
      <c r="K1674" t="inlineStr"/>
      <c r="L1674" t="inlineStr"/>
      <c r="M1674" t="inlineStr">
        <is>
          <t>BOLETO PAGO TRANS TOMAZ</t>
        </is>
      </c>
    </row>
    <row r="1675">
      <c r="A1675" t="n">
        <v>1674</v>
      </c>
      <c r="B1675" t="inlineStr">
        <is>
          <t>14/08/2026</t>
        </is>
      </c>
      <c r="C1675" t="inlineStr">
        <is>
          <t>BOLETO PAGO ALLOXY ESPEC</t>
        </is>
      </c>
      <c r="D1675" s="7" t="n">
        <v>-2796.75</v>
      </c>
      <c r="E1675" t="inlineStr">
        <is>
          <t>(novo)</t>
        </is>
      </c>
      <c r="F1675" t="inlineStr"/>
      <c r="G1675" s="2" t="inlineStr">
        <is>
          <t>56</t>
        </is>
      </c>
      <c r="H1675">
        <f>IFERROR(VLOOKUP(G1675&amp;"",PLANO!A:B,2,FALSE),"CONTA NAO EXISTE NO PLANO")</f>
        <v/>
      </c>
      <c r="I1675" t="inlineStr">
        <is>
          <t>56</t>
        </is>
      </c>
      <c r="J1675" t="inlineStr">
        <is>
          <t>OK</t>
        </is>
      </c>
      <c r="K1675" t="inlineStr"/>
      <c r="L1675" t="inlineStr"/>
      <c r="M1675" t="inlineStr">
        <is>
          <t>ALLOXY ESPECIALIDADES QUIMICAS LTDAPGTO REF. A COMPRA DE MATERIA PRIMA, PEROXIDO DEHIDROGENIO</t>
        </is>
      </c>
    </row>
    <row r="1676">
      <c r="A1676" t="n">
        <v>1675</v>
      </c>
      <c r="B1676" t="inlineStr">
        <is>
          <t>14/08/2026</t>
        </is>
      </c>
      <c r="C1676" t="inlineStr">
        <is>
          <t>BOLETO PAGO SINDICATO DO</t>
        </is>
      </c>
      <c r="D1676" s="7" t="n">
        <v>-209</v>
      </c>
      <c r="E1676" t="inlineStr">
        <is>
          <t>(novo)</t>
        </is>
      </c>
      <c r="F1676" t="inlineStr"/>
      <c r="G1676" s="2" t="inlineStr">
        <is>
          <t>350</t>
        </is>
      </c>
      <c r="H1676">
        <f>IFERROR(VLOOKUP(G1676&amp;"",PLANO!A:B,2,FALSE),"CONTA NAO EXISTE NO PLANO")</f>
        <v/>
      </c>
      <c r="I1676" t="inlineStr">
        <is>
          <t>350</t>
        </is>
      </c>
      <c r="J1676" t="inlineStr">
        <is>
          <t>OK</t>
        </is>
      </c>
      <c r="K1676" t="inlineStr"/>
      <c r="L1676" t="inlineStr"/>
      <c r="M1676" t="inlineStr">
        <is>
          <t>BOLETO PAGO SINDICATO DO</t>
        </is>
      </c>
    </row>
    <row r="1677">
      <c r="A1677" s="11" t="n">
        <v>1676</v>
      </c>
      <c r="B1677" s="11" t="inlineStr">
        <is>
          <t>14/08/2026</t>
        </is>
      </c>
      <c r="C1677" s="11" t="inlineStr">
        <is>
          <t>BOLETO PAGO EMBACAPS QUI</t>
        </is>
      </c>
      <c r="D1677" s="12" t="n">
        <v>-2059.65</v>
      </c>
      <c r="E1677" s="11" t="inlineStr">
        <is>
          <t>(novo)</t>
        </is>
      </c>
      <c r="F1677" s="11" t="inlineStr"/>
      <c r="G1677" s="13" t="inlineStr">
        <is>
          <t>506</t>
        </is>
      </c>
      <c r="H1677" s="11">
        <f>IFERROR(VLOOKUP(G1677&amp;"",PLANO!A:B,2,FALSE),"CONTA NAO EXISTE NO PLANO")</f>
        <v/>
      </c>
      <c r="I1677" s="11" t="inlineStr">
        <is>
          <t>506</t>
        </is>
      </c>
      <c r="J1677" s="11" t="inlineStr">
        <is>
          <t>MANTIDO</t>
        </is>
      </c>
      <c r="K1677" s="11" t="inlineStr"/>
      <c r="L1677" s="11" t="inlineStr"/>
      <c r="M1677" s="11" t="inlineStr">
        <is>
          <t>EMBACAPS QUIMICA E FARMACEUTICA LTDA PAGAMENTO REFERENTE A COMPRA DE MATERIA PRIMA,BELSIL ADM 10KG, DEHYDOL 12KG ,ALCOOL CETO 1000KG,PLANTAREM 102KG</t>
        </is>
      </c>
    </row>
    <row r="1678">
      <c r="A1678" t="n">
        <v>1677</v>
      </c>
      <c r="B1678" t="inlineStr">
        <is>
          <t>14/08/2026</t>
        </is>
      </c>
      <c r="C1678" t="inlineStr">
        <is>
          <t>Mov Tít Cob Disp 14/08S</t>
        </is>
      </c>
      <c r="D1678" s="7" t="n">
        <v>756.98</v>
      </c>
      <c r="E1678" t="inlineStr">
        <is>
          <t>(novo)</t>
        </is>
      </c>
      <c r="F1678" t="inlineStr"/>
      <c r="G1678" s="2" t="inlineStr">
        <is>
          <t>504</t>
        </is>
      </c>
      <c r="H1678">
        <f>IFERROR(VLOOKUP(G1678&amp;"",PLANO!A:B,2,FALSE),"CONTA NAO EXISTE NO PLANO")</f>
        <v/>
      </c>
      <c r="I1678" t="inlineStr">
        <is>
          <t>504</t>
        </is>
      </c>
      <c r="J1678" t="inlineStr">
        <is>
          <t>OK</t>
        </is>
      </c>
      <c r="K1678" t="inlineStr"/>
      <c r="L1678" t="inlineStr"/>
      <c r="M1678" t="inlineStr">
        <is>
          <t>MOV TÍT COB DISP 14/08S</t>
        </is>
      </c>
    </row>
    <row r="1679">
      <c r="A1679" t="n">
        <v>1678</v>
      </c>
      <c r="B1679" t="inlineStr">
        <is>
          <t>14/08/2026</t>
        </is>
      </c>
      <c r="C1679" t="inlineStr">
        <is>
          <t>Rend Pago Aplic Aut Mais</t>
        </is>
      </c>
      <c r="D1679" s="7" t="n">
        <v>0.02</v>
      </c>
      <c r="E1679" t="inlineStr">
        <is>
          <t>(novo)</t>
        </is>
      </c>
      <c r="F1679" t="inlineStr"/>
      <c r="G1679" s="2" t="inlineStr">
        <is>
          <t>432</t>
        </is>
      </c>
      <c r="H1679">
        <f>IFERROR(VLOOKUP(G1679&amp;"",PLANO!A:B,2,FALSE),"CONTA NAO EXISTE NO PLANO")</f>
        <v/>
      </c>
      <c r="I1679" t="inlineStr">
        <is>
          <t>432</t>
        </is>
      </c>
      <c r="J1679" t="inlineStr">
        <is>
          <t>OK</t>
        </is>
      </c>
      <c r="K1679" t="inlineStr"/>
      <c r="L1679" t="inlineStr"/>
      <c r="M1679" t="inlineStr">
        <is>
          <t>RENDIMENTO APLICACAO AUTOMATICA ITAU</t>
        </is>
      </c>
    </row>
    <row r="1680">
      <c r="A1680" t="n">
        <v>1679</v>
      </c>
      <c r="B1680" t="inlineStr">
        <is>
          <t>17/08/2026</t>
        </is>
      </c>
      <c r="C1680" t="inlineStr">
        <is>
          <t>Sispag CONCESSIONARIA</t>
        </is>
      </c>
      <c r="D1680" s="7" t="n">
        <v>-1375.34</v>
      </c>
      <c r="E1680" t="inlineStr">
        <is>
          <t>(novo)</t>
        </is>
      </c>
      <c r="F1680" t="inlineStr"/>
      <c r="G1680" s="2" t="inlineStr">
        <is>
          <t>354</t>
        </is>
      </c>
      <c r="H1680">
        <f>IFERROR(VLOOKUP(G1680&amp;"",PLANO!A:B,2,FALSE),"CONTA NAO EXISTE NO PLANO")</f>
        <v/>
      </c>
      <c r="I1680" t="inlineStr">
        <is>
          <t>354</t>
        </is>
      </c>
      <c r="J1680" t="inlineStr">
        <is>
          <t>OK</t>
        </is>
      </c>
      <c r="K1680" t="inlineStr"/>
      <c r="L1680" t="inlineStr"/>
      <c r="M1680" t="inlineStr">
        <is>
          <t>SISPAG CONCESSIONARIA</t>
        </is>
      </c>
    </row>
    <row r="1681">
      <c r="A1681" t="n">
        <v>1680</v>
      </c>
      <c r="B1681" t="inlineStr">
        <is>
          <t>17/08/2026</t>
        </is>
      </c>
      <c r="C1681" t="inlineStr">
        <is>
          <t>Sispag PIX QR-CODE</t>
        </is>
      </c>
      <c r="D1681" s="7" t="n">
        <v>-39.9</v>
      </c>
      <c r="E1681" t="inlineStr">
        <is>
          <t>(novo)</t>
        </is>
      </c>
      <c r="F1681" t="inlineStr"/>
      <c r="G1681" s="2" t="inlineStr">
        <is>
          <t>555</t>
        </is>
      </c>
      <c r="H1681">
        <f>IFERROR(VLOOKUP(G1681&amp;"",PLANO!A:B,2,FALSE),"CONTA NAO EXISTE NO PLANO")</f>
        <v/>
      </c>
      <c r="I1681" t="inlineStr">
        <is>
          <t>555</t>
        </is>
      </c>
      <c r="J1681" t="inlineStr">
        <is>
          <t>OK</t>
        </is>
      </c>
      <c r="K1681" t="inlineStr"/>
      <c r="L1681" t="inlineStr"/>
      <c r="M1681" t="inlineStr">
        <is>
          <t>SISPAG PIX QR-CODE</t>
        </is>
      </c>
    </row>
    <row r="1682">
      <c r="A1682" t="n">
        <v>1681</v>
      </c>
      <c r="B1682" t="inlineStr">
        <is>
          <t>17/08/2026</t>
        </is>
      </c>
      <c r="C1682" t="inlineStr">
        <is>
          <t>PIX ENVIADO ISAIAS PREST</t>
        </is>
      </c>
      <c r="D1682" s="7" t="n">
        <v>-1000</v>
      </c>
      <c r="E1682" t="inlineStr">
        <is>
          <t>(novo)</t>
        </is>
      </c>
      <c r="F1682" t="inlineStr"/>
      <c r="G1682" s="2" t="inlineStr">
        <is>
          <t>506</t>
        </is>
      </c>
      <c r="H1682">
        <f>IFERROR(VLOOKUP(G1682&amp;"",PLANO!A:B,2,FALSE),"CONTA NAO EXISTE NO PLANO")</f>
        <v/>
      </c>
      <c r="I1682" t="inlineStr">
        <is>
          <t>506</t>
        </is>
      </c>
      <c r="J1682" t="inlineStr">
        <is>
          <t>OK</t>
        </is>
      </c>
      <c r="K1682" t="inlineStr"/>
      <c r="L1682" t="inlineStr"/>
      <c r="M1682" t="inlineStr">
        <is>
          <t>PIX ENVIADO ISAIAS PREST</t>
        </is>
      </c>
    </row>
    <row r="1683">
      <c r="A1683" t="n">
        <v>1682</v>
      </c>
      <c r="B1683" t="inlineStr">
        <is>
          <t>17/08/2026</t>
        </is>
      </c>
      <c r="C1683" t="inlineStr">
        <is>
          <t>PIX ENVIADO FRANCIS KEIT</t>
        </is>
      </c>
      <c r="D1683" s="7" t="n">
        <v>-1325</v>
      </c>
      <c r="E1683" t="inlineStr">
        <is>
          <t>(novo)</t>
        </is>
      </c>
      <c r="F1683" t="inlineStr"/>
      <c r="G1683" s="2" t="inlineStr">
        <is>
          <t>506</t>
        </is>
      </c>
      <c r="H1683">
        <f>IFERROR(VLOOKUP(G1683&amp;"",PLANO!A:B,2,FALSE),"CONTA NAO EXISTE NO PLANO")</f>
        <v/>
      </c>
      <c r="I1683" t="inlineStr">
        <is>
          <t>506</t>
        </is>
      </c>
      <c r="J1683" t="inlineStr">
        <is>
          <t>OK</t>
        </is>
      </c>
      <c r="K1683" t="inlineStr"/>
      <c r="L1683" t="inlineStr"/>
      <c r="M1683" t="inlineStr">
        <is>
          <t>PIX ENVIADO FRANCIS KEIT</t>
        </is>
      </c>
    </row>
    <row r="1684">
      <c r="A1684" s="4" t="n">
        <v>1683</v>
      </c>
      <c r="B1684" s="4" t="inlineStr">
        <is>
          <t>17/08/2026</t>
        </is>
      </c>
      <c r="C1684" s="4" t="inlineStr">
        <is>
          <t>PIX ENVIADO LUIZ HENRIQU</t>
        </is>
      </c>
      <c r="D1684" s="5" t="n">
        <v>-1500</v>
      </c>
      <c r="E1684" s="4" t="inlineStr">
        <is>
          <t>(novo)</t>
        </is>
      </c>
      <c r="F1684" s="4" t="inlineStr"/>
      <c r="G1684" s="6" t="inlineStr">
        <is>
          <t>362</t>
        </is>
      </c>
      <c r="H1684" s="4">
        <f>IFERROR(VLOOKUP(G1684&amp;"",PLANO!A:B,2,FALSE),"CONTA NAO EXISTE NO PLANO")</f>
        <v/>
      </c>
      <c r="I1684" s="4" t="inlineStr">
        <is>
          <t>362</t>
        </is>
      </c>
      <c r="J1684" s="4" t="inlineStr">
        <is>
          <t>AJUSTADO</t>
        </is>
      </c>
      <c r="K1684" s="4" t="inlineStr">
        <is>
          <t>pessoa fisica - servicos</t>
        </is>
      </c>
      <c r="L1684" s="4" t="inlineStr"/>
      <c r="M1684" s="4" t="inlineStr">
        <is>
          <t>PIX ENVIADO LUIZ HENRIQU</t>
        </is>
      </c>
    </row>
    <row r="1685">
      <c r="A1685" t="n">
        <v>1684</v>
      </c>
      <c r="B1685" t="inlineStr">
        <is>
          <t>17/08/2026</t>
        </is>
      </c>
      <c r="C1685" t="inlineStr">
        <is>
          <t>PIX ENVIADO CLAUDIA APAR</t>
        </is>
      </c>
      <c r="D1685" s="7" t="n">
        <v>-2500</v>
      </c>
      <c r="E1685" t="inlineStr">
        <is>
          <t>(novo)</t>
        </is>
      </c>
      <c r="F1685" t="inlineStr"/>
      <c r="G1685" s="2" t="inlineStr">
        <is>
          <t>362</t>
        </is>
      </c>
      <c r="H1685">
        <f>IFERROR(VLOOKUP(G1685&amp;"",PLANO!A:B,2,FALSE),"CONTA NAO EXISTE NO PLANO")</f>
        <v/>
      </c>
      <c r="I1685" t="inlineStr">
        <is>
          <t>362</t>
        </is>
      </c>
      <c r="J1685" t="inlineStr">
        <is>
          <t>OK</t>
        </is>
      </c>
      <c r="K1685" t="inlineStr"/>
      <c r="L1685" t="inlineStr"/>
      <c r="M1685" t="inlineStr">
        <is>
          <t>PIX ENVIADO CLAUDIA APAR</t>
        </is>
      </c>
    </row>
    <row r="1686">
      <c r="A1686" s="4" t="n">
        <v>1685</v>
      </c>
      <c r="B1686" s="4" t="inlineStr">
        <is>
          <t>17/08/2026</t>
        </is>
      </c>
      <c r="C1686" s="4" t="inlineStr">
        <is>
          <t>PIX ENVIADO BEAUTY FAIR</t>
        </is>
      </c>
      <c r="D1686" s="5" t="n">
        <v>-12755.43</v>
      </c>
      <c r="E1686" s="4" t="inlineStr">
        <is>
          <t>(novo)</t>
        </is>
      </c>
      <c r="F1686" s="4" t="inlineStr"/>
      <c r="G1686" s="6" t="inlineStr">
        <is>
          <t>688</t>
        </is>
      </c>
      <c r="H1686" s="4">
        <f>IFERROR(VLOOKUP(G1686&amp;"",PLANO!A:B,2,FALSE),"CONTA NAO EXISTE NO PLANO")</f>
        <v/>
      </c>
      <c r="I1686" s="4" t="inlineStr">
        <is>
          <t>506</t>
        </is>
      </c>
      <c r="J1686" s="4" t="inlineStr">
        <is>
          <t>AJUSTADO</t>
        </is>
      </c>
      <c r="K1686" s="4" t="inlineStr">
        <is>
          <t>Beauty Fair -&gt; 688 FEIRAS E EVENTOS</t>
        </is>
      </c>
      <c r="L1686" s="4" t="inlineStr"/>
      <c r="M1686" s="4" t="inlineStr">
        <is>
          <t>PIX ENVIADO BEAUTY FAIR</t>
        </is>
      </c>
    </row>
    <row r="1687">
      <c r="A1687" t="n">
        <v>1686</v>
      </c>
      <c r="B1687" t="inlineStr">
        <is>
          <t>17/08/2026</t>
        </is>
      </c>
      <c r="C1687" t="inlineStr">
        <is>
          <t>PIX ENVIADO ISMAEL CORDE</t>
        </is>
      </c>
      <c r="D1687" s="7" t="n">
        <v>-1500</v>
      </c>
      <c r="E1687" t="inlineStr">
        <is>
          <t>(novo)</t>
        </is>
      </c>
      <c r="F1687" t="inlineStr"/>
      <c r="G1687" s="2" t="inlineStr">
        <is>
          <t>362</t>
        </is>
      </c>
      <c r="H1687">
        <f>IFERROR(VLOOKUP(G1687&amp;"",PLANO!A:B,2,FALSE),"CONTA NAO EXISTE NO PLANO")</f>
        <v/>
      </c>
      <c r="I1687" t="inlineStr">
        <is>
          <t>362</t>
        </is>
      </c>
      <c r="J1687" t="inlineStr">
        <is>
          <t>OK</t>
        </is>
      </c>
      <c r="K1687" t="inlineStr"/>
      <c r="L1687" t="inlineStr"/>
      <c r="M1687" t="inlineStr">
        <is>
          <t>PIX ENVIADO ISMAEL CORDE</t>
        </is>
      </c>
    </row>
    <row r="1688">
      <c r="A1688" t="n">
        <v>1687</v>
      </c>
      <c r="B1688" t="inlineStr">
        <is>
          <t>17/08/2026</t>
        </is>
      </c>
      <c r="C1688" t="inlineStr">
        <is>
          <t>BOLETO PAGO TEX COURIER</t>
        </is>
      </c>
      <c r="D1688" s="7" t="n">
        <v>-471.29</v>
      </c>
      <c r="E1688" t="inlineStr">
        <is>
          <t>(novo)</t>
        </is>
      </c>
      <c r="F1688" t="inlineStr"/>
      <c r="G1688" s="2" t="inlineStr">
        <is>
          <t>312</t>
        </is>
      </c>
      <c r="H1688">
        <f>IFERROR(VLOOKUP(G1688&amp;"",PLANO!A:B,2,FALSE),"CONTA NAO EXISTE NO PLANO")</f>
        <v/>
      </c>
      <c r="I1688" t="inlineStr">
        <is>
          <t>312</t>
        </is>
      </c>
      <c r="J1688" t="inlineStr">
        <is>
          <t>OK</t>
        </is>
      </c>
      <c r="K1688" t="inlineStr"/>
      <c r="L1688" t="inlineStr"/>
      <c r="M1688" t="inlineStr">
        <is>
          <t>BOLETO PAGO TEX COURIER</t>
        </is>
      </c>
    </row>
    <row r="1689">
      <c r="A1689" s="11" t="n">
        <v>1688</v>
      </c>
      <c r="B1689" s="11" t="inlineStr">
        <is>
          <t>17/08/2026</t>
        </is>
      </c>
      <c r="C1689" s="11" t="inlineStr">
        <is>
          <t>BOLETO PAGO ECOPLUS LAVA</t>
        </is>
      </c>
      <c r="D1689" s="12" t="n">
        <v>-672</v>
      </c>
      <c r="E1689" s="11" t="inlineStr">
        <is>
          <t>(novo)</t>
        </is>
      </c>
      <c r="F1689" s="11" t="inlineStr"/>
      <c r="G1689" s="13" t="inlineStr">
        <is>
          <t>506</t>
        </is>
      </c>
      <c r="H1689" s="11">
        <f>IFERROR(VLOOKUP(G1689&amp;"",PLANO!A:B,2,FALSE),"CONTA NAO EXISTE NO PLANO")</f>
        <v/>
      </c>
      <c r="I1689" s="11" t="inlineStr">
        <is>
          <t>506</t>
        </is>
      </c>
      <c r="J1689" s="11" t="inlineStr">
        <is>
          <t>MANTIDO</t>
        </is>
      </c>
      <c r="K1689" s="11" t="inlineStr">
        <is>
          <t>pagamento sem referencia - tratado como fornecedor (506)</t>
        </is>
      </c>
      <c r="L1689" s="11" t="inlineStr"/>
      <c r="M1689" s="11" t="inlineStr">
        <is>
          <t>BOLETO PAGO ECOPLUS LAVA</t>
        </is>
      </c>
    </row>
    <row r="1690">
      <c r="A1690" s="11" t="n">
        <v>1689</v>
      </c>
      <c r="B1690" s="11" t="inlineStr">
        <is>
          <t>17/08/2026</t>
        </is>
      </c>
      <c r="C1690" s="11" t="inlineStr">
        <is>
          <t>BOLETO PAGO MELO CRUZ</t>
        </is>
      </c>
      <c r="D1690" s="12" t="n">
        <v>-3422.92</v>
      </c>
      <c r="E1690" s="11" t="inlineStr">
        <is>
          <t>(novo)</t>
        </is>
      </c>
      <c r="F1690" s="11" t="inlineStr"/>
      <c r="G1690" s="13" t="inlineStr">
        <is>
          <t>320</t>
        </is>
      </c>
      <c r="H1690" s="11">
        <f>IFERROR(VLOOKUP(G1690&amp;"",PLANO!A:B,2,FALSE),"CONTA NAO EXISTE NO PLANO")</f>
        <v/>
      </c>
      <c r="I1690" s="11" t="inlineStr">
        <is>
          <t>320</t>
        </is>
      </c>
      <c r="J1690" s="11" t="inlineStr">
        <is>
          <t>MANTIDO</t>
        </is>
      </c>
      <c r="K1690" s="11" t="inlineStr">
        <is>
          <t>MELO &amp; CRUZ - aluguel (razao jan-jun usou 506/362)</t>
        </is>
      </c>
      <c r="L1690" s="11" t="inlineStr"/>
      <c r="M1690" s="11" t="inlineStr">
        <is>
          <t>BOLETO PAGO MELO CRUZ</t>
        </is>
      </c>
    </row>
    <row r="1691">
      <c r="A1691" s="4" t="n">
        <v>1690</v>
      </c>
      <c r="B1691" s="4" t="inlineStr">
        <is>
          <t>17/08/2026</t>
        </is>
      </c>
      <c r="C1691" s="4" t="inlineStr">
        <is>
          <t>BOLETO PAGO CONDOMINIO E</t>
        </is>
      </c>
      <c r="D1691" s="5" t="n">
        <v>-1067.72</v>
      </c>
      <c r="E1691" s="4" t="inlineStr">
        <is>
          <t>(novo)</t>
        </is>
      </c>
      <c r="F1691" s="4" t="inlineStr"/>
      <c r="G1691" s="6" t="inlineStr">
        <is>
          <t>320</t>
        </is>
      </c>
      <c r="H1691" s="4">
        <f>IFERROR(VLOOKUP(G1691&amp;"",PLANO!A:B,2,FALSE),"CONTA NAO EXISTE NO PLANO")</f>
        <v/>
      </c>
      <c r="I1691" s="4" t="inlineStr">
        <is>
          <t>364</t>
        </is>
      </c>
      <c r="J1691" s="4" t="inlineStr">
        <is>
          <t>AJUSTADO</t>
        </is>
      </c>
      <c r="K1691" s="4" t="inlineStr">
        <is>
          <t>condominio do imovel locado = ocupacao (alugueis)</t>
        </is>
      </c>
      <c r="L1691" s="4" t="inlineStr"/>
      <c r="M1691" s="4" t="inlineStr">
        <is>
          <t>BOLETO PAGO CONDOMINIO E</t>
        </is>
      </c>
    </row>
    <row r="1692">
      <c r="A1692" t="n">
        <v>1691</v>
      </c>
      <c r="B1692" t="inlineStr">
        <is>
          <t>17/08/2026</t>
        </is>
      </c>
      <c r="C1692" t="inlineStr">
        <is>
          <t>BOLETO PAGO LIGGA SERVIC</t>
        </is>
      </c>
      <c r="D1692" s="7" t="n">
        <v>-559.92</v>
      </c>
      <c r="E1692" t="inlineStr">
        <is>
          <t>(novo)</t>
        </is>
      </c>
      <c r="F1692" t="inlineStr"/>
      <c r="G1692" s="2" t="inlineStr">
        <is>
          <t>555</t>
        </is>
      </c>
      <c r="H1692">
        <f>IFERROR(VLOOKUP(G1692&amp;"",PLANO!A:B,2,FALSE),"CONTA NAO EXISTE NO PLANO")</f>
        <v/>
      </c>
      <c r="I1692" t="inlineStr">
        <is>
          <t>555</t>
        </is>
      </c>
      <c r="J1692" t="inlineStr">
        <is>
          <t>OK</t>
        </is>
      </c>
      <c r="K1692" t="inlineStr"/>
      <c r="L1692" t="inlineStr"/>
      <c r="M1692" t="inlineStr">
        <is>
          <t>BOLETO PAGO LIGGA SERVIC</t>
        </is>
      </c>
    </row>
    <row r="1693">
      <c r="A1693" t="n">
        <v>1692</v>
      </c>
      <c r="B1693" t="inlineStr">
        <is>
          <t>17/08/2026</t>
        </is>
      </c>
      <c r="C1693" t="inlineStr">
        <is>
          <t>BOLETO PAGO MEDME CONVEN</t>
        </is>
      </c>
      <c r="D1693" s="7" t="n">
        <v>-278.65</v>
      </c>
      <c r="E1693" t="inlineStr">
        <is>
          <t>(novo)</t>
        </is>
      </c>
      <c r="F1693" t="inlineStr"/>
      <c r="G1693" s="2" t="inlineStr">
        <is>
          <t>493</t>
        </is>
      </c>
      <c r="H1693">
        <f>IFERROR(VLOOKUP(G1693&amp;"",PLANO!A:B,2,FALSE),"CONTA NAO EXISTE NO PLANO")</f>
        <v/>
      </c>
      <c r="I1693" t="inlineStr">
        <is>
          <t>493</t>
        </is>
      </c>
      <c r="J1693" t="inlineStr">
        <is>
          <t>OK</t>
        </is>
      </c>
      <c r="K1693" t="inlineStr"/>
      <c r="L1693" t="inlineStr"/>
      <c r="M1693" t="inlineStr">
        <is>
          <t>BOLETO PAGO MEDME CONVEN</t>
        </is>
      </c>
    </row>
    <row r="1694">
      <c r="A1694" t="n">
        <v>1693</v>
      </c>
      <c r="B1694" t="inlineStr">
        <is>
          <t>17/08/2026</t>
        </is>
      </c>
      <c r="C1694" t="inlineStr">
        <is>
          <t>BOLETO PAGO DENTAL UNI -</t>
        </is>
      </c>
      <c r="D1694" s="7" t="n">
        <v>-110.06</v>
      </c>
      <c r="E1694" t="inlineStr">
        <is>
          <t>(novo)</t>
        </is>
      </c>
      <c r="F1694" t="inlineStr"/>
      <c r="G1694" s="2" t="inlineStr">
        <is>
          <t>628</t>
        </is>
      </c>
      <c r="H1694">
        <f>IFERROR(VLOOKUP(G1694&amp;"",PLANO!A:B,2,FALSE),"CONTA NAO EXISTE NO PLANO")</f>
        <v/>
      </c>
      <c r="I1694" t="inlineStr">
        <is>
          <t>628</t>
        </is>
      </c>
      <c r="J1694" t="inlineStr">
        <is>
          <t>OK</t>
        </is>
      </c>
      <c r="K1694" t="inlineStr"/>
      <c r="L1694" t="inlineStr"/>
      <c r="M1694" t="inlineStr">
        <is>
          <t>BOLETO PAGO DENTAL UNI -</t>
        </is>
      </c>
    </row>
    <row r="1695">
      <c r="A1695" t="n">
        <v>1694</v>
      </c>
      <c r="B1695" t="inlineStr">
        <is>
          <t>17/08/2026</t>
        </is>
      </c>
      <c r="C1695" t="inlineStr">
        <is>
          <t>Mov Tít Cob Disp 15/08S</t>
        </is>
      </c>
      <c r="D1695" s="7" t="n">
        <v>2674.53</v>
      </c>
      <c r="E1695" t="inlineStr">
        <is>
          <t>(novo)</t>
        </is>
      </c>
      <c r="F1695" t="inlineStr"/>
      <c r="G1695" s="2" t="inlineStr">
        <is>
          <t>504</t>
        </is>
      </c>
      <c r="H1695">
        <f>IFERROR(VLOOKUP(G1695&amp;"",PLANO!A:B,2,FALSE),"CONTA NAO EXISTE NO PLANO")</f>
        <v/>
      </c>
      <c r="I1695" t="inlineStr">
        <is>
          <t>504</t>
        </is>
      </c>
      <c r="J1695" t="inlineStr">
        <is>
          <t>OK</t>
        </is>
      </c>
      <c r="K1695" t="inlineStr"/>
      <c r="L1695" t="inlineStr"/>
      <c r="M1695" t="inlineStr">
        <is>
          <t>MOV TÍT COB DISP 15/08S</t>
        </is>
      </c>
    </row>
    <row r="1696">
      <c r="A1696" t="n">
        <v>1695</v>
      </c>
      <c r="B1696" t="inlineStr">
        <is>
          <t>17/08/2026</t>
        </is>
      </c>
      <c r="C1696" t="inlineStr">
        <is>
          <t>Mov Tít Cob Disp 17/08S</t>
        </is>
      </c>
      <c r="D1696" s="7" t="n">
        <v>1983.02</v>
      </c>
      <c r="E1696" t="inlineStr">
        <is>
          <t>(novo)</t>
        </is>
      </c>
      <c r="F1696" t="inlineStr"/>
      <c r="G1696" s="2" t="inlineStr">
        <is>
          <t>504</t>
        </is>
      </c>
      <c r="H1696">
        <f>IFERROR(VLOOKUP(G1696&amp;"",PLANO!A:B,2,FALSE),"CONTA NAO EXISTE NO PLANO")</f>
        <v/>
      </c>
      <c r="I1696" t="inlineStr">
        <is>
          <t>504</t>
        </is>
      </c>
      <c r="J1696" t="inlineStr">
        <is>
          <t>OK</t>
        </is>
      </c>
      <c r="K1696" t="inlineStr"/>
      <c r="L1696" t="inlineStr"/>
      <c r="M1696" t="inlineStr">
        <is>
          <t>MOV TÍT COB DISP 17/08S</t>
        </is>
      </c>
    </row>
    <row r="1697">
      <c r="A1697" t="n">
        <v>1696</v>
      </c>
      <c r="B1697" t="inlineStr">
        <is>
          <t>17/08/2026</t>
        </is>
      </c>
      <c r="C1697" t="inlineStr">
        <is>
          <t>TED 448.0000.FIDC O R</t>
        </is>
      </c>
      <c r="D1697" s="7" t="n">
        <v>24792.68</v>
      </c>
      <c r="E1697" t="inlineStr">
        <is>
          <t>(novo)</t>
        </is>
      </c>
      <c r="F1697" t="inlineStr"/>
      <c r="G1697" s="2" t="inlineStr">
        <is>
          <t>504</t>
        </is>
      </c>
      <c r="H1697">
        <f>IFERROR(VLOOKUP(G1697&amp;"",PLANO!A:B,2,FALSE),"CONTA NAO EXISTE NO PLANO")</f>
        <v/>
      </c>
      <c r="I1697" t="inlineStr">
        <is>
          <t>504</t>
        </is>
      </c>
      <c r="J1697" t="inlineStr">
        <is>
          <t>OK</t>
        </is>
      </c>
      <c r="K1697" t="inlineStr"/>
      <c r="L1697" t="inlineStr"/>
      <c r="M1697" t="inlineStr">
        <is>
          <t>TED 448.0000.FIDC O R</t>
        </is>
      </c>
    </row>
    <row r="1698">
      <c r="A1698" t="n">
        <v>1697</v>
      </c>
      <c r="B1698" t="inlineStr">
        <is>
          <t>18/08/2026</t>
        </is>
      </c>
      <c r="C1698" t="inlineStr">
        <is>
          <t>PIX ENVIADO SUMMIT COSME</t>
        </is>
      </c>
      <c r="D1698" s="7" t="n">
        <v>-1522.42</v>
      </c>
      <c r="E1698" t="inlineStr">
        <is>
          <t>(novo)</t>
        </is>
      </c>
      <c r="F1698" t="inlineStr"/>
      <c r="G1698" s="2" t="inlineStr">
        <is>
          <t>506</t>
        </is>
      </c>
      <c r="H1698">
        <f>IFERROR(VLOOKUP(G1698&amp;"",PLANO!A:B,2,FALSE),"CONTA NAO EXISTE NO PLANO")</f>
        <v/>
      </c>
      <c r="I1698" t="inlineStr">
        <is>
          <t>506</t>
        </is>
      </c>
      <c r="J1698" t="inlineStr">
        <is>
          <t>OK</t>
        </is>
      </c>
      <c r="K1698" t="inlineStr"/>
      <c r="L1698" t="inlineStr"/>
      <c r="M1698" t="inlineStr">
        <is>
          <t>PIX ENVIADO SUMMIT COSME</t>
        </is>
      </c>
    </row>
    <row r="1699">
      <c r="A1699" s="4" t="n">
        <v>1698</v>
      </c>
      <c r="B1699" s="4" t="inlineStr">
        <is>
          <t>18/08/2026</t>
        </is>
      </c>
      <c r="C1699" s="4" t="inlineStr">
        <is>
          <t>PIX ENVIADO FIQUE BEM CO</t>
        </is>
      </c>
      <c r="D1699" s="5" t="n">
        <v>-3000</v>
      </c>
      <c r="E1699" s="4" t="inlineStr">
        <is>
          <t>(novo)</t>
        </is>
      </c>
      <c r="F1699" s="4" t="inlineStr"/>
      <c r="G1699" s="6" t="inlineStr">
        <is>
          <t>366</t>
        </is>
      </c>
      <c r="H1699" s="4">
        <f>IFERROR(VLOOKUP(G1699&amp;"",PLANO!A:B,2,FALSE),"CONTA NAO EXISTE NO PLANO")</f>
        <v/>
      </c>
      <c r="I1699" s="4" t="inlineStr">
        <is>
          <t>672</t>
        </is>
      </c>
      <c r="J1699" s="4" t="inlineStr">
        <is>
          <t>AJUSTADO</t>
        </is>
      </c>
      <c r="K1699" s="4" t="inlineStr">
        <is>
          <t>GULA/FIQUE BEM (mesmo CNPJ, empresa do grupo) - mutuo em EMPRESTIMOS A TERCEIROS (366); nao e fornecedor</t>
        </is>
      </c>
      <c r="L1699" s="4" t="inlineStr"/>
      <c r="M1699" s="4" t="inlineStr">
        <is>
          <t>PIX ENVIADO FIQUE BEM CO</t>
        </is>
      </c>
    </row>
    <row r="1700">
      <c r="A1700" s="4" t="n">
        <v>1699</v>
      </c>
      <c r="B1700" s="4" t="inlineStr">
        <is>
          <t>18/08/2026</t>
        </is>
      </c>
      <c r="C1700" s="4" t="inlineStr">
        <is>
          <t>PIX ENVIADO FIQUE BEM CO</t>
        </is>
      </c>
      <c r="D1700" s="5" t="n">
        <v>-6000</v>
      </c>
      <c r="E1700" s="4" t="inlineStr">
        <is>
          <t>(novo)</t>
        </is>
      </c>
      <c r="F1700" s="4" t="inlineStr"/>
      <c r="G1700" s="6" t="inlineStr">
        <is>
          <t>366</t>
        </is>
      </c>
      <c r="H1700" s="4">
        <f>IFERROR(VLOOKUP(G1700&amp;"",PLANO!A:B,2,FALSE),"CONTA NAO EXISTE NO PLANO")</f>
        <v/>
      </c>
      <c r="I1700" s="4" t="inlineStr">
        <is>
          <t>672</t>
        </is>
      </c>
      <c r="J1700" s="4" t="inlineStr">
        <is>
          <t>AJUSTADO</t>
        </is>
      </c>
      <c r="K1700" s="4" t="inlineStr">
        <is>
          <t>GULA/FIQUE BEM (mesmo CNPJ, empresa do grupo) - mutuo em EMPRESTIMOS A TERCEIROS (366); nao e fornecedor</t>
        </is>
      </c>
      <c r="L1700" s="4" t="inlineStr"/>
      <c r="M1700" s="4" t="inlineStr">
        <is>
          <t>PIX ENVIADO FIQUE BEM CO</t>
        </is>
      </c>
    </row>
    <row r="1701">
      <c r="A1701" t="n">
        <v>1700</v>
      </c>
      <c r="B1701" t="inlineStr">
        <is>
          <t>18/08/2026</t>
        </is>
      </c>
      <c r="C1701" t="inlineStr">
        <is>
          <t>BOLETO PAGO EXPRESSO SAO</t>
        </is>
      </c>
      <c r="D1701" s="7" t="n">
        <v>-1648.41</v>
      </c>
      <c r="E1701" t="inlineStr">
        <is>
          <t>(novo)</t>
        </is>
      </c>
      <c r="F1701" t="inlineStr"/>
      <c r="G1701" s="2" t="inlineStr">
        <is>
          <t>312</t>
        </is>
      </c>
      <c r="H1701">
        <f>IFERROR(VLOOKUP(G1701&amp;"",PLANO!A:B,2,FALSE),"CONTA NAO EXISTE NO PLANO")</f>
        <v/>
      </c>
      <c r="I1701" t="inlineStr">
        <is>
          <t>312</t>
        </is>
      </c>
      <c r="J1701" t="inlineStr">
        <is>
          <t>OK</t>
        </is>
      </c>
      <c r="K1701" t="inlineStr"/>
      <c r="L1701" t="inlineStr"/>
      <c r="M1701" t="inlineStr">
        <is>
          <t>BOLETO PAGO EXPRESSO SAO</t>
        </is>
      </c>
    </row>
    <row r="1702">
      <c r="A1702" t="n">
        <v>1701</v>
      </c>
      <c r="B1702" t="inlineStr">
        <is>
          <t>18/08/2026</t>
        </is>
      </c>
      <c r="C1702" t="inlineStr">
        <is>
          <t>BOLETO PAGO QUIMIFORMULA</t>
        </is>
      </c>
      <c r="D1702" s="7" t="n">
        <v>-1014.48</v>
      </c>
      <c r="E1702" t="inlineStr">
        <is>
          <t>(novo)</t>
        </is>
      </c>
      <c r="F1702" t="inlineStr"/>
      <c r="G1702" s="2" t="inlineStr">
        <is>
          <t>506</t>
        </is>
      </c>
      <c r="H1702">
        <f>IFERROR(VLOOKUP(G1702&amp;"",PLANO!A:B,2,FALSE),"CONTA NAO EXISTE NO PLANO")</f>
        <v/>
      </c>
      <c r="I1702" t="inlineStr">
        <is>
          <t>506</t>
        </is>
      </c>
      <c r="J1702" t="inlineStr">
        <is>
          <t>OK</t>
        </is>
      </c>
      <c r="K1702" t="inlineStr"/>
      <c r="L1702" t="inlineStr"/>
      <c r="M1702" t="inlineStr">
        <is>
          <t>BOLETO PAGO QUIMIFORMULA</t>
        </is>
      </c>
    </row>
    <row r="1703">
      <c r="A1703" t="n">
        <v>1702</v>
      </c>
      <c r="B1703" t="inlineStr">
        <is>
          <t>18/08/2026</t>
        </is>
      </c>
      <c r="C1703" t="inlineStr">
        <is>
          <t>BOLETO PAGO TECNOPONTO T</t>
        </is>
      </c>
      <c r="D1703" s="7" t="n">
        <v>-166.65</v>
      </c>
      <c r="E1703" t="inlineStr">
        <is>
          <t>(novo)</t>
        </is>
      </c>
      <c r="F1703" t="inlineStr"/>
      <c r="G1703" s="2" t="inlineStr">
        <is>
          <t>506</t>
        </is>
      </c>
      <c r="H1703">
        <f>IFERROR(VLOOKUP(G1703&amp;"",PLANO!A:B,2,FALSE),"CONTA NAO EXISTE NO PLANO")</f>
        <v/>
      </c>
      <c r="I1703" t="inlineStr">
        <is>
          <t>506</t>
        </is>
      </c>
      <c r="J1703" t="inlineStr">
        <is>
          <t>OK</t>
        </is>
      </c>
      <c r="K1703" t="inlineStr"/>
      <c r="L1703" t="inlineStr"/>
      <c r="M1703" t="inlineStr">
        <is>
          <t>BOLETO PAGO TECNOPONTO T</t>
        </is>
      </c>
    </row>
    <row r="1704">
      <c r="A1704" t="n">
        <v>1703</v>
      </c>
      <c r="B1704" t="inlineStr">
        <is>
          <t>18/08/2026</t>
        </is>
      </c>
      <c r="C1704" t="inlineStr">
        <is>
          <t>BOLETO PAGO EFITRANS TRA</t>
        </is>
      </c>
      <c r="D1704" s="7" t="n">
        <v>-606.9400000000001</v>
      </c>
      <c r="E1704" t="inlineStr">
        <is>
          <t>(novo)</t>
        </is>
      </c>
      <c r="F1704" t="inlineStr"/>
      <c r="G1704" s="2" t="inlineStr">
        <is>
          <t>312</t>
        </is>
      </c>
      <c r="H1704">
        <f>IFERROR(VLOOKUP(G1704&amp;"",PLANO!A:B,2,FALSE),"CONTA NAO EXISTE NO PLANO")</f>
        <v/>
      </c>
      <c r="I1704" t="inlineStr">
        <is>
          <t>312</t>
        </is>
      </c>
      <c r="J1704" t="inlineStr">
        <is>
          <t>OK</t>
        </is>
      </c>
      <c r="K1704" t="inlineStr"/>
      <c r="L1704" t="inlineStr"/>
      <c r="M1704" t="inlineStr">
        <is>
          <t>BOLETO PAGO EFITRANS TRA</t>
        </is>
      </c>
    </row>
    <row r="1705">
      <c r="A1705" t="n">
        <v>1704</v>
      </c>
      <c r="B1705" t="inlineStr">
        <is>
          <t>18/08/2026</t>
        </is>
      </c>
      <c r="C1705" t="inlineStr">
        <is>
          <t>BOLETO PAGO QUIMIFORMULA</t>
        </is>
      </c>
      <c r="D1705" s="7" t="n">
        <v>-1089.23</v>
      </c>
      <c r="E1705" t="inlineStr">
        <is>
          <t>(novo)</t>
        </is>
      </c>
      <c r="F1705" t="inlineStr"/>
      <c r="G1705" s="2" t="inlineStr">
        <is>
          <t>506</t>
        </is>
      </c>
      <c r="H1705">
        <f>IFERROR(VLOOKUP(G1705&amp;"",PLANO!A:B,2,FALSE),"CONTA NAO EXISTE NO PLANO")</f>
        <v/>
      </c>
      <c r="I1705" t="inlineStr">
        <is>
          <t>506</t>
        </is>
      </c>
      <c r="J1705" t="inlineStr">
        <is>
          <t>OK</t>
        </is>
      </c>
      <c r="K1705" t="inlineStr"/>
      <c r="L1705" t="inlineStr"/>
      <c r="M1705" t="inlineStr">
        <is>
          <t>BOLETO PAGO QUIMIFORMULA</t>
        </is>
      </c>
    </row>
    <row r="1706">
      <c r="A1706" s="4" t="n">
        <v>1705</v>
      </c>
      <c r="B1706" s="4" t="inlineStr">
        <is>
          <t>18/08/2026</t>
        </is>
      </c>
      <c r="C1706" s="4" t="inlineStr">
        <is>
          <t>Sispag COSMETICON COMER</t>
        </is>
      </c>
      <c r="D1706" s="5" t="n">
        <v>2500</v>
      </c>
      <c r="E1706" s="4" t="inlineStr">
        <is>
          <t>(novo)</t>
        </is>
      </c>
      <c r="F1706" s="4" t="inlineStr"/>
      <c r="G1706" s="6" t="inlineStr">
        <is>
          <t>663</t>
        </is>
      </c>
      <c r="H1706" s="4">
        <f>IFERROR(VLOOKUP(G1706&amp;"",PLANO!A:B,2,FALSE),"CONTA NAO EXISTE NO PLANO")</f>
        <v/>
      </c>
      <c r="I1706" s="4" t="inlineStr">
        <is>
          <t>663</t>
        </is>
      </c>
      <c r="J1706" s="4" t="inlineStr">
        <is>
          <t>AJUSTADO</t>
        </is>
      </c>
      <c r="K1706" s="4" t="inlineStr">
        <is>
          <t>COSMETICON - conta-corrente unica de mutuo (663)</t>
        </is>
      </c>
      <c r="L1706" s="4" t="inlineStr"/>
      <c r="M1706" s="4" t="inlineStr">
        <is>
          <t>SISPAG COSMETICON COMER</t>
        </is>
      </c>
    </row>
    <row r="1707">
      <c r="A1707" t="n">
        <v>1706</v>
      </c>
      <c r="B1707" t="inlineStr">
        <is>
          <t>18/08/2026</t>
        </is>
      </c>
      <c r="C1707" t="inlineStr">
        <is>
          <t>Mov Tít Cob Disp 18/08S</t>
        </is>
      </c>
      <c r="D1707" s="7" t="n">
        <v>1555.19</v>
      </c>
      <c r="E1707" t="inlineStr">
        <is>
          <t>(novo)</t>
        </is>
      </c>
      <c r="F1707" t="inlineStr"/>
      <c r="G1707" s="2" t="inlineStr">
        <is>
          <t>504</t>
        </is>
      </c>
      <c r="H1707">
        <f>IFERROR(VLOOKUP(G1707&amp;"",PLANO!A:B,2,FALSE),"CONTA NAO EXISTE NO PLANO")</f>
        <v/>
      </c>
      <c r="I1707" t="inlineStr">
        <is>
          <t>504</t>
        </is>
      </c>
      <c r="J1707" t="inlineStr">
        <is>
          <t>OK</t>
        </is>
      </c>
      <c r="K1707" t="inlineStr"/>
      <c r="L1707" t="inlineStr"/>
      <c r="M1707" t="inlineStr">
        <is>
          <t>MOV TÍT COB DISP 18/08S</t>
        </is>
      </c>
    </row>
    <row r="1708">
      <c r="A1708" t="n">
        <v>1707</v>
      </c>
      <c r="B1708" t="inlineStr">
        <is>
          <t>18/08/2026</t>
        </is>
      </c>
      <c r="C1708" t="inlineStr">
        <is>
          <t>TED 448.0000.FIDC O R</t>
        </is>
      </c>
      <c r="D1708" s="7" t="n">
        <v>10234.26</v>
      </c>
      <c r="E1708" t="inlineStr">
        <is>
          <t>(novo)</t>
        </is>
      </c>
      <c r="F1708" t="inlineStr"/>
      <c r="G1708" s="2" t="inlineStr">
        <is>
          <t>504</t>
        </is>
      </c>
      <c r="H1708">
        <f>IFERROR(VLOOKUP(G1708&amp;"",PLANO!A:B,2,FALSE),"CONTA NAO EXISTE NO PLANO")</f>
        <v/>
      </c>
      <c r="I1708" t="inlineStr">
        <is>
          <t>504</t>
        </is>
      </c>
      <c r="J1708" t="inlineStr">
        <is>
          <t>OK</t>
        </is>
      </c>
      <c r="K1708" t="inlineStr"/>
      <c r="L1708" t="inlineStr"/>
      <c r="M1708" t="inlineStr">
        <is>
          <t>TED 448.0000.FIDC O R</t>
        </is>
      </c>
    </row>
    <row r="1709">
      <c r="A1709" s="11" t="n">
        <v>1708</v>
      </c>
      <c r="B1709" s="11" t="inlineStr">
        <is>
          <t>19/08/2026</t>
        </is>
      </c>
      <c r="C1709" s="11" t="inlineStr">
        <is>
          <t>PIX ENVIADO AERO BLUE LO</t>
        </is>
      </c>
      <c r="D1709" s="12" t="n">
        <v>-586.6</v>
      </c>
      <c r="E1709" s="11" t="inlineStr">
        <is>
          <t>(novo)</t>
        </is>
      </c>
      <c r="F1709" s="11" t="inlineStr"/>
      <c r="G1709" s="13" t="inlineStr">
        <is>
          <t>506</t>
        </is>
      </c>
      <c r="H1709" s="11">
        <f>IFERROR(VLOOKUP(G1709&amp;"",PLANO!A:B,2,FALSE),"CONTA NAO EXISTE NO PLANO")</f>
        <v/>
      </c>
      <c r="I1709" s="11" t="inlineStr">
        <is>
          <t>506</t>
        </is>
      </c>
      <c r="J1709" s="11" t="inlineStr">
        <is>
          <t>MANTIDO</t>
        </is>
      </c>
      <c r="K1709" s="11" t="inlineStr">
        <is>
          <t>pagamento sem referencia - tratado como fornecedor (506)</t>
        </is>
      </c>
      <c r="L1709" s="11" t="inlineStr"/>
      <c r="M1709" s="11" t="inlineStr">
        <is>
          <t>PIX ENVIADO AERO BLUE LO</t>
        </is>
      </c>
    </row>
    <row r="1710">
      <c r="A1710" s="4" t="n">
        <v>1709</v>
      </c>
      <c r="B1710" s="4" t="inlineStr">
        <is>
          <t>19/08/2026</t>
        </is>
      </c>
      <c r="C1710" s="4" t="inlineStr">
        <is>
          <t>PIX ENVIADO FIQUE BEM CO</t>
        </is>
      </c>
      <c r="D1710" s="5" t="n">
        <v>-1000</v>
      </c>
      <c r="E1710" s="4" t="inlineStr">
        <is>
          <t>(novo)</t>
        </is>
      </c>
      <c r="F1710" s="4" t="inlineStr"/>
      <c r="G1710" s="6" t="inlineStr">
        <is>
          <t>366</t>
        </is>
      </c>
      <c r="H1710" s="4">
        <f>IFERROR(VLOOKUP(G1710&amp;"",PLANO!A:B,2,FALSE),"CONTA NAO EXISTE NO PLANO")</f>
        <v/>
      </c>
      <c r="I1710" s="4" t="inlineStr">
        <is>
          <t>672</t>
        </is>
      </c>
      <c r="J1710" s="4" t="inlineStr">
        <is>
          <t>AJUSTADO</t>
        </is>
      </c>
      <c r="K1710" s="4" t="inlineStr">
        <is>
          <t>GULA/FIQUE BEM (mesmo CNPJ, empresa do grupo) - mutuo em EMPRESTIMOS A TERCEIROS (366); nao e fornecedor</t>
        </is>
      </c>
      <c r="L1710" s="4" t="inlineStr"/>
      <c r="M1710" s="4" t="inlineStr">
        <is>
          <t>PIX ENVIADO FIQUE BEM CO</t>
        </is>
      </c>
    </row>
    <row r="1711">
      <c r="A1711" t="n">
        <v>1710</v>
      </c>
      <c r="B1711" t="inlineStr">
        <is>
          <t>19/08/2026</t>
        </is>
      </c>
      <c r="C1711" t="inlineStr">
        <is>
          <t>Sispag O.S. SECURITIZAD</t>
        </is>
      </c>
      <c r="D1711" s="7" t="n">
        <v>5409.04</v>
      </c>
      <c r="E1711" t="inlineStr">
        <is>
          <t>(novo)</t>
        </is>
      </c>
      <c r="F1711" t="inlineStr"/>
      <c r="G1711" s="2" t="inlineStr">
        <is>
          <t>504</t>
        </is>
      </c>
      <c r="H1711">
        <f>IFERROR(VLOOKUP(G1711&amp;"",PLANO!A:B,2,FALSE),"CONTA NAO EXISTE NO PLANO")</f>
        <v/>
      </c>
      <c r="I1711" t="inlineStr">
        <is>
          <t>504</t>
        </is>
      </c>
      <c r="J1711" t="inlineStr">
        <is>
          <t>OK</t>
        </is>
      </c>
      <c r="K1711" t="inlineStr"/>
      <c r="L1711" t="inlineStr"/>
      <c r="M1711" t="inlineStr">
        <is>
          <t>SISPAG O.S. SECURITIZAD</t>
        </is>
      </c>
    </row>
    <row r="1712">
      <c r="A1712" t="n">
        <v>1711</v>
      </c>
      <c r="B1712" t="inlineStr">
        <is>
          <t>19/08/2026</t>
        </is>
      </c>
      <c r="C1712" t="inlineStr">
        <is>
          <t>Mov Tít Cob Disp 19/08S</t>
        </is>
      </c>
      <c r="D1712" s="7" t="n">
        <v>9006.16</v>
      </c>
      <c r="E1712" t="inlineStr">
        <is>
          <t>(novo)</t>
        </is>
      </c>
      <c r="F1712" t="inlineStr"/>
      <c r="G1712" s="2" t="inlineStr">
        <is>
          <t>504</t>
        </is>
      </c>
      <c r="H1712">
        <f>IFERROR(VLOOKUP(G1712&amp;"",PLANO!A:B,2,FALSE),"CONTA NAO EXISTE NO PLANO")</f>
        <v/>
      </c>
      <c r="I1712" t="inlineStr">
        <is>
          <t>504</t>
        </is>
      </c>
      <c r="J1712" t="inlineStr">
        <is>
          <t>OK</t>
        </is>
      </c>
      <c r="K1712" t="inlineStr"/>
      <c r="L1712" t="inlineStr"/>
      <c r="M1712" t="inlineStr">
        <is>
          <t>MOV TÍT COB DISP 19/08S</t>
        </is>
      </c>
    </row>
    <row r="1713">
      <c r="A1713" s="11" t="n">
        <v>1712</v>
      </c>
      <c r="B1713" s="11" t="inlineStr">
        <is>
          <t>20/08/2026</t>
        </is>
      </c>
      <c r="C1713" s="11" t="inlineStr">
        <is>
          <t>PIX ENVIADO MARCELO HENR</t>
        </is>
      </c>
      <c r="D1713" s="12" t="n">
        <v>-5000</v>
      </c>
      <c r="E1713" s="11" t="inlineStr">
        <is>
          <t>(novo)</t>
        </is>
      </c>
      <c r="F1713" s="11" t="inlineStr"/>
      <c r="G1713" s="13" t="inlineStr">
        <is>
          <t>362</t>
        </is>
      </c>
      <c r="H1713" s="11">
        <f>IFERROR(VLOOKUP(G1713&amp;"",PLANO!A:B,2,FALSE),"CONTA NAO EXISTE NO PLANO")</f>
        <v/>
      </c>
      <c r="I1713" s="11" t="inlineStr">
        <is>
          <t>362</t>
        </is>
      </c>
      <c r="J1713" s="11" t="inlineStr">
        <is>
          <t>MANTIDO</t>
        </is>
      </c>
      <c r="K1713" s="11" t="inlineStr">
        <is>
          <t>MARCELO HENRIQUE MAZZONI - TXT jun/26 usou 362</t>
        </is>
      </c>
      <c r="L1713" s="11" t="inlineStr"/>
      <c r="M1713" s="11" t="inlineStr">
        <is>
          <t>PIX ENVIADO MARCELO HENR</t>
        </is>
      </c>
    </row>
    <row r="1714">
      <c r="A1714" s="4" t="n">
        <v>1713</v>
      </c>
      <c r="B1714" s="4" t="inlineStr">
        <is>
          <t>20/08/2026</t>
        </is>
      </c>
      <c r="C1714" s="4" t="inlineStr">
        <is>
          <t>PIX ENVIADO LUCENA &amp; AMO</t>
        </is>
      </c>
      <c r="D1714" s="5" t="n">
        <v>-1000</v>
      </c>
      <c r="E1714" s="4" t="inlineStr">
        <is>
          <t>(novo)</t>
        </is>
      </c>
      <c r="F1714" s="4" t="inlineStr"/>
      <c r="G1714" s="6" t="inlineStr">
        <is>
          <t>365</t>
        </is>
      </c>
      <c r="H1714" s="4">
        <f>IFERROR(VLOOKUP(G1714&amp;"",PLANO!A:B,2,FALSE),"CONTA NAO EXISTE NO PLANO")</f>
        <v/>
      </c>
      <c r="I1714" s="4" t="inlineStr">
        <is>
          <t>506</t>
        </is>
      </c>
      <c r="J1714" s="4" t="inlineStr">
        <is>
          <t>AJUSTADO</t>
        </is>
      </c>
      <c r="K1714" s="4" t="inlineStr">
        <is>
          <t>Lucena &amp; Amo - acordo juridico (Cosmos: acordo procurador)</t>
        </is>
      </c>
      <c r="L1714" s="4" t="inlineStr"/>
      <c r="M1714" s="4" t="inlineStr">
        <is>
          <t>PIX ENVIADO LUCENA &amp; AMO</t>
        </is>
      </c>
    </row>
    <row r="1715">
      <c r="A1715" s="4" t="n">
        <v>1714</v>
      </c>
      <c r="B1715" s="4" t="inlineStr">
        <is>
          <t>20/08/2026</t>
        </is>
      </c>
      <c r="C1715" s="4" t="inlineStr">
        <is>
          <t>PIX ENVIADO FIQUE BEM CO</t>
        </is>
      </c>
      <c r="D1715" s="5" t="n">
        <v>-17000</v>
      </c>
      <c r="E1715" s="4" t="inlineStr">
        <is>
          <t>(novo)</t>
        </is>
      </c>
      <c r="F1715" s="4" t="inlineStr"/>
      <c r="G1715" s="6" t="inlineStr">
        <is>
          <t>366</t>
        </is>
      </c>
      <c r="H1715" s="4">
        <f>IFERROR(VLOOKUP(G1715&amp;"",PLANO!A:B,2,FALSE),"CONTA NAO EXISTE NO PLANO")</f>
        <v/>
      </c>
      <c r="I1715" s="4" t="inlineStr">
        <is>
          <t>672</t>
        </is>
      </c>
      <c r="J1715" s="4" t="inlineStr">
        <is>
          <t>AJUSTADO</t>
        </is>
      </c>
      <c r="K1715" s="4" t="inlineStr">
        <is>
          <t>GULA/FIQUE BEM (mesmo CNPJ, empresa do grupo) - mutuo em EMPRESTIMOS A TERCEIROS (366); nao e fornecedor</t>
        </is>
      </c>
      <c r="L1715" s="4" t="inlineStr"/>
      <c r="M1715" s="4" t="inlineStr">
        <is>
          <t>PIX ENVIADO FIQUE BEM CO</t>
        </is>
      </c>
    </row>
    <row r="1716">
      <c r="A1716" t="n">
        <v>1715</v>
      </c>
      <c r="B1716" t="inlineStr">
        <is>
          <t>20/08/2026</t>
        </is>
      </c>
      <c r="C1716" t="inlineStr">
        <is>
          <t>Mov Tít Cob Disp 20/08S</t>
        </is>
      </c>
      <c r="D1716" s="7" t="n">
        <v>3320.78</v>
      </c>
      <c r="E1716" t="inlineStr">
        <is>
          <t>(novo)</t>
        </is>
      </c>
      <c r="F1716" t="inlineStr"/>
      <c r="G1716" s="2" t="inlineStr">
        <is>
          <t>504</t>
        </is>
      </c>
      <c r="H1716">
        <f>IFERROR(VLOOKUP(G1716&amp;"",PLANO!A:B,2,FALSE),"CONTA NAO EXISTE NO PLANO")</f>
        <v/>
      </c>
      <c r="I1716" t="inlineStr">
        <is>
          <t>504</t>
        </is>
      </c>
      <c r="J1716" t="inlineStr">
        <is>
          <t>OK</t>
        </is>
      </c>
      <c r="K1716" t="inlineStr"/>
      <c r="L1716" t="inlineStr"/>
      <c r="M1716" t="inlineStr">
        <is>
          <t>MOV TÍT COB DISP 20/08S</t>
        </is>
      </c>
    </row>
    <row r="1717">
      <c r="A1717" t="n">
        <v>1716</v>
      </c>
      <c r="B1717" t="inlineStr">
        <is>
          <t>20/08/2026</t>
        </is>
      </c>
      <c r="C1717" t="inlineStr">
        <is>
          <t>Rede VISA AT0081996543</t>
        </is>
      </c>
      <c r="D1717" s="7" t="n">
        <v>6981.76</v>
      </c>
      <c r="E1717" t="inlineStr">
        <is>
          <t>(novo)</t>
        </is>
      </c>
      <c r="F1717" t="inlineStr"/>
      <c r="G1717" s="2" t="inlineStr">
        <is>
          <t>504</t>
        </is>
      </c>
      <c r="H1717">
        <f>IFERROR(VLOOKUP(G1717&amp;"",PLANO!A:B,2,FALSE),"CONTA NAO EXISTE NO PLANO")</f>
        <v/>
      </c>
      <c r="I1717" t="inlineStr">
        <is>
          <t>504</t>
        </is>
      </c>
      <c r="J1717" t="inlineStr">
        <is>
          <t>OK</t>
        </is>
      </c>
      <c r="K1717" t="inlineStr"/>
      <c r="L1717" t="inlineStr"/>
      <c r="M1717" t="inlineStr">
        <is>
          <t>REDE VISA AT0081996543</t>
        </is>
      </c>
    </row>
    <row r="1718">
      <c r="A1718" t="n">
        <v>1717</v>
      </c>
      <c r="B1718" t="inlineStr">
        <is>
          <t>20/08/2026</t>
        </is>
      </c>
      <c r="C1718" t="inlineStr">
        <is>
          <t>PIX TRANSF PERFIL 20/08</t>
        </is>
      </c>
      <c r="D1718" s="7" t="n">
        <v>2527.6</v>
      </c>
      <c r="E1718" t="inlineStr">
        <is>
          <t>(novo)</t>
        </is>
      </c>
      <c r="F1718" t="inlineStr"/>
      <c r="G1718" s="2" t="inlineStr">
        <is>
          <t>504</t>
        </is>
      </c>
      <c r="H1718">
        <f>IFERROR(VLOOKUP(G1718&amp;"",PLANO!A:B,2,FALSE),"CONTA NAO EXISTE NO PLANO")</f>
        <v/>
      </c>
      <c r="I1718" t="inlineStr">
        <is>
          <t>504</t>
        </is>
      </c>
      <c r="J1718" t="inlineStr">
        <is>
          <t>OK</t>
        </is>
      </c>
      <c r="K1718" t="inlineStr"/>
      <c r="L1718" t="inlineStr"/>
      <c r="M1718" t="inlineStr">
        <is>
          <t>PIX TRANSF PERFIL 20/08</t>
        </is>
      </c>
    </row>
    <row r="1719">
      <c r="A1719" t="n">
        <v>1718</v>
      </c>
      <c r="B1719" t="inlineStr">
        <is>
          <t>20/08/2026</t>
        </is>
      </c>
      <c r="C1719" t="inlineStr">
        <is>
          <t>Rend Pago Aplic Aut Mais</t>
        </is>
      </c>
      <c r="D1719" s="7" t="n">
        <v>0.01</v>
      </c>
      <c r="E1719" t="inlineStr">
        <is>
          <t>(novo)</t>
        </is>
      </c>
      <c r="F1719" t="inlineStr"/>
      <c r="G1719" s="2" t="inlineStr">
        <is>
          <t>432</t>
        </is>
      </c>
      <c r="H1719">
        <f>IFERROR(VLOOKUP(G1719&amp;"",PLANO!A:B,2,FALSE),"CONTA NAO EXISTE NO PLANO")</f>
        <v/>
      </c>
      <c r="I1719" t="inlineStr">
        <is>
          <t>432</t>
        </is>
      </c>
      <c r="J1719" t="inlineStr">
        <is>
          <t>OK</t>
        </is>
      </c>
      <c r="K1719" t="inlineStr"/>
      <c r="L1719" t="inlineStr"/>
      <c r="M1719" t="inlineStr">
        <is>
          <t>RENDIMENTO APLICACAO AUTOMATICA ITAU</t>
        </is>
      </c>
    </row>
    <row r="1720">
      <c r="A1720" s="11" t="n">
        <v>1719</v>
      </c>
      <c r="B1720" s="11" t="inlineStr">
        <is>
          <t>21/08/2026</t>
        </is>
      </c>
      <c r="C1720" s="11" t="inlineStr">
        <is>
          <t>BOLETO PAGO EMBACAPS</t>
        </is>
      </c>
      <c r="D1720" s="12" t="n">
        <v>-2043.97</v>
      </c>
      <c r="E1720" s="11" t="inlineStr">
        <is>
          <t>(novo)</t>
        </is>
      </c>
      <c r="F1720" s="11" t="inlineStr"/>
      <c r="G1720" s="13" t="inlineStr">
        <is>
          <t>506</t>
        </is>
      </c>
      <c r="H1720" s="11">
        <f>IFERROR(VLOOKUP(G1720&amp;"",PLANO!A:B,2,FALSE),"CONTA NAO EXISTE NO PLANO")</f>
        <v/>
      </c>
      <c r="I1720" s="11" t="inlineStr">
        <is>
          <t>506</t>
        </is>
      </c>
      <c r="J1720" s="11" t="inlineStr">
        <is>
          <t>MANTIDO</t>
        </is>
      </c>
      <c r="K1720" s="11" t="inlineStr"/>
      <c r="L1720" s="11" t="inlineStr"/>
      <c r="M1720" s="11" t="inlineStr">
        <is>
          <t>EMBACAPS QUIMICA E FARMACEUTICA LTDA PAGAMENTO REFERENTE A COMPRA DE MATERIA PRIMA,BELSIL ADM 10KG, DEHYDOL 12KG ,ALCOOL CETO 1000KG,PLANTAREM 102KG</t>
        </is>
      </c>
    </row>
    <row r="1721">
      <c r="A1721" s="11" t="n">
        <v>1720</v>
      </c>
      <c r="B1721" s="11" t="inlineStr">
        <is>
          <t>21/08/2026</t>
        </is>
      </c>
      <c r="C1721" s="11" t="inlineStr">
        <is>
          <t>BOLETO PAGO EMBACAPS QUI</t>
        </is>
      </c>
      <c r="D1721" s="12" t="n">
        <v>-2059.65</v>
      </c>
      <c r="E1721" s="11" t="inlineStr">
        <is>
          <t>(novo)</t>
        </is>
      </c>
      <c r="F1721" s="11" t="inlineStr"/>
      <c r="G1721" s="13" t="inlineStr">
        <is>
          <t>506</t>
        </is>
      </c>
      <c r="H1721" s="11">
        <f>IFERROR(VLOOKUP(G1721&amp;"",PLANO!A:B,2,FALSE),"CONTA NAO EXISTE NO PLANO")</f>
        <v/>
      </c>
      <c r="I1721" s="11" t="inlineStr">
        <is>
          <t>506</t>
        </is>
      </c>
      <c r="J1721" s="11" t="inlineStr">
        <is>
          <t>MANTIDO</t>
        </is>
      </c>
      <c r="K1721" s="11" t="inlineStr"/>
      <c r="L1721" s="11" t="inlineStr"/>
      <c r="M1721" s="11" t="inlineStr">
        <is>
          <t>EMBACAPS QUIMICA E FARMACEUTICA LTDA PAGAMENTO REFERENTE A COMPRA DE MATERIA PRIMA,BELSIL ADM 10KG, DEHYDOL 12KG ,ALCOOL CETO 1000KG,PLANTAREM 102KG</t>
        </is>
      </c>
    </row>
    <row r="1722">
      <c r="A1722" t="n">
        <v>1721</v>
      </c>
      <c r="B1722" t="inlineStr">
        <is>
          <t>21/08/2026</t>
        </is>
      </c>
      <c r="C1722" t="inlineStr">
        <is>
          <t>Mov Tít Cob Disp 21/08S</t>
        </is>
      </c>
      <c r="D1722" s="7" t="n">
        <v>11688.48</v>
      </c>
      <c r="E1722" t="inlineStr">
        <is>
          <t>(novo)</t>
        </is>
      </c>
      <c r="F1722" t="inlineStr"/>
      <c r="G1722" s="2" t="inlineStr">
        <is>
          <t>504</t>
        </is>
      </c>
      <c r="H1722">
        <f>IFERROR(VLOOKUP(G1722&amp;"",PLANO!A:B,2,FALSE),"CONTA NAO EXISTE NO PLANO")</f>
        <v/>
      </c>
      <c r="I1722" t="inlineStr">
        <is>
          <t>504</t>
        </is>
      </c>
      <c r="J1722" t="inlineStr">
        <is>
          <t>OK</t>
        </is>
      </c>
      <c r="K1722" t="inlineStr"/>
      <c r="L1722" t="inlineStr"/>
      <c r="M1722" t="inlineStr">
        <is>
          <t>MOV TÍT COB DISP 21/08S</t>
        </is>
      </c>
    </row>
    <row r="1723">
      <c r="A1723" t="n">
        <v>1722</v>
      </c>
      <c r="B1723" t="inlineStr">
        <is>
          <t>24/08/2026</t>
        </is>
      </c>
      <c r="C1723" t="inlineStr">
        <is>
          <t>PIX ENVIADO BIO CONTROL</t>
        </is>
      </c>
      <c r="D1723" s="7" t="n">
        <v>-500</v>
      </c>
      <c r="E1723" t="inlineStr">
        <is>
          <t>(novo)</t>
        </is>
      </c>
      <c r="F1723" t="inlineStr"/>
      <c r="G1723" s="2" t="inlineStr">
        <is>
          <t>506</t>
        </is>
      </c>
      <c r="H1723">
        <f>IFERROR(VLOOKUP(G1723&amp;"",PLANO!A:B,2,FALSE),"CONTA NAO EXISTE NO PLANO")</f>
        <v/>
      </c>
      <c r="I1723" t="inlineStr">
        <is>
          <t>506</t>
        </is>
      </c>
      <c r="J1723" t="inlineStr">
        <is>
          <t>OK</t>
        </is>
      </c>
      <c r="K1723" t="inlineStr"/>
      <c r="L1723" t="inlineStr"/>
      <c r="M1723" t="inlineStr">
        <is>
          <t>PIX ENVIADO BIO CONTROL</t>
        </is>
      </c>
    </row>
    <row r="1724">
      <c r="A1724" s="11" t="n">
        <v>1723</v>
      </c>
      <c r="B1724" s="11" t="inlineStr">
        <is>
          <t>24/08/2026</t>
        </is>
      </c>
      <c r="C1724" s="11" t="inlineStr">
        <is>
          <t>PIX ENVIADO RECOZIL</t>
        </is>
      </c>
      <c r="D1724" s="12" t="n">
        <v>-2750</v>
      </c>
      <c r="E1724" s="11" t="inlineStr">
        <is>
          <t>(novo)</t>
        </is>
      </c>
      <c r="F1724" s="11" t="inlineStr"/>
      <c r="G1724" s="13" t="inlineStr">
        <is>
          <t>506</t>
        </is>
      </c>
      <c r="H1724" s="11">
        <f>IFERROR(VLOOKUP(G1724&amp;"",PLANO!A:B,2,FALSE),"CONTA NAO EXISTE NO PLANO")</f>
        <v/>
      </c>
      <c r="I1724" s="11" t="inlineStr">
        <is>
          <t>506</t>
        </is>
      </c>
      <c r="J1724" s="11" t="inlineStr">
        <is>
          <t>MANTIDO</t>
        </is>
      </c>
      <c r="K1724" s="11" t="inlineStr">
        <is>
          <t>pagamento sem referencia - tratado como fornecedor (506)</t>
        </is>
      </c>
      <c r="L1724" s="11" t="inlineStr"/>
      <c r="M1724" s="11" t="inlineStr">
        <is>
          <t>PIX ENVIADO RECOZIL</t>
        </is>
      </c>
    </row>
    <row r="1725">
      <c r="A1725" s="4" t="n">
        <v>1724</v>
      </c>
      <c r="B1725" s="4" t="inlineStr">
        <is>
          <t>24/08/2026</t>
        </is>
      </c>
      <c r="C1725" s="4" t="inlineStr">
        <is>
          <t>PIX ENVIADO COSMETICON C</t>
        </is>
      </c>
      <c r="D1725" s="5" t="n">
        <v>-4000</v>
      </c>
      <c r="E1725" s="4" t="inlineStr">
        <is>
          <t>(novo)</t>
        </is>
      </c>
      <c r="F1725" s="4" t="inlineStr"/>
      <c r="G1725" s="6" t="inlineStr">
        <is>
          <t>663</t>
        </is>
      </c>
      <c r="H1725" s="4">
        <f>IFERROR(VLOOKUP(G1725&amp;"",PLANO!A:B,2,FALSE),"CONTA NAO EXISTE NO PLANO")</f>
        <v/>
      </c>
      <c r="I1725" s="4" t="inlineStr">
        <is>
          <t>663</t>
        </is>
      </c>
      <c r="J1725" s="4" t="inlineStr">
        <is>
          <t>AJUSTADO</t>
        </is>
      </c>
      <c r="K1725" s="4" t="inlineStr">
        <is>
          <t>COSMETICON - conta-corrente unica de mutuo (663)</t>
        </is>
      </c>
      <c r="L1725" s="4" t="inlineStr"/>
      <c r="M1725" s="4" t="inlineStr">
        <is>
          <t>PIX ENVIADO COSMETICON C</t>
        </is>
      </c>
    </row>
    <row r="1726">
      <c r="A1726" s="4" t="n">
        <v>1725</v>
      </c>
      <c r="B1726" s="4" t="inlineStr">
        <is>
          <t>24/08/2026</t>
        </is>
      </c>
      <c r="C1726" s="4" t="inlineStr">
        <is>
          <t>PIX ENVIADO FIQUE BEM CO</t>
        </is>
      </c>
      <c r="D1726" s="5" t="n">
        <v>-8000</v>
      </c>
      <c r="E1726" s="4" t="inlineStr">
        <is>
          <t>(novo)</t>
        </is>
      </c>
      <c r="F1726" s="4" t="inlineStr"/>
      <c r="G1726" s="6" t="inlineStr">
        <is>
          <t>366</t>
        </is>
      </c>
      <c r="H1726" s="4">
        <f>IFERROR(VLOOKUP(G1726&amp;"",PLANO!A:B,2,FALSE),"CONTA NAO EXISTE NO PLANO")</f>
        <v/>
      </c>
      <c r="I1726" s="4" t="inlineStr">
        <is>
          <t>672</t>
        </is>
      </c>
      <c r="J1726" s="4" t="inlineStr">
        <is>
          <t>AJUSTADO</t>
        </is>
      </c>
      <c r="K1726" s="4" t="inlineStr">
        <is>
          <t>GULA/FIQUE BEM (mesmo CNPJ, empresa do grupo) - mutuo em EMPRESTIMOS A TERCEIROS (366); nao e fornecedor</t>
        </is>
      </c>
      <c r="L1726" s="4" t="inlineStr"/>
      <c r="M1726" s="4" t="inlineStr">
        <is>
          <t>PIX ENVIADO FIQUE BEM CO</t>
        </is>
      </c>
    </row>
    <row r="1727">
      <c r="A1727" t="n">
        <v>1726</v>
      </c>
      <c r="B1727" t="inlineStr">
        <is>
          <t>24/08/2026</t>
        </is>
      </c>
      <c r="C1727" t="inlineStr">
        <is>
          <t>BOLETO PAGO 60512435 Alt</t>
        </is>
      </c>
      <c r="D1727" s="7" t="n">
        <v>-520</v>
      </c>
      <c r="E1727" t="inlineStr">
        <is>
          <t>(novo)</t>
        </is>
      </c>
      <c r="F1727" t="inlineStr"/>
      <c r="G1727" s="2" t="inlineStr">
        <is>
          <t>506</t>
        </is>
      </c>
      <c r="H1727">
        <f>IFERROR(VLOOKUP(G1727&amp;"",PLANO!A:B,2,FALSE),"CONTA NAO EXISTE NO PLANO")</f>
        <v/>
      </c>
      <c r="I1727" t="inlineStr">
        <is>
          <t>506</t>
        </is>
      </c>
      <c r="J1727" t="inlineStr">
        <is>
          <t>OK</t>
        </is>
      </c>
      <c r="K1727" t="inlineStr"/>
      <c r="L1727" t="inlineStr"/>
      <c r="M1727" t="inlineStr">
        <is>
          <t>BOLETO PAGO 60512435 ALT</t>
        </is>
      </c>
    </row>
    <row r="1728">
      <c r="A1728" t="n">
        <v>1727</v>
      </c>
      <c r="B1728" t="inlineStr">
        <is>
          <t>24/08/2026</t>
        </is>
      </c>
      <c r="C1728" t="inlineStr">
        <is>
          <t>BOLETO PAGO DINACO IMPOR</t>
        </is>
      </c>
      <c r="D1728" s="7" t="n">
        <v>-2480.75</v>
      </c>
      <c r="E1728" t="inlineStr">
        <is>
          <t>(novo)</t>
        </is>
      </c>
      <c r="F1728" t="inlineStr"/>
      <c r="G1728" s="2" t="inlineStr">
        <is>
          <t>506</t>
        </is>
      </c>
      <c r="H1728">
        <f>IFERROR(VLOOKUP(G1728&amp;"",PLANO!A:B,2,FALSE),"CONTA NAO EXISTE NO PLANO")</f>
        <v/>
      </c>
      <c r="I1728" t="inlineStr">
        <is>
          <t>506</t>
        </is>
      </c>
      <c r="J1728" t="inlineStr">
        <is>
          <t>OK</t>
        </is>
      </c>
      <c r="K1728" t="inlineStr"/>
      <c r="L1728" t="inlineStr"/>
      <c r="M1728" t="inlineStr">
        <is>
          <t>BOLETO PAGO DINACO IMPOR</t>
        </is>
      </c>
    </row>
    <row r="1729">
      <c r="A1729" t="n">
        <v>1728</v>
      </c>
      <c r="B1729" t="inlineStr">
        <is>
          <t>24/08/2026</t>
        </is>
      </c>
      <c r="C1729" t="inlineStr">
        <is>
          <t>BOLETO PAGO QUIMIFORMULA</t>
        </is>
      </c>
      <c r="D1729" s="7" t="n">
        <v>-832.2</v>
      </c>
      <c r="E1729" t="inlineStr">
        <is>
          <t>(novo)</t>
        </is>
      </c>
      <c r="F1729" t="inlineStr"/>
      <c r="G1729" s="2" t="inlineStr">
        <is>
          <t>506</t>
        </is>
      </c>
      <c r="H1729">
        <f>IFERROR(VLOOKUP(G1729&amp;"",PLANO!A:B,2,FALSE),"CONTA NAO EXISTE NO PLANO")</f>
        <v/>
      </c>
      <c r="I1729" t="inlineStr">
        <is>
          <t>506</t>
        </is>
      </c>
      <c r="J1729" t="inlineStr">
        <is>
          <t>OK</t>
        </is>
      </c>
      <c r="K1729" t="inlineStr"/>
      <c r="L1729" t="inlineStr"/>
      <c r="M1729" t="inlineStr">
        <is>
          <t>BOLETO PAGO QUIMIFORMULA</t>
        </is>
      </c>
    </row>
    <row r="1730">
      <c r="A1730" t="n">
        <v>1729</v>
      </c>
      <c r="B1730" t="inlineStr">
        <is>
          <t>24/08/2026</t>
        </is>
      </c>
      <c r="C1730" t="inlineStr">
        <is>
          <t>Mov Tít Cob Disp 24/08S</t>
        </is>
      </c>
      <c r="D1730" s="7" t="n">
        <v>4599.06</v>
      </c>
      <c r="E1730" t="inlineStr">
        <is>
          <t>(novo)</t>
        </is>
      </c>
      <c r="F1730" t="inlineStr"/>
      <c r="G1730" s="2" t="inlineStr">
        <is>
          <t>504</t>
        </is>
      </c>
      <c r="H1730">
        <f>IFERROR(VLOOKUP(G1730&amp;"",PLANO!A:B,2,FALSE),"CONTA NAO EXISTE NO PLANO")</f>
        <v/>
      </c>
      <c r="I1730" t="inlineStr">
        <is>
          <t>504</t>
        </is>
      </c>
      <c r="J1730" t="inlineStr">
        <is>
          <t>OK</t>
        </is>
      </c>
      <c r="K1730" t="inlineStr"/>
      <c r="L1730" t="inlineStr"/>
      <c r="M1730" t="inlineStr">
        <is>
          <t>MOV TÍT COB DISP 24/08S</t>
        </is>
      </c>
    </row>
    <row r="1731">
      <c r="A1731" t="n">
        <v>1730</v>
      </c>
      <c r="B1731" t="inlineStr">
        <is>
          <t>24/08/2026</t>
        </is>
      </c>
      <c r="C1731" t="inlineStr">
        <is>
          <t>TED 363.0001.RNX F M D R</t>
        </is>
      </c>
      <c r="D1731" s="7" t="n">
        <v>5427.6</v>
      </c>
      <c r="E1731" t="inlineStr">
        <is>
          <t>(novo)</t>
        </is>
      </c>
      <c r="F1731" t="inlineStr"/>
      <c r="G1731" s="2" t="inlineStr">
        <is>
          <t>504</t>
        </is>
      </c>
      <c r="H1731">
        <f>IFERROR(VLOOKUP(G1731&amp;"",PLANO!A:B,2,FALSE),"CONTA NAO EXISTE NO PLANO")</f>
        <v/>
      </c>
      <c r="I1731" t="inlineStr">
        <is>
          <t>504</t>
        </is>
      </c>
      <c r="J1731" t="inlineStr">
        <is>
          <t>OK</t>
        </is>
      </c>
      <c r="K1731" t="inlineStr"/>
      <c r="L1731" t="inlineStr"/>
      <c r="M1731" t="inlineStr">
        <is>
          <t>TED 363.0001.RNX F M D R</t>
        </is>
      </c>
    </row>
    <row r="1732">
      <c r="A1732" t="n">
        <v>1731</v>
      </c>
      <c r="B1732" t="inlineStr">
        <is>
          <t>24/08/2026</t>
        </is>
      </c>
      <c r="C1732" t="inlineStr">
        <is>
          <t>TED 363.0001.RNX F M D R</t>
        </is>
      </c>
      <c r="D1732" s="7" t="n">
        <v>6046.53</v>
      </c>
      <c r="E1732" t="inlineStr">
        <is>
          <t>(novo)</t>
        </is>
      </c>
      <c r="F1732" t="inlineStr"/>
      <c r="G1732" s="2" t="inlineStr">
        <is>
          <t>504</t>
        </is>
      </c>
      <c r="H1732">
        <f>IFERROR(VLOOKUP(G1732&amp;"",PLANO!A:B,2,FALSE),"CONTA NAO EXISTE NO PLANO")</f>
        <v/>
      </c>
      <c r="I1732" t="inlineStr">
        <is>
          <t>504</t>
        </is>
      </c>
      <c r="J1732" t="inlineStr">
        <is>
          <t>OK</t>
        </is>
      </c>
      <c r="K1732" t="inlineStr"/>
      <c r="L1732" t="inlineStr"/>
      <c r="M1732" t="inlineStr">
        <is>
          <t>TED 363.0001.RNX F M D R</t>
        </is>
      </c>
    </row>
    <row r="1733">
      <c r="A1733" t="n">
        <v>1732</v>
      </c>
      <c r="B1733" t="inlineStr">
        <is>
          <t>24/08/2026</t>
        </is>
      </c>
      <c r="C1733" t="inlineStr">
        <is>
          <t>Juros 8613.52508-1</t>
        </is>
      </c>
      <c r="D1733" s="7" t="n">
        <v>-4086.5</v>
      </c>
      <c r="E1733" t="inlineStr">
        <is>
          <t>(novo)</t>
        </is>
      </c>
      <c r="F1733" t="inlineStr"/>
      <c r="G1733" s="2" t="inlineStr">
        <is>
          <t>375</t>
        </is>
      </c>
      <c r="H1733">
        <f>IFERROR(VLOOKUP(G1733&amp;"",PLANO!A:B,2,FALSE),"CONTA NAO EXISTE NO PLANO")</f>
        <v/>
      </c>
      <c r="I1733" t="inlineStr">
        <is>
          <t>375</t>
        </is>
      </c>
      <c r="J1733" t="inlineStr">
        <is>
          <t>OK</t>
        </is>
      </c>
      <c r="K1733" t="inlineStr"/>
      <c r="L1733" t="inlineStr"/>
      <c r="M1733" t="inlineStr">
        <is>
          <t>JUROS 8613.52508-1</t>
        </is>
      </c>
    </row>
    <row r="1734">
      <c r="A1734" t="n">
        <v>1733</v>
      </c>
      <c r="B1734" t="inlineStr">
        <is>
          <t>24/08/2026</t>
        </is>
      </c>
      <c r="C1734" t="inlineStr">
        <is>
          <t>Rend Pago Aplic Aut Mais</t>
        </is>
      </c>
      <c r="D1734" s="7" t="n">
        <v>0.01</v>
      </c>
      <c r="E1734" t="inlineStr">
        <is>
          <t>(novo)</t>
        </is>
      </c>
      <c r="F1734" t="inlineStr"/>
      <c r="G1734" s="2" t="inlineStr">
        <is>
          <t>432</t>
        </is>
      </c>
      <c r="H1734">
        <f>IFERROR(VLOOKUP(G1734&amp;"",PLANO!A:B,2,FALSE),"CONTA NAO EXISTE NO PLANO")</f>
        <v/>
      </c>
      <c r="I1734" t="inlineStr">
        <is>
          <t>432</t>
        </is>
      </c>
      <c r="J1734" t="inlineStr">
        <is>
          <t>OK</t>
        </is>
      </c>
      <c r="K1734" t="inlineStr"/>
      <c r="L1734" t="inlineStr"/>
      <c r="M1734" t="inlineStr">
        <is>
          <t>RENDIMENTO APLICACAO AUTOMATICA ITAU</t>
        </is>
      </c>
    </row>
    <row r="1735">
      <c r="A1735" s="4" t="n">
        <v>1734</v>
      </c>
      <c r="B1735" s="4" t="inlineStr">
        <is>
          <t>25/08/2026</t>
        </is>
      </c>
      <c r="C1735" s="4" t="inlineStr">
        <is>
          <t>PIX ENVIADO FIQUE BEM CO</t>
        </is>
      </c>
      <c r="D1735" s="5" t="n">
        <v>-15000</v>
      </c>
      <c r="E1735" s="4" t="inlineStr">
        <is>
          <t>(novo)</t>
        </is>
      </c>
      <c r="F1735" s="4" t="inlineStr"/>
      <c r="G1735" s="6" t="inlineStr">
        <is>
          <t>366</t>
        </is>
      </c>
      <c r="H1735" s="4">
        <f>IFERROR(VLOOKUP(G1735&amp;"",PLANO!A:B,2,FALSE),"CONTA NAO EXISTE NO PLANO")</f>
        <v/>
      </c>
      <c r="I1735" s="4" t="inlineStr">
        <is>
          <t>672</t>
        </is>
      </c>
      <c r="J1735" s="4" t="inlineStr">
        <is>
          <t>AJUSTADO</t>
        </is>
      </c>
      <c r="K1735" s="4" t="inlineStr">
        <is>
          <t>GULA/FIQUE BEM (mesmo CNPJ, empresa do grupo) - mutuo em EMPRESTIMOS A TERCEIROS (366); nao e fornecedor</t>
        </is>
      </c>
      <c r="L1735" s="4" t="inlineStr"/>
      <c r="M1735" s="4" t="inlineStr">
        <is>
          <t>PIX ENVIADO FIQUE BEM CO</t>
        </is>
      </c>
    </row>
    <row r="1736">
      <c r="A1736" t="n">
        <v>1735</v>
      </c>
      <c r="B1736" t="inlineStr">
        <is>
          <t>25/08/2026</t>
        </is>
      </c>
      <c r="C1736" t="inlineStr">
        <is>
          <t>PIX ENVIADO SUZAN CRISTI</t>
        </is>
      </c>
      <c r="D1736" s="7" t="n">
        <v>-1000</v>
      </c>
      <c r="E1736" t="inlineStr">
        <is>
          <t>(novo)</t>
        </is>
      </c>
      <c r="F1736" t="inlineStr"/>
      <c r="G1736" s="2" t="inlineStr">
        <is>
          <t>362</t>
        </is>
      </c>
      <c r="H1736">
        <f>IFERROR(VLOOKUP(G1736&amp;"",PLANO!A:B,2,FALSE),"CONTA NAO EXISTE NO PLANO")</f>
        <v/>
      </c>
      <c r="I1736" t="inlineStr">
        <is>
          <t>362</t>
        </is>
      </c>
      <c r="J1736" t="inlineStr">
        <is>
          <t>OK</t>
        </is>
      </c>
      <c r="K1736" t="inlineStr"/>
      <c r="L1736" t="inlineStr"/>
      <c r="M1736" t="inlineStr">
        <is>
          <t>PIX ENVIADO SUZAN CRISTI</t>
        </is>
      </c>
    </row>
    <row r="1737">
      <c r="A1737" t="n">
        <v>1736</v>
      </c>
      <c r="B1737" t="inlineStr">
        <is>
          <t>25/08/2026</t>
        </is>
      </c>
      <c r="C1737" t="inlineStr">
        <is>
          <t>BOLETO PAGO PENSU EXACTU</t>
        </is>
      </c>
      <c r="D1737" s="7" t="n">
        <v>-612.25</v>
      </c>
      <c r="E1737" t="inlineStr">
        <is>
          <t>(novo)</t>
        </is>
      </c>
      <c r="F1737" t="inlineStr"/>
      <c r="G1737" s="2" t="inlineStr">
        <is>
          <t>506</t>
        </is>
      </c>
      <c r="H1737">
        <f>IFERROR(VLOOKUP(G1737&amp;"",PLANO!A:B,2,FALSE),"CONTA NAO EXISTE NO PLANO")</f>
        <v/>
      </c>
      <c r="I1737" t="inlineStr">
        <is>
          <t>506</t>
        </is>
      </c>
      <c r="J1737" t="inlineStr">
        <is>
          <t>OK</t>
        </is>
      </c>
      <c r="K1737" t="inlineStr"/>
      <c r="L1737" t="inlineStr"/>
      <c r="M1737" t="inlineStr">
        <is>
          <t>BOLETO PAGO PENSU EXACTU</t>
        </is>
      </c>
    </row>
    <row r="1738">
      <c r="A1738" t="n">
        <v>1737</v>
      </c>
      <c r="B1738" t="inlineStr">
        <is>
          <t>25/08/2026</t>
        </is>
      </c>
      <c r="C1738" t="inlineStr">
        <is>
          <t>BOLETO PAGO MATIZAPLAST</t>
        </is>
      </c>
      <c r="D1738" s="7" t="n">
        <v>-933</v>
      </c>
      <c r="E1738" t="inlineStr">
        <is>
          <t>(novo)</t>
        </is>
      </c>
      <c r="F1738" t="inlineStr"/>
      <c r="G1738" s="2" t="inlineStr">
        <is>
          <t>506</t>
        </is>
      </c>
      <c r="H1738">
        <f>IFERROR(VLOOKUP(G1738&amp;"",PLANO!A:B,2,FALSE),"CONTA NAO EXISTE NO PLANO")</f>
        <v/>
      </c>
      <c r="I1738" t="inlineStr">
        <is>
          <t>506</t>
        </is>
      </c>
      <c r="J1738" t="inlineStr">
        <is>
          <t>OK</t>
        </is>
      </c>
      <c r="K1738" t="inlineStr"/>
      <c r="L1738" t="inlineStr"/>
      <c r="M1738" t="inlineStr">
        <is>
          <t>MATIZAPLAST PLASTICOS E CORANTES LTDAPAGAMENTO REFERENTE A COMPRA DE PIGMENTO BRANCO</t>
        </is>
      </c>
    </row>
    <row r="1739">
      <c r="A1739" t="n">
        <v>1738</v>
      </c>
      <c r="B1739" t="inlineStr">
        <is>
          <t>25/08/2026</t>
        </is>
      </c>
      <c r="C1739" t="inlineStr">
        <is>
          <t>BOLETO PAGO DINACO IMPOR</t>
        </is>
      </c>
      <c r="D1739" s="7" t="n">
        <v>-1118.22</v>
      </c>
      <c r="E1739" t="inlineStr">
        <is>
          <t>(novo)</t>
        </is>
      </c>
      <c r="F1739" t="inlineStr"/>
      <c r="G1739" s="2" t="inlineStr">
        <is>
          <t>506</t>
        </is>
      </c>
      <c r="H1739">
        <f>IFERROR(VLOOKUP(G1739&amp;"",PLANO!A:B,2,FALSE),"CONTA NAO EXISTE NO PLANO")</f>
        <v/>
      </c>
      <c r="I1739" t="inlineStr">
        <is>
          <t>506</t>
        </is>
      </c>
      <c r="J1739" t="inlineStr">
        <is>
          <t>OK</t>
        </is>
      </c>
      <c r="K1739" t="inlineStr"/>
      <c r="L1739" t="inlineStr"/>
      <c r="M1739" t="inlineStr">
        <is>
          <t>BOLETO PAGO DINACO IMPOR</t>
        </is>
      </c>
    </row>
    <row r="1740">
      <c r="A1740" t="n">
        <v>1739</v>
      </c>
      <c r="B1740" t="inlineStr">
        <is>
          <t>25/08/2026</t>
        </is>
      </c>
      <c r="C1740" t="inlineStr">
        <is>
          <t>BOLETO PAGO QUIMIFORMULA</t>
        </is>
      </c>
      <c r="D1740" s="7" t="n">
        <v>-1014.48</v>
      </c>
      <c r="E1740" t="inlineStr">
        <is>
          <t>(novo)</t>
        </is>
      </c>
      <c r="F1740" t="inlineStr"/>
      <c r="G1740" s="2" t="inlineStr">
        <is>
          <t>506</t>
        </is>
      </c>
      <c r="H1740">
        <f>IFERROR(VLOOKUP(G1740&amp;"",PLANO!A:B,2,FALSE),"CONTA NAO EXISTE NO PLANO")</f>
        <v/>
      </c>
      <c r="I1740" t="inlineStr">
        <is>
          <t>506</t>
        </is>
      </c>
      <c r="J1740" t="inlineStr">
        <is>
          <t>OK</t>
        </is>
      </c>
      <c r="K1740" t="inlineStr"/>
      <c r="L1740" t="inlineStr"/>
      <c r="M1740" t="inlineStr">
        <is>
          <t>BOLETO PAGO QUIMIFORMULA</t>
        </is>
      </c>
    </row>
    <row r="1741">
      <c r="A1741" t="n">
        <v>1740</v>
      </c>
      <c r="B1741" t="inlineStr">
        <is>
          <t>25/08/2026</t>
        </is>
      </c>
      <c r="C1741" t="inlineStr">
        <is>
          <t>Sispag GUIDI COSMETICOS</t>
        </is>
      </c>
      <c r="D1741" s="7" t="n">
        <v>2461.12</v>
      </c>
      <c r="E1741" t="inlineStr">
        <is>
          <t>(novo)</t>
        </is>
      </c>
      <c r="F1741" t="inlineStr"/>
      <c r="G1741" s="2" t="inlineStr">
        <is>
          <t>504</t>
        </is>
      </c>
      <c r="H1741">
        <f>IFERROR(VLOOKUP(G1741&amp;"",PLANO!A:B,2,FALSE),"CONTA NAO EXISTE NO PLANO")</f>
        <v/>
      </c>
      <c r="I1741" t="inlineStr">
        <is>
          <t>504</t>
        </is>
      </c>
      <c r="J1741" t="inlineStr">
        <is>
          <t>OK</t>
        </is>
      </c>
      <c r="K1741" t="inlineStr"/>
      <c r="L1741" t="inlineStr"/>
      <c r="M1741" t="inlineStr">
        <is>
          <t>SISPAG GUIDI COSMETICOS</t>
        </is>
      </c>
    </row>
    <row r="1742">
      <c r="A1742" t="n">
        <v>1741</v>
      </c>
      <c r="B1742" t="inlineStr">
        <is>
          <t>25/08/2026</t>
        </is>
      </c>
      <c r="C1742" t="inlineStr">
        <is>
          <t>Mov Tít Cob Disp 25/08S</t>
        </is>
      </c>
      <c r="D1742" s="7" t="n">
        <v>2207.73</v>
      </c>
      <c r="E1742" t="inlineStr">
        <is>
          <t>(novo)</t>
        </is>
      </c>
      <c r="F1742" t="inlineStr"/>
      <c r="G1742" s="2" t="inlineStr">
        <is>
          <t>504</t>
        </is>
      </c>
      <c r="H1742">
        <f>IFERROR(VLOOKUP(G1742&amp;"",PLANO!A:B,2,FALSE),"CONTA NAO EXISTE NO PLANO")</f>
        <v/>
      </c>
      <c r="I1742" t="inlineStr">
        <is>
          <t>504</t>
        </is>
      </c>
      <c r="J1742" t="inlineStr">
        <is>
          <t>OK</t>
        </is>
      </c>
      <c r="K1742" t="inlineStr"/>
      <c r="L1742" t="inlineStr"/>
      <c r="M1742" t="inlineStr">
        <is>
          <t>MOV TÍT COB DISP 25/08S</t>
        </is>
      </c>
    </row>
    <row r="1743">
      <c r="A1743" t="n">
        <v>1742</v>
      </c>
      <c r="B1743" t="inlineStr">
        <is>
          <t>25/08/2026</t>
        </is>
      </c>
      <c r="C1743" t="inlineStr">
        <is>
          <t>PIX TRANSF JRB COS25/08</t>
        </is>
      </c>
      <c r="D1743" s="7" t="n">
        <v>6119.27</v>
      </c>
      <c r="E1743" t="inlineStr">
        <is>
          <t>(novo)</t>
        </is>
      </c>
      <c r="F1743" t="inlineStr"/>
      <c r="G1743" s="2" t="inlineStr">
        <is>
          <t>504</t>
        </is>
      </c>
      <c r="H1743">
        <f>IFERROR(VLOOKUP(G1743&amp;"",PLANO!A:B,2,FALSE),"CONTA NAO EXISTE NO PLANO")</f>
        <v/>
      </c>
      <c r="I1743" t="inlineStr">
        <is>
          <t>504</t>
        </is>
      </c>
      <c r="J1743" t="inlineStr">
        <is>
          <t>OK</t>
        </is>
      </c>
      <c r="K1743" t="inlineStr"/>
      <c r="L1743" t="inlineStr"/>
      <c r="M1743" t="inlineStr">
        <is>
          <t>PIX TRANSF JRB COS25/08</t>
        </is>
      </c>
    </row>
    <row r="1744">
      <c r="A1744" t="n">
        <v>1743</v>
      </c>
      <c r="B1744" t="inlineStr">
        <is>
          <t>25/08/2026</t>
        </is>
      </c>
      <c r="C1744" t="inlineStr">
        <is>
          <t>PIX TRANSF Onixsul25/08</t>
        </is>
      </c>
      <c r="D1744" s="7" t="n">
        <v>595</v>
      </c>
      <c r="E1744" t="inlineStr">
        <is>
          <t>(novo)</t>
        </is>
      </c>
      <c r="F1744" t="inlineStr"/>
      <c r="G1744" s="2" t="inlineStr">
        <is>
          <t>504</t>
        </is>
      </c>
      <c r="H1744">
        <f>IFERROR(VLOOKUP(G1744&amp;"",PLANO!A:B,2,FALSE),"CONTA NAO EXISTE NO PLANO")</f>
        <v/>
      </c>
      <c r="I1744" t="inlineStr">
        <is>
          <t>504</t>
        </is>
      </c>
      <c r="J1744" t="inlineStr">
        <is>
          <t>OK</t>
        </is>
      </c>
      <c r="K1744" t="inlineStr"/>
      <c r="L1744" t="inlineStr"/>
      <c r="M1744" t="inlineStr">
        <is>
          <t>PIX TRANSF ONIXSUL25/08</t>
        </is>
      </c>
    </row>
    <row r="1745">
      <c r="A1745" t="n">
        <v>1744</v>
      </c>
      <c r="B1745" t="inlineStr">
        <is>
          <t>25/08/2026</t>
        </is>
      </c>
      <c r="C1745" t="inlineStr">
        <is>
          <t>PIX TRANSF RIBEIRO25/08</t>
        </is>
      </c>
      <c r="D1745" s="7" t="n">
        <v>2713</v>
      </c>
      <c r="E1745" t="inlineStr">
        <is>
          <t>(novo)</t>
        </is>
      </c>
      <c r="F1745" t="inlineStr"/>
      <c r="G1745" s="2" t="inlineStr">
        <is>
          <t>504</t>
        </is>
      </c>
      <c r="H1745">
        <f>IFERROR(VLOOKUP(G1745&amp;"",PLANO!A:B,2,FALSE),"CONTA NAO EXISTE NO PLANO")</f>
        <v/>
      </c>
      <c r="I1745" t="inlineStr">
        <is>
          <t>504</t>
        </is>
      </c>
      <c r="J1745" t="inlineStr">
        <is>
          <t>OK</t>
        </is>
      </c>
      <c r="K1745" t="inlineStr"/>
      <c r="L1745" t="inlineStr"/>
      <c r="M1745" t="inlineStr">
        <is>
          <t>PIX TRANSF RIBEIRO25/08</t>
        </is>
      </c>
    </row>
    <row r="1746">
      <c r="A1746" t="n">
        <v>1745</v>
      </c>
      <c r="B1746" t="inlineStr">
        <is>
          <t>25/08/2026</t>
        </is>
      </c>
      <c r="C1746" t="inlineStr">
        <is>
          <t>PIX TRANSF Tivolli25/08</t>
        </is>
      </c>
      <c r="D1746" s="7" t="n">
        <v>2443</v>
      </c>
      <c r="E1746" t="inlineStr">
        <is>
          <t>(novo)</t>
        </is>
      </c>
      <c r="F1746" t="inlineStr"/>
      <c r="G1746" s="2" t="inlineStr">
        <is>
          <t>504</t>
        </is>
      </c>
      <c r="H1746">
        <f>IFERROR(VLOOKUP(G1746&amp;"",PLANO!A:B,2,FALSE),"CONTA NAO EXISTE NO PLANO")</f>
        <v/>
      </c>
      <c r="I1746" t="inlineStr">
        <is>
          <t>504</t>
        </is>
      </c>
      <c r="J1746" t="inlineStr">
        <is>
          <t>OK</t>
        </is>
      </c>
      <c r="K1746" t="inlineStr"/>
      <c r="L1746" t="inlineStr"/>
      <c r="M1746" t="inlineStr">
        <is>
          <t>PIX TRANSF TIVOLLI25/08</t>
        </is>
      </c>
    </row>
    <row r="1747">
      <c r="A1747" t="n">
        <v>1746</v>
      </c>
      <c r="B1747" t="inlineStr">
        <is>
          <t>25/08/2026</t>
        </is>
      </c>
      <c r="C1747" t="inlineStr">
        <is>
          <t>TED 363.0001.RNX F M D R</t>
        </is>
      </c>
      <c r="D1747" s="7" t="n">
        <v>13648.29</v>
      </c>
      <c r="E1747" t="inlineStr">
        <is>
          <t>(novo)</t>
        </is>
      </c>
      <c r="F1747" t="inlineStr"/>
      <c r="G1747" s="2" t="inlineStr">
        <is>
          <t>504</t>
        </is>
      </c>
      <c r="H1747">
        <f>IFERROR(VLOOKUP(G1747&amp;"",PLANO!A:B,2,FALSE),"CONTA NAO EXISTE NO PLANO")</f>
        <v/>
      </c>
      <c r="I1747" t="inlineStr">
        <is>
          <t>504</t>
        </is>
      </c>
      <c r="J1747" t="inlineStr">
        <is>
          <t>OK</t>
        </is>
      </c>
      <c r="K1747" t="inlineStr"/>
      <c r="L1747" t="inlineStr"/>
      <c r="M1747" t="inlineStr">
        <is>
          <t>TED 363.0001.RNX F M D R</t>
        </is>
      </c>
    </row>
    <row r="1748">
      <c r="A1748" t="n">
        <v>1747</v>
      </c>
      <c r="B1748" t="inlineStr">
        <is>
          <t>25/08/2026</t>
        </is>
      </c>
      <c r="C1748" t="inlineStr">
        <is>
          <t>Tar/Custas Cobrança</t>
        </is>
      </c>
      <c r="D1748" s="7" t="n">
        <v>-9.140000000000001</v>
      </c>
      <c r="E1748" t="inlineStr">
        <is>
          <t>(novo)</t>
        </is>
      </c>
      <c r="F1748" t="inlineStr"/>
      <c r="G1748" s="2" t="inlineStr">
        <is>
          <t>626</t>
        </is>
      </c>
      <c r="H1748">
        <f>IFERROR(VLOOKUP(G1748&amp;"",PLANO!A:B,2,FALSE),"CONTA NAO EXISTE NO PLANO")</f>
        <v/>
      </c>
      <c r="I1748" t="inlineStr">
        <is>
          <t>626</t>
        </is>
      </c>
      <c r="J1748" t="inlineStr">
        <is>
          <t>OK</t>
        </is>
      </c>
      <c r="K1748" t="inlineStr"/>
      <c r="L1748" t="inlineStr"/>
      <c r="M1748" t="inlineStr">
        <is>
          <t>TAR/CUSTAS COBRANÇA</t>
        </is>
      </c>
    </row>
    <row r="1749">
      <c r="A1749" t="n">
        <v>1748</v>
      </c>
      <c r="B1749" t="inlineStr">
        <is>
          <t>26/08/2026</t>
        </is>
      </c>
      <c r="C1749" t="inlineStr">
        <is>
          <t>Pgto Mín-ITAUCARD-1147</t>
        </is>
      </c>
      <c r="D1749" s="7" t="n">
        <v>-5705.91</v>
      </c>
      <c r="E1749" t="inlineStr">
        <is>
          <t>(novo)</t>
        </is>
      </c>
      <c r="F1749" t="inlineStr"/>
      <c r="G1749" s="2" t="inlineStr">
        <is>
          <t>357</t>
        </is>
      </c>
      <c r="H1749">
        <f>IFERROR(VLOOKUP(G1749&amp;"",PLANO!A:B,2,FALSE),"CONTA NAO EXISTE NO PLANO")</f>
        <v/>
      </c>
      <c r="I1749" t="inlineStr">
        <is>
          <t>357</t>
        </is>
      </c>
      <c r="J1749" t="inlineStr">
        <is>
          <t>OK</t>
        </is>
      </c>
      <c r="K1749" t="inlineStr"/>
      <c r="L1749" t="inlineStr"/>
      <c r="M1749" t="inlineStr">
        <is>
          <t>PGTO MÍN-ITAUCARD-1147</t>
        </is>
      </c>
    </row>
    <row r="1750">
      <c r="A1750" t="n">
        <v>1749</v>
      </c>
      <c r="B1750" t="inlineStr">
        <is>
          <t>26/08/2026</t>
        </is>
      </c>
      <c r="C1750" t="inlineStr">
        <is>
          <t>PIX ENVIADO CHEMYUNION L</t>
        </is>
      </c>
      <c r="D1750" s="7" t="n">
        <v>-4688.35</v>
      </c>
      <c r="E1750" t="inlineStr">
        <is>
          <t>(novo)</t>
        </is>
      </c>
      <c r="F1750" t="inlineStr"/>
      <c r="G1750" s="2" t="inlineStr">
        <is>
          <t>506</t>
        </is>
      </c>
      <c r="H1750">
        <f>IFERROR(VLOOKUP(G1750&amp;"",PLANO!A:B,2,FALSE),"CONTA NAO EXISTE NO PLANO")</f>
        <v/>
      </c>
      <c r="I1750" t="inlineStr">
        <is>
          <t>506</t>
        </is>
      </c>
      <c r="J1750" t="inlineStr">
        <is>
          <t>OK</t>
        </is>
      </c>
      <c r="K1750" t="inlineStr"/>
      <c r="L1750" t="inlineStr"/>
      <c r="M1750" t="inlineStr">
        <is>
          <t>CHEMYUNION LTDA PGTO REF. A COMPRA DE MATERIA PRIMA, UNIOX 200 KG</t>
        </is>
      </c>
    </row>
    <row r="1751">
      <c r="A1751" s="4" t="n">
        <v>1750</v>
      </c>
      <c r="B1751" s="4" t="inlineStr">
        <is>
          <t>26/08/2026</t>
        </is>
      </c>
      <c r="C1751" s="4" t="inlineStr">
        <is>
          <t>PIX ENVIADO FIQUE BEM CO</t>
        </is>
      </c>
      <c r="D1751" s="5" t="n">
        <v>-10000</v>
      </c>
      <c r="E1751" s="4" t="inlineStr">
        <is>
          <t>(novo)</t>
        </is>
      </c>
      <c r="F1751" s="4" t="inlineStr"/>
      <c r="G1751" s="6" t="inlineStr">
        <is>
          <t>366</t>
        </is>
      </c>
      <c r="H1751" s="4">
        <f>IFERROR(VLOOKUP(G1751&amp;"",PLANO!A:B,2,FALSE),"CONTA NAO EXISTE NO PLANO")</f>
        <v/>
      </c>
      <c r="I1751" s="4" t="inlineStr">
        <is>
          <t>672</t>
        </is>
      </c>
      <c r="J1751" s="4" t="inlineStr">
        <is>
          <t>AJUSTADO</t>
        </is>
      </c>
      <c r="K1751" s="4" t="inlineStr">
        <is>
          <t>GULA/FIQUE BEM (mesmo CNPJ, empresa do grupo) - mutuo em EMPRESTIMOS A TERCEIROS (366); nao e fornecedor</t>
        </is>
      </c>
      <c r="L1751" s="4" t="inlineStr"/>
      <c r="M1751" s="4" t="inlineStr">
        <is>
          <t>PIX ENVIADO FIQUE BEM CO</t>
        </is>
      </c>
    </row>
    <row r="1752">
      <c r="A1752" s="11" t="n">
        <v>1751</v>
      </c>
      <c r="B1752" s="11" t="inlineStr">
        <is>
          <t>26/08/2026</t>
        </is>
      </c>
      <c r="C1752" s="11" t="inlineStr">
        <is>
          <t>BOLETO PAGO MAIAN INDUST</t>
        </is>
      </c>
      <c r="D1752" s="12" t="n">
        <v>-1652.18</v>
      </c>
      <c r="E1752" s="11" t="inlineStr">
        <is>
          <t>(novo)</t>
        </is>
      </c>
      <c r="F1752" s="11" t="inlineStr"/>
      <c r="G1752" s="13" t="inlineStr">
        <is>
          <t>506</t>
        </is>
      </c>
      <c r="H1752" s="11">
        <f>IFERROR(VLOOKUP(G1752&amp;"",PLANO!A:B,2,FALSE),"CONTA NAO EXISTE NO PLANO")</f>
        <v/>
      </c>
      <c r="I1752" s="11" t="inlineStr">
        <is>
          <t>506</t>
        </is>
      </c>
      <c r="J1752" s="11" t="inlineStr">
        <is>
          <t>MANTIDO</t>
        </is>
      </c>
      <c r="K1752" s="11" t="inlineStr">
        <is>
          <t>pagamento sem referencia - tratado como fornecedor (506)</t>
        </is>
      </c>
      <c r="L1752" s="11" t="inlineStr"/>
      <c r="M1752" s="11" t="inlineStr">
        <is>
          <t>BOLETO PAGO MAIAN INDUST</t>
        </is>
      </c>
    </row>
    <row r="1753">
      <c r="A1753" t="n">
        <v>1752</v>
      </c>
      <c r="B1753" t="inlineStr">
        <is>
          <t>26/08/2026</t>
        </is>
      </c>
      <c r="C1753" t="inlineStr">
        <is>
          <t>Mov Tít Cob Disp 26/08S</t>
        </is>
      </c>
      <c r="D1753" s="7" t="n">
        <v>2606.18</v>
      </c>
      <c r="E1753" t="inlineStr">
        <is>
          <t>(novo)</t>
        </is>
      </c>
      <c r="F1753" t="inlineStr"/>
      <c r="G1753" s="2" t="inlineStr">
        <is>
          <t>504</t>
        </is>
      </c>
      <c r="H1753">
        <f>IFERROR(VLOOKUP(G1753&amp;"",PLANO!A:B,2,FALSE),"CONTA NAO EXISTE NO PLANO")</f>
        <v/>
      </c>
      <c r="I1753" t="inlineStr">
        <is>
          <t>504</t>
        </is>
      </c>
      <c r="J1753" t="inlineStr">
        <is>
          <t>OK</t>
        </is>
      </c>
      <c r="K1753" t="inlineStr"/>
      <c r="L1753" t="inlineStr"/>
      <c r="M1753" t="inlineStr">
        <is>
          <t>MOV TÍT COB DISP 26/08S</t>
        </is>
      </c>
    </row>
    <row r="1754">
      <c r="A1754" t="n">
        <v>1753</v>
      </c>
      <c r="B1754" t="inlineStr">
        <is>
          <t>26/08/2026</t>
        </is>
      </c>
      <c r="C1754" t="inlineStr">
        <is>
          <t>TED 448.0000.FIDC O R</t>
        </is>
      </c>
      <c r="D1754" s="7" t="n">
        <v>5256.85</v>
      </c>
      <c r="E1754" t="inlineStr">
        <is>
          <t>(novo)</t>
        </is>
      </c>
      <c r="F1754" t="inlineStr"/>
      <c r="G1754" s="2" t="inlineStr">
        <is>
          <t>504</t>
        </is>
      </c>
      <c r="H1754">
        <f>IFERROR(VLOOKUP(G1754&amp;"",PLANO!A:B,2,FALSE),"CONTA NAO EXISTE NO PLANO")</f>
        <v/>
      </c>
      <c r="I1754" t="inlineStr">
        <is>
          <t>504</t>
        </is>
      </c>
      <c r="J1754" t="inlineStr">
        <is>
          <t>OK</t>
        </is>
      </c>
      <c r="K1754" t="inlineStr"/>
      <c r="L1754" t="inlineStr"/>
      <c r="M1754" t="inlineStr">
        <is>
          <t>TED 448.0000.FIDC O R</t>
        </is>
      </c>
    </row>
    <row r="1755">
      <c r="A1755" t="n">
        <v>1754</v>
      </c>
      <c r="B1755" t="inlineStr">
        <is>
          <t>26/08/2026</t>
        </is>
      </c>
      <c r="C1755" t="inlineStr">
        <is>
          <t>Tar/Custas Cobrança</t>
        </is>
      </c>
      <c r="D1755" s="7" t="n">
        <v>-18.28</v>
      </c>
      <c r="E1755" t="inlineStr">
        <is>
          <t>(novo)</t>
        </is>
      </c>
      <c r="F1755" t="inlineStr"/>
      <c r="G1755" s="2" t="inlineStr">
        <is>
          <t>626</t>
        </is>
      </c>
      <c r="H1755">
        <f>IFERROR(VLOOKUP(G1755&amp;"",PLANO!A:B,2,FALSE),"CONTA NAO EXISTE NO PLANO")</f>
        <v/>
      </c>
      <c r="I1755" t="inlineStr">
        <is>
          <t>626</t>
        </is>
      </c>
      <c r="J1755" t="inlineStr">
        <is>
          <t>OK</t>
        </is>
      </c>
      <c r="K1755" t="inlineStr"/>
      <c r="L1755" t="inlineStr"/>
      <c r="M1755" t="inlineStr">
        <is>
          <t>TAR/CUSTAS COBRANÇA</t>
        </is>
      </c>
    </row>
    <row r="1756">
      <c r="A1756" t="n">
        <v>1755</v>
      </c>
      <c r="B1756" t="inlineStr">
        <is>
          <t>26/08/2026</t>
        </is>
      </c>
      <c r="C1756" t="inlineStr">
        <is>
          <t>Rend Pago Aplic Aut Mais</t>
        </is>
      </c>
      <c r="D1756" s="7" t="n">
        <v>0.01</v>
      </c>
      <c r="E1756" t="inlineStr">
        <is>
          <t>(novo)</t>
        </is>
      </c>
      <c r="F1756" t="inlineStr"/>
      <c r="G1756" s="2" t="inlineStr">
        <is>
          <t>432</t>
        </is>
      </c>
      <c r="H1756">
        <f>IFERROR(VLOOKUP(G1756&amp;"",PLANO!A:B,2,FALSE),"CONTA NAO EXISTE NO PLANO")</f>
        <v/>
      </c>
      <c r="I1756" t="inlineStr">
        <is>
          <t>432</t>
        </is>
      </c>
      <c r="J1756" t="inlineStr">
        <is>
          <t>OK</t>
        </is>
      </c>
      <c r="K1756" t="inlineStr"/>
      <c r="L1756" t="inlineStr"/>
      <c r="M1756" t="inlineStr">
        <is>
          <t>RENDIMENTO APLICACAO AUTOMATICA ITAU</t>
        </is>
      </c>
    </row>
    <row r="1757">
      <c r="A1757" s="11" t="n">
        <v>1756</v>
      </c>
      <c r="B1757" s="11" t="inlineStr">
        <is>
          <t>27/08/2026</t>
        </is>
      </c>
      <c r="C1757" s="11" t="inlineStr">
        <is>
          <t>PIX ENVIADO QUANTIQ DIST</t>
        </is>
      </c>
      <c r="D1757" s="12" t="n">
        <v>-1334.63</v>
      </c>
      <c r="E1757" s="11" t="inlineStr">
        <is>
          <t>(novo)</t>
        </is>
      </c>
      <c r="F1757" s="11" t="inlineStr"/>
      <c r="G1757" s="13" t="inlineStr">
        <is>
          <t>506</t>
        </is>
      </c>
      <c r="H1757" s="11">
        <f>IFERROR(VLOOKUP(G1757&amp;"",PLANO!A:B,2,FALSE),"CONTA NAO EXISTE NO PLANO")</f>
        <v/>
      </c>
      <c r="I1757" s="11" t="inlineStr">
        <is>
          <t>506</t>
        </is>
      </c>
      <c r="J1757" s="11" t="inlineStr">
        <is>
          <t>MANTIDO</t>
        </is>
      </c>
      <c r="K1757" s="11" t="inlineStr">
        <is>
          <t>pagamento sem referencia - tratado como fornecedor (506)</t>
        </is>
      </c>
      <c r="L1757" s="11" t="inlineStr"/>
      <c r="M1757" s="11" t="inlineStr">
        <is>
          <t>PIX ENVIADO QUANTIQ DIST</t>
        </is>
      </c>
    </row>
    <row r="1758">
      <c r="A1758" t="n">
        <v>1757</v>
      </c>
      <c r="B1758" t="inlineStr">
        <is>
          <t>27/08/2026</t>
        </is>
      </c>
      <c r="C1758" t="inlineStr">
        <is>
          <t>PIX ENVIADO PIZZA PACK C</t>
        </is>
      </c>
      <c r="D1758" s="7" t="n">
        <v>-2969</v>
      </c>
      <c r="E1758" t="inlineStr">
        <is>
          <t>(novo)</t>
        </is>
      </c>
      <c r="F1758" t="inlineStr"/>
      <c r="G1758" s="2" t="inlineStr">
        <is>
          <t>493</t>
        </is>
      </c>
      <c r="H1758">
        <f>IFERROR(VLOOKUP(G1758&amp;"",PLANO!A:B,2,FALSE),"CONTA NAO EXISTE NO PLANO")</f>
        <v/>
      </c>
      <c r="I1758" t="inlineStr">
        <is>
          <t>493</t>
        </is>
      </c>
      <c r="J1758" t="inlineStr">
        <is>
          <t>OK</t>
        </is>
      </c>
      <c r="K1758" t="inlineStr"/>
      <c r="L1758" t="inlineStr"/>
      <c r="M1758" t="inlineStr">
        <is>
          <t>PIX ENVIADO PIZZA PACK C</t>
        </is>
      </c>
    </row>
    <row r="1759">
      <c r="A1759" s="11" t="n">
        <v>1758</v>
      </c>
      <c r="B1759" s="11" t="inlineStr">
        <is>
          <t>27/08/2026</t>
        </is>
      </c>
      <c r="C1759" s="11" t="inlineStr">
        <is>
          <t>PIX ENVIADO DIPA QUIMICA</t>
        </is>
      </c>
      <c r="D1759" s="12" t="n">
        <v>-1870</v>
      </c>
      <c r="E1759" s="11" t="inlineStr">
        <is>
          <t>(novo)</t>
        </is>
      </c>
      <c r="F1759" s="11" t="inlineStr"/>
      <c r="G1759" s="13" t="inlineStr">
        <is>
          <t>506</t>
        </is>
      </c>
      <c r="H1759" s="11">
        <f>IFERROR(VLOOKUP(G1759&amp;"",PLANO!A:B,2,FALSE),"CONTA NAO EXISTE NO PLANO")</f>
        <v/>
      </c>
      <c r="I1759" s="11" t="inlineStr">
        <is>
          <t>506</t>
        </is>
      </c>
      <c r="J1759" s="11" t="inlineStr">
        <is>
          <t>MANTIDO</t>
        </is>
      </c>
      <c r="K1759" s="11" t="inlineStr">
        <is>
          <t>pagamento sem referencia - tratado como fornecedor (506)</t>
        </is>
      </c>
      <c r="L1759" s="11" t="inlineStr"/>
      <c r="M1759" s="11" t="inlineStr">
        <is>
          <t>PIX ENVIADO DIPA QUIMICA</t>
        </is>
      </c>
    </row>
    <row r="1760">
      <c r="A1760" t="n">
        <v>1759</v>
      </c>
      <c r="B1760" t="inlineStr">
        <is>
          <t>27/08/2026</t>
        </is>
      </c>
      <c r="C1760" t="inlineStr">
        <is>
          <t>Itaú Seg Vida Glob</t>
        </is>
      </c>
      <c r="D1760" s="7" t="n">
        <v>-292.21</v>
      </c>
      <c r="E1760" t="inlineStr">
        <is>
          <t>(novo)</t>
        </is>
      </c>
      <c r="F1760" t="inlineStr"/>
      <c r="G1760" s="2" t="inlineStr">
        <is>
          <t>642</t>
        </is>
      </c>
      <c r="H1760">
        <f>IFERROR(VLOOKUP(G1760&amp;"",PLANO!A:B,2,FALSE),"CONTA NAO EXISTE NO PLANO")</f>
        <v/>
      </c>
      <c r="I1760" t="inlineStr">
        <is>
          <t>642</t>
        </is>
      </c>
      <c r="J1760" t="inlineStr">
        <is>
          <t>OK</t>
        </is>
      </c>
      <c r="K1760" t="inlineStr"/>
      <c r="L1760" t="inlineStr"/>
      <c r="M1760" t="inlineStr">
        <is>
          <t>ITAÚ SEG VIDA GLOB</t>
        </is>
      </c>
    </row>
    <row r="1761">
      <c r="A1761" t="n">
        <v>1760</v>
      </c>
      <c r="B1761" t="inlineStr">
        <is>
          <t>27/08/2026</t>
        </is>
      </c>
      <c r="C1761" t="inlineStr">
        <is>
          <t>Sispag A F VOLCAO</t>
        </is>
      </c>
      <c r="D1761" s="7" t="n">
        <v>2500</v>
      </c>
      <c r="E1761" t="inlineStr">
        <is>
          <t>(novo)</t>
        </is>
      </c>
      <c r="F1761" t="inlineStr"/>
      <c r="G1761" s="2" t="inlineStr">
        <is>
          <t>504</t>
        </is>
      </c>
      <c r="H1761">
        <f>IFERROR(VLOOKUP(G1761&amp;"",PLANO!A:B,2,FALSE),"CONTA NAO EXISTE NO PLANO")</f>
        <v/>
      </c>
      <c r="I1761" t="inlineStr">
        <is>
          <t>504</t>
        </is>
      </c>
      <c r="J1761" t="inlineStr">
        <is>
          <t>OK</t>
        </is>
      </c>
      <c r="K1761" t="inlineStr"/>
      <c r="L1761" t="inlineStr"/>
      <c r="M1761" t="inlineStr">
        <is>
          <t>SISPAG A F VOLCAO</t>
        </is>
      </c>
    </row>
    <row r="1762">
      <c r="A1762" s="4" t="n">
        <v>1761</v>
      </c>
      <c r="B1762" s="4" t="inlineStr">
        <is>
          <t>27/08/2026</t>
        </is>
      </c>
      <c r="C1762" s="4" t="inlineStr">
        <is>
          <t>Sispag COSMETICON COMER</t>
        </is>
      </c>
      <c r="D1762" s="5" t="n">
        <v>3000</v>
      </c>
      <c r="E1762" s="4" t="inlineStr">
        <is>
          <t>(novo)</t>
        </is>
      </c>
      <c r="F1762" s="4" t="inlineStr"/>
      <c r="G1762" s="6" t="inlineStr">
        <is>
          <t>663</t>
        </is>
      </c>
      <c r="H1762" s="4">
        <f>IFERROR(VLOOKUP(G1762&amp;"",PLANO!A:B,2,FALSE),"CONTA NAO EXISTE NO PLANO")</f>
        <v/>
      </c>
      <c r="I1762" s="4" t="inlineStr">
        <is>
          <t>663</t>
        </is>
      </c>
      <c r="J1762" s="4" t="inlineStr">
        <is>
          <t>AJUSTADO</t>
        </is>
      </c>
      <c r="K1762" s="4" t="inlineStr">
        <is>
          <t>COSMETICON - conta-corrente unica de mutuo (663)</t>
        </is>
      </c>
      <c r="L1762" s="4" t="inlineStr"/>
      <c r="M1762" s="4" t="inlineStr">
        <is>
          <t>SISPAG COSMETICON COMER</t>
        </is>
      </c>
    </row>
    <row r="1763">
      <c r="A1763" s="4" t="n">
        <v>1762</v>
      </c>
      <c r="B1763" s="4" t="inlineStr">
        <is>
          <t>27/08/2026</t>
        </is>
      </c>
      <c r="C1763" s="4" t="inlineStr">
        <is>
          <t>Sispag GULA COSMETICOS</t>
        </is>
      </c>
      <c r="D1763" s="5" t="n">
        <v>1000</v>
      </c>
      <c r="E1763" s="4" t="inlineStr">
        <is>
          <t>(novo)</t>
        </is>
      </c>
      <c r="F1763" s="4" t="inlineStr"/>
      <c r="G1763" s="6" t="inlineStr">
        <is>
          <t>366</t>
        </is>
      </c>
      <c r="H1763" s="4">
        <f>IFERROR(VLOOKUP(G1763&amp;"",PLANO!A:B,2,FALSE),"CONTA NAO EXISTE NO PLANO")</f>
        <v/>
      </c>
      <c r="I1763" s="4" t="inlineStr">
        <is>
          <t>672</t>
        </is>
      </c>
      <c r="J1763" s="4" t="inlineStr">
        <is>
          <t>AJUSTADO</t>
        </is>
      </c>
      <c r="K1763" s="4" t="inlineStr">
        <is>
          <t>GULA/FIQUE BEM (mesmo CNPJ, empresa do grupo) - mutuo em EMPRESTIMOS A TERCEIROS (366); nao e fornecedor</t>
        </is>
      </c>
      <c r="L1763" s="4" t="inlineStr"/>
      <c r="M1763" s="4" t="inlineStr">
        <is>
          <t>SISPAG GULA COSMETICOS</t>
        </is>
      </c>
    </row>
    <row r="1764">
      <c r="A1764" t="n">
        <v>1763</v>
      </c>
      <c r="B1764" t="inlineStr">
        <is>
          <t>27/08/2026</t>
        </is>
      </c>
      <c r="C1764" t="inlineStr">
        <is>
          <t>Mov Tít Cob Disp 27/08S</t>
        </is>
      </c>
      <c r="D1764" s="7" t="n">
        <v>2490.33</v>
      </c>
      <c r="E1764" t="inlineStr">
        <is>
          <t>(novo)</t>
        </is>
      </c>
      <c r="F1764" t="inlineStr"/>
      <c r="G1764" s="2" t="inlineStr">
        <is>
          <t>504</t>
        </is>
      </c>
      <c r="H1764">
        <f>IFERROR(VLOOKUP(G1764&amp;"",PLANO!A:B,2,FALSE),"CONTA NAO EXISTE NO PLANO")</f>
        <v/>
      </c>
      <c r="I1764" t="inlineStr">
        <is>
          <t>504</t>
        </is>
      </c>
      <c r="J1764" t="inlineStr">
        <is>
          <t>OK</t>
        </is>
      </c>
      <c r="K1764" t="inlineStr"/>
      <c r="L1764" t="inlineStr"/>
      <c r="M1764" t="inlineStr">
        <is>
          <t>MOV TÍT COB DISP 27/08S</t>
        </is>
      </c>
    </row>
    <row r="1765">
      <c r="A1765" t="n">
        <v>1764</v>
      </c>
      <c r="B1765" t="inlineStr">
        <is>
          <t>27/08/2026</t>
        </is>
      </c>
      <c r="C1765" t="inlineStr">
        <is>
          <t>TED 448.0000.FIDC O R</t>
        </is>
      </c>
      <c r="D1765" s="7" t="n">
        <v>8545.92</v>
      </c>
      <c r="E1765" t="inlineStr">
        <is>
          <t>(novo)</t>
        </is>
      </c>
      <c r="F1765" t="inlineStr"/>
      <c r="G1765" s="2" t="inlineStr">
        <is>
          <t>504</t>
        </is>
      </c>
      <c r="H1765">
        <f>IFERROR(VLOOKUP(G1765&amp;"",PLANO!A:B,2,FALSE),"CONTA NAO EXISTE NO PLANO")</f>
        <v/>
      </c>
      <c r="I1765" t="inlineStr">
        <is>
          <t>504</t>
        </is>
      </c>
      <c r="J1765" t="inlineStr">
        <is>
          <t>OK</t>
        </is>
      </c>
      <c r="K1765" t="inlineStr"/>
      <c r="L1765" t="inlineStr"/>
      <c r="M1765" t="inlineStr">
        <is>
          <t>TED 448.0000.FIDC O R</t>
        </is>
      </c>
    </row>
    <row r="1766">
      <c r="A1766" s="11" t="n">
        <v>1765</v>
      </c>
      <c r="B1766" s="11" t="inlineStr">
        <is>
          <t>28/08/2026</t>
        </is>
      </c>
      <c r="C1766" s="11" t="inlineStr">
        <is>
          <t>PIX ENVIADO PROJETANDO A</t>
        </is>
      </c>
      <c r="D1766" s="12" t="n">
        <v>-22600</v>
      </c>
      <c r="E1766" s="11" t="inlineStr">
        <is>
          <t>(novo)</t>
        </is>
      </c>
      <c r="F1766" s="11" t="inlineStr"/>
      <c r="G1766" s="13" t="inlineStr">
        <is>
          <t>506</t>
        </is>
      </c>
      <c r="H1766" s="11">
        <f>IFERROR(VLOOKUP(G1766&amp;"",PLANO!A:B,2,FALSE),"CONTA NAO EXISTE NO PLANO")</f>
        <v/>
      </c>
      <c r="I1766" s="11" t="inlineStr">
        <is>
          <t>506</t>
        </is>
      </c>
      <c r="J1766" s="11" t="inlineStr">
        <is>
          <t>MANTIDO</t>
        </is>
      </c>
      <c r="K1766" s="11" t="inlineStr">
        <is>
          <t>4 PIX de 22.600,00 e 3 estornos (EST PROJETAND) - resta 1 pagamento liquido de 22.600,00; fornecedor nao identificado</t>
        </is>
      </c>
      <c r="L1766" s="11" t="inlineStr"/>
      <c r="M1766" s="11" t="inlineStr">
        <is>
          <t>PIX ENVIADO PROJETANDO A</t>
        </is>
      </c>
    </row>
    <row r="1767">
      <c r="A1767" s="11" t="n">
        <v>1766</v>
      </c>
      <c r="B1767" s="11" t="inlineStr">
        <is>
          <t>28/08/2026</t>
        </is>
      </c>
      <c r="C1767" s="11" t="inlineStr">
        <is>
          <t>PIX ENVIADO DIPA QUIMICA</t>
        </is>
      </c>
      <c r="D1767" s="12" t="n">
        <v>-1870</v>
      </c>
      <c r="E1767" s="11" t="inlineStr">
        <is>
          <t>(novo)</t>
        </is>
      </c>
      <c r="F1767" s="11" t="inlineStr"/>
      <c r="G1767" s="13" t="inlineStr">
        <is>
          <t>506</t>
        </is>
      </c>
      <c r="H1767" s="11">
        <f>IFERROR(VLOOKUP(G1767&amp;"",PLANO!A:B,2,FALSE),"CONTA NAO EXISTE NO PLANO")</f>
        <v/>
      </c>
      <c r="I1767" s="11" t="inlineStr">
        <is>
          <t>506</t>
        </is>
      </c>
      <c r="J1767" s="11" t="inlineStr">
        <is>
          <t>MANTIDO</t>
        </is>
      </c>
      <c r="K1767" s="11" t="inlineStr">
        <is>
          <t>pagamento sem referencia - tratado como fornecedor (506)</t>
        </is>
      </c>
      <c r="L1767" s="11" t="inlineStr"/>
      <c r="M1767" s="11" t="inlineStr">
        <is>
          <t>PIX ENVIADO DIPA QUIMICA</t>
        </is>
      </c>
    </row>
    <row r="1768">
      <c r="A1768" s="11" t="n">
        <v>1767</v>
      </c>
      <c r="B1768" s="11" t="inlineStr">
        <is>
          <t>28/08/2026</t>
        </is>
      </c>
      <c r="C1768" s="11" t="inlineStr">
        <is>
          <t>PIX ENVIADO PROJETANDO A</t>
        </is>
      </c>
      <c r="D1768" s="12" t="n">
        <v>-22600</v>
      </c>
      <c r="E1768" s="11" t="inlineStr">
        <is>
          <t>(novo)</t>
        </is>
      </c>
      <c r="F1768" s="11" t="inlineStr"/>
      <c r="G1768" s="13" t="inlineStr">
        <is>
          <t>506</t>
        </is>
      </c>
      <c r="H1768" s="11">
        <f>IFERROR(VLOOKUP(G1768&amp;"",PLANO!A:B,2,FALSE),"CONTA NAO EXISTE NO PLANO")</f>
        <v/>
      </c>
      <c r="I1768" s="11" t="inlineStr">
        <is>
          <t>506</t>
        </is>
      </c>
      <c r="J1768" s="11" t="inlineStr">
        <is>
          <t>MANTIDO</t>
        </is>
      </c>
      <c r="K1768" s="11" t="inlineStr">
        <is>
          <t>4 PIX de 22.600,00 e 3 estornos (EST PROJETAND) - resta 1 pagamento liquido de 22.600,00; fornecedor nao identificado</t>
        </is>
      </c>
      <c r="L1768" s="11" t="inlineStr"/>
      <c r="M1768" s="11" t="inlineStr">
        <is>
          <t>PIX ENVIADO PROJETANDO A</t>
        </is>
      </c>
    </row>
    <row r="1769">
      <c r="A1769" s="4" t="n">
        <v>1768</v>
      </c>
      <c r="B1769" s="4" t="inlineStr">
        <is>
          <t>28/08/2026</t>
        </is>
      </c>
      <c r="C1769" s="4" t="inlineStr">
        <is>
          <t>PIX ENVIADO FIQUE BEM CO</t>
        </is>
      </c>
      <c r="D1769" s="5" t="n">
        <v>-4000</v>
      </c>
      <c r="E1769" s="4" t="inlineStr">
        <is>
          <t>(novo)</t>
        </is>
      </c>
      <c r="F1769" s="4" t="inlineStr"/>
      <c r="G1769" s="6" t="inlineStr">
        <is>
          <t>366</t>
        </is>
      </c>
      <c r="H1769" s="4">
        <f>IFERROR(VLOOKUP(G1769&amp;"",PLANO!A:B,2,FALSE),"CONTA NAO EXISTE NO PLANO")</f>
        <v/>
      </c>
      <c r="I1769" s="4" t="inlineStr">
        <is>
          <t>672</t>
        </is>
      </c>
      <c r="J1769" s="4" t="inlineStr">
        <is>
          <t>AJUSTADO</t>
        </is>
      </c>
      <c r="K1769" s="4" t="inlineStr">
        <is>
          <t>GULA/FIQUE BEM (mesmo CNPJ, empresa do grupo) - mutuo em EMPRESTIMOS A TERCEIROS (366); nao e fornecedor</t>
        </is>
      </c>
      <c r="L1769" s="4" t="inlineStr"/>
      <c r="M1769" s="4" t="inlineStr">
        <is>
          <t>PIX ENVIADO FIQUE BEM CO</t>
        </is>
      </c>
    </row>
    <row r="1770">
      <c r="A1770" s="11" t="n">
        <v>1769</v>
      </c>
      <c r="B1770" s="11" t="inlineStr">
        <is>
          <t>28/08/2026</t>
        </is>
      </c>
      <c r="C1770" s="11" t="inlineStr">
        <is>
          <t>PIX ENVIADO PROJETANDO A</t>
        </is>
      </c>
      <c r="D1770" s="12" t="n">
        <v>-22600</v>
      </c>
      <c r="E1770" s="11" t="inlineStr">
        <is>
          <t>(novo)</t>
        </is>
      </c>
      <c r="F1770" s="11" t="inlineStr"/>
      <c r="G1770" s="13" t="inlineStr">
        <is>
          <t>506</t>
        </is>
      </c>
      <c r="H1770" s="11">
        <f>IFERROR(VLOOKUP(G1770&amp;"",PLANO!A:B,2,FALSE),"CONTA NAO EXISTE NO PLANO")</f>
        <v/>
      </c>
      <c r="I1770" s="11" t="inlineStr">
        <is>
          <t>506</t>
        </is>
      </c>
      <c r="J1770" s="11" t="inlineStr">
        <is>
          <t>MANTIDO</t>
        </is>
      </c>
      <c r="K1770" s="11" t="inlineStr">
        <is>
          <t>4 PIX de 22.600,00 e 3 estornos (EST PROJETAND) - resta 1 pagamento liquido de 22.600,00; fornecedor nao identificado</t>
        </is>
      </c>
      <c r="L1770" s="11" t="inlineStr"/>
      <c r="M1770" s="11" t="inlineStr">
        <is>
          <t>PIX ENVIADO PROJETANDO A</t>
        </is>
      </c>
    </row>
    <row r="1771">
      <c r="A1771" s="11" t="n">
        <v>1770</v>
      </c>
      <c r="B1771" s="11" t="inlineStr">
        <is>
          <t>28/08/2026</t>
        </is>
      </c>
      <c r="C1771" s="11" t="inlineStr">
        <is>
          <t>PIX ENVIADO PROJETANDO A</t>
        </is>
      </c>
      <c r="D1771" s="12" t="n">
        <v>-22600</v>
      </c>
      <c r="E1771" s="11" t="inlineStr">
        <is>
          <t>(novo)</t>
        </is>
      </c>
      <c r="F1771" s="11" t="inlineStr"/>
      <c r="G1771" s="13" t="inlineStr">
        <is>
          <t>506</t>
        </is>
      </c>
      <c r="H1771" s="11">
        <f>IFERROR(VLOOKUP(G1771&amp;"",PLANO!A:B,2,FALSE),"CONTA NAO EXISTE NO PLANO")</f>
        <v/>
      </c>
      <c r="I1771" s="11" t="inlineStr">
        <is>
          <t>506</t>
        </is>
      </c>
      <c r="J1771" s="11" t="inlineStr">
        <is>
          <t>MANTIDO</t>
        </is>
      </c>
      <c r="K1771" s="11" t="inlineStr">
        <is>
          <t>4 PIX de 22.600,00 e 3 estornos (EST PROJETAND) - resta 1 pagamento liquido de 22.600,00; fornecedor nao identificado</t>
        </is>
      </c>
      <c r="L1771" s="11" t="inlineStr"/>
      <c r="M1771" s="11" t="inlineStr">
        <is>
          <t>PIX ENVIADO PROJETANDO A</t>
        </is>
      </c>
    </row>
    <row r="1772">
      <c r="A1772" s="11" t="n">
        <v>1771</v>
      </c>
      <c r="B1772" s="11" t="inlineStr">
        <is>
          <t>28/08/2026</t>
        </is>
      </c>
      <c r="C1772" s="11" t="inlineStr">
        <is>
          <t>PIX ENVIADO REMAZZO COSM</t>
        </is>
      </c>
      <c r="D1772" s="12" t="n">
        <v>-1334.63</v>
      </c>
      <c r="E1772" s="11" t="inlineStr">
        <is>
          <t>(novo)</t>
        </is>
      </c>
      <c r="F1772" s="11" t="inlineStr"/>
      <c r="G1772" s="13" t="inlineStr">
        <is>
          <t>506</t>
        </is>
      </c>
      <c r="H1772" s="11">
        <f>IFERROR(VLOOKUP(G1772&amp;"",PLANO!A:B,2,FALSE),"CONTA NAO EXISTE NO PLANO")</f>
        <v/>
      </c>
      <c r="I1772" s="11" t="inlineStr">
        <is>
          <t>506</t>
        </is>
      </c>
      <c r="J1772" s="11" t="inlineStr">
        <is>
          <t>MANTIDO</t>
        </is>
      </c>
      <c r="K1772" s="11" t="inlineStr">
        <is>
          <t>pagamento sem referencia - tratado como fornecedor (506)</t>
        </is>
      </c>
      <c r="L1772" s="11" t="inlineStr"/>
      <c r="M1772" s="11" t="inlineStr">
        <is>
          <t>PIX ENVIADO REMAZZO COSM</t>
        </is>
      </c>
    </row>
    <row r="1773">
      <c r="A1773" t="n">
        <v>1772</v>
      </c>
      <c r="B1773" t="inlineStr">
        <is>
          <t>28/08/2026</t>
        </is>
      </c>
      <c r="C1773" t="inlineStr">
        <is>
          <t>BOLETO PAGO TABELIONATO</t>
        </is>
      </c>
      <c r="D1773" s="7" t="n">
        <v>-844.45</v>
      </c>
      <c r="E1773" t="inlineStr">
        <is>
          <t>(novo)</t>
        </is>
      </c>
      <c r="F1773" t="inlineStr"/>
      <c r="G1773" s="2" t="inlineStr">
        <is>
          <t>350</t>
        </is>
      </c>
      <c r="H1773">
        <f>IFERROR(VLOOKUP(G1773&amp;"",PLANO!A:B,2,FALSE),"CONTA NAO EXISTE NO PLANO")</f>
        <v/>
      </c>
      <c r="I1773" t="inlineStr">
        <is>
          <t>350</t>
        </is>
      </c>
      <c r="J1773" t="inlineStr">
        <is>
          <t>OK</t>
        </is>
      </c>
      <c r="K1773" t="inlineStr"/>
      <c r="L1773" t="inlineStr"/>
      <c r="M1773" t="inlineStr">
        <is>
          <t>BOLETO PAGO TABELIONATO</t>
        </is>
      </c>
    </row>
    <row r="1774">
      <c r="A1774" t="n">
        <v>1773</v>
      </c>
      <c r="B1774" t="inlineStr">
        <is>
          <t>28/08/2026</t>
        </is>
      </c>
      <c r="C1774" t="inlineStr">
        <is>
          <t>BOLETO PAGO QUIMIFORMULA</t>
        </is>
      </c>
      <c r="D1774" s="7" t="n">
        <v>-1166.76</v>
      </c>
      <c r="E1774" t="inlineStr">
        <is>
          <t>(novo)</t>
        </is>
      </c>
      <c r="F1774" t="inlineStr"/>
      <c r="G1774" s="2" t="inlineStr">
        <is>
          <t>506</t>
        </is>
      </c>
      <c r="H1774">
        <f>IFERROR(VLOOKUP(G1774&amp;"",PLANO!A:B,2,FALSE),"CONTA NAO EXISTE NO PLANO")</f>
        <v/>
      </c>
      <c r="I1774" t="inlineStr">
        <is>
          <t>506</t>
        </is>
      </c>
      <c r="J1774" t="inlineStr">
        <is>
          <t>OK</t>
        </is>
      </c>
      <c r="K1774" t="inlineStr"/>
      <c r="L1774" t="inlineStr"/>
      <c r="M1774" t="inlineStr">
        <is>
          <t>BOLETO PAGO QUIMIFORMULA</t>
        </is>
      </c>
    </row>
    <row r="1775">
      <c r="A1775" s="11" t="n">
        <v>1774</v>
      </c>
      <c r="B1775" s="11" t="inlineStr">
        <is>
          <t>28/08/2026</t>
        </is>
      </c>
      <c r="C1775" s="11" t="inlineStr">
        <is>
          <t>BOLETO PAGO EMBACAPS</t>
        </is>
      </c>
      <c r="D1775" s="12" t="n">
        <v>-2043.97</v>
      </c>
      <c r="E1775" s="11" t="inlineStr">
        <is>
          <t>(novo)</t>
        </is>
      </c>
      <c r="F1775" s="11" t="inlineStr"/>
      <c r="G1775" s="13" t="inlineStr">
        <is>
          <t>506</t>
        </is>
      </c>
      <c r="H1775" s="11">
        <f>IFERROR(VLOOKUP(G1775&amp;"",PLANO!A:B,2,FALSE),"CONTA NAO EXISTE NO PLANO")</f>
        <v/>
      </c>
      <c r="I1775" s="11" t="inlineStr">
        <is>
          <t>506</t>
        </is>
      </c>
      <c r="J1775" s="11" t="inlineStr">
        <is>
          <t>MANTIDO</t>
        </is>
      </c>
      <c r="K1775" s="11" t="inlineStr"/>
      <c r="L1775" s="11" t="inlineStr"/>
      <c r="M1775" s="11" t="inlineStr">
        <is>
          <t>EMBACAPS QUIMICA E FARMACEUTICA LTDA PAGAMENTO REFERENTE A COMPRA DE MATERIA PRIMA,BELSIL ADM 10KG, DEHYDOL 12KG ,ALCOOL CETO 1000KG,PLANTAREM 102KG</t>
        </is>
      </c>
    </row>
    <row r="1776">
      <c r="A1776" s="11" t="n">
        <v>1775</v>
      </c>
      <c r="B1776" s="11" t="inlineStr">
        <is>
          <t>28/08/2026</t>
        </is>
      </c>
      <c r="C1776" s="11" t="inlineStr">
        <is>
          <t>BOLETO PAGO EMBACAPS QUI</t>
        </is>
      </c>
      <c r="D1776" s="12" t="n">
        <v>-2059.65</v>
      </c>
      <c r="E1776" s="11" t="inlineStr">
        <is>
          <t>(novo)</t>
        </is>
      </c>
      <c r="F1776" s="11" t="inlineStr"/>
      <c r="G1776" s="13" t="inlineStr">
        <is>
          <t>506</t>
        </is>
      </c>
      <c r="H1776" s="11">
        <f>IFERROR(VLOOKUP(G1776&amp;"",PLANO!A:B,2,FALSE),"CONTA NAO EXISTE NO PLANO")</f>
        <v/>
      </c>
      <c r="I1776" s="11" t="inlineStr">
        <is>
          <t>506</t>
        </is>
      </c>
      <c r="J1776" s="11" t="inlineStr">
        <is>
          <t>MANTIDO</t>
        </is>
      </c>
      <c r="K1776" s="11" t="inlineStr"/>
      <c r="L1776" s="11" t="inlineStr"/>
      <c r="M1776" s="11" t="inlineStr">
        <is>
          <t>EMBACAPS QUIMICA E FARMACEUTICA LTDA PAGAMENTO REFERENTE A COMPRA DE MATERIA PRIMA,BELSIL ADM 10KG, DEHYDOL 12KG ,ALCOOL CETO 1000KG,PLANTAREM 102KG</t>
        </is>
      </c>
    </row>
    <row r="1777">
      <c r="A1777" t="n">
        <v>1776</v>
      </c>
      <c r="B1777" t="inlineStr">
        <is>
          <t>28/08/2026</t>
        </is>
      </c>
      <c r="C1777" t="inlineStr">
        <is>
          <t>Mov Tít Cob Disp 28/08S</t>
        </is>
      </c>
      <c r="D1777" s="7" t="n">
        <v>478.92</v>
      </c>
      <c r="E1777" t="inlineStr">
        <is>
          <t>(novo)</t>
        </is>
      </c>
      <c r="F1777" t="inlineStr"/>
      <c r="G1777" s="2" t="inlineStr">
        <is>
          <t>504</t>
        </is>
      </c>
      <c r="H1777">
        <f>IFERROR(VLOOKUP(G1777&amp;"",PLANO!A:B,2,FALSE),"CONTA NAO EXISTE NO PLANO")</f>
        <v/>
      </c>
      <c r="I1777" t="inlineStr">
        <is>
          <t>504</t>
        </is>
      </c>
      <c r="J1777" t="inlineStr">
        <is>
          <t>OK</t>
        </is>
      </c>
      <c r="K1777" t="inlineStr"/>
      <c r="L1777" t="inlineStr"/>
      <c r="M1777" t="inlineStr">
        <is>
          <t>MOV TÍT COB DISP 28/08S</t>
        </is>
      </c>
    </row>
    <row r="1778">
      <c r="A1778" t="n">
        <v>1777</v>
      </c>
      <c r="B1778" t="inlineStr">
        <is>
          <t>28/08/2026</t>
        </is>
      </c>
      <c r="C1778" t="inlineStr">
        <is>
          <t>Rede MAST AT0081996543</t>
        </is>
      </c>
      <c r="D1778" s="7" t="n">
        <v>4434.19</v>
      </c>
      <c r="E1778" t="inlineStr">
        <is>
          <t>(novo)</t>
        </is>
      </c>
      <c r="F1778" t="inlineStr"/>
      <c r="G1778" s="2" t="inlineStr">
        <is>
          <t>504</t>
        </is>
      </c>
      <c r="H1778">
        <f>IFERROR(VLOOKUP(G1778&amp;"",PLANO!A:B,2,FALSE),"CONTA NAO EXISTE NO PLANO")</f>
        <v/>
      </c>
      <c r="I1778" t="inlineStr">
        <is>
          <t>504</t>
        </is>
      </c>
      <c r="J1778" t="inlineStr">
        <is>
          <t>OK</t>
        </is>
      </c>
      <c r="K1778" t="inlineStr"/>
      <c r="L1778" t="inlineStr"/>
      <c r="M1778" t="inlineStr">
        <is>
          <t>REDE MAST AT0081996543</t>
        </is>
      </c>
    </row>
    <row r="1779">
      <c r="A1779" t="n">
        <v>1778</v>
      </c>
      <c r="B1779" t="inlineStr">
        <is>
          <t>28/08/2026</t>
        </is>
      </c>
      <c r="C1779" t="inlineStr">
        <is>
          <t>Rede VISA AT0081996543</t>
        </is>
      </c>
      <c r="D1779" s="7" t="n">
        <v>16904.21</v>
      </c>
      <c r="E1779" t="inlineStr">
        <is>
          <t>(novo)</t>
        </is>
      </c>
      <c r="F1779" t="inlineStr"/>
      <c r="G1779" s="2" t="inlineStr">
        <is>
          <t>504</t>
        </is>
      </c>
      <c r="H1779">
        <f>IFERROR(VLOOKUP(G1779&amp;"",PLANO!A:B,2,FALSE),"CONTA NAO EXISTE NO PLANO")</f>
        <v/>
      </c>
      <c r="I1779" t="inlineStr">
        <is>
          <t>504</t>
        </is>
      </c>
      <c r="J1779" t="inlineStr">
        <is>
          <t>OK</t>
        </is>
      </c>
      <c r="K1779" t="inlineStr"/>
      <c r="L1779" t="inlineStr"/>
      <c r="M1779" t="inlineStr">
        <is>
          <t>REDE VISA AT0081996543</t>
        </is>
      </c>
    </row>
    <row r="1780">
      <c r="A1780" t="n">
        <v>1779</v>
      </c>
      <c r="B1780" t="inlineStr">
        <is>
          <t>28/08/2026</t>
        </is>
      </c>
      <c r="C1780" t="inlineStr">
        <is>
          <t>PIX TRANSF Cristia28/08</t>
        </is>
      </c>
      <c r="D1780" s="7" t="n">
        <v>3735</v>
      </c>
      <c r="E1780" t="inlineStr">
        <is>
          <t>(novo)</t>
        </is>
      </c>
      <c r="F1780" t="inlineStr"/>
      <c r="G1780" s="2" t="inlineStr">
        <is>
          <t>504</t>
        </is>
      </c>
      <c r="H1780">
        <f>IFERROR(VLOOKUP(G1780&amp;"",PLANO!A:B,2,FALSE),"CONTA NAO EXISTE NO PLANO")</f>
        <v/>
      </c>
      <c r="I1780" t="inlineStr">
        <is>
          <t>504</t>
        </is>
      </c>
      <c r="J1780" t="inlineStr">
        <is>
          <t>OK</t>
        </is>
      </c>
      <c r="K1780" t="inlineStr"/>
      <c r="L1780" t="inlineStr"/>
      <c r="M1780" t="inlineStr">
        <is>
          <t>PIX TRANSF CRISTIA28/08</t>
        </is>
      </c>
    </row>
    <row r="1781">
      <c r="A1781" t="n">
        <v>1780</v>
      </c>
      <c r="B1781" t="inlineStr">
        <is>
          <t>28/08/2026</t>
        </is>
      </c>
      <c r="C1781" t="inlineStr">
        <is>
          <t>PIX TRANSF Cristia28/08</t>
        </is>
      </c>
      <c r="D1781" s="7" t="n">
        <v>440</v>
      </c>
      <c r="E1781" t="inlineStr">
        <is>
          <t>(novo)</t>
        </is>
      </c>
      <c r="F1781" t="inlineStr"/>
      <c r="G1781" s="2" t="inlineStr">
        <is>
          <t>504</t>
        </is>
      </c>
      <c r="H1781">
        <f>IFERROR(VLOOKUP(G1781&amp;"",PLANO!A:B,2,FALSE),"CONTA NAO EXISTE NO PLANO")</f>
        <v/>
      </c>
      <c r="I1781" t="inlineStr">
        <is>
          <t>504</t>
        </is>
      </c>
      <c r="J1781" t="inlineStr">
        <is>
          <t>OK</t>
        </is>
      </c>
      <c r="K1781" t="inlineStr"/>
      <c r="L1781" t="inlineStr"/>
      <c r="M1781" t="inlineStr">
        <is>
          <t>PIX TRANSF CRISTIA28/08</t>
        </is>
      </c>
    </row>
    <row r="1782">
      <c r="A1782" s="11" t="n">
        <v>1781</v>
      </c>
      <c r="B1782" s="11" t="inlineStr">
        <is>
          <t>28/08/2026</t>
        </is>
      </c>
      <c r="C1782" s="11" t="inlineStr">
        <is>
          <t>EST PROJETAND</t>
        </is>
      </c>
      <c r="D1782" s="12" t="n">
        <v>22600</v>
      </c>
      <c r="E1782" s="11" t="inlineStr">
        <is>
          <t>(novo)</t>
        </is>
      </c>
      <c r="F1782" s="11" t="inlineStr"/>
      <c r="G1782" s="13" t="inlineStr">
        <is>
          <t>506</t>
        </is>
      </c>
      <c r="H1782" s="11">
        <f>IFERROR(VLOOKUP(G1782&amp;"",PLANO!A:B,2,FALSE),"CONTA NAO EXISTE NO PLANO")</f>
        <v/>
      </c>
      <c r="I1782" s="11" t="inlineStr">
        <is>
          <t>506</t>
        </is>
      </c>
      <c r="J1782" s="11" t="inlineStr">
        <is>
          <t>MANTIDO</t>
        </is>
      </c>
      <c r="K1782" s="11" t="inlineStr">
        <is>
          <t>estorno de PIX enviado a PROJETANDO</t>
        </is>
      </c>
      <c r="L1782" s="11" t="inlineStr"/>
      <c r="M1782" s="11" t="inlineStr">
        <is>
          <t>EST PROJETAND</t>
        </is>
      </c>
    </row>
    <row r="1783">
      <c r="A1783" s="11" t="n">
        <v>1782</v>
      </c>
      <c r="B1783" s="11" t="inlineStr">
        <is>
          <t>28/08/2026</t>
        </is>
      </c>
      <c r="C1783" s="11" t="inlineStr">
        <is>
          <t>EST PROJETAND</t>
        </is>
      </c>
      <c r="D1783" s="12" t="n">
        <v>22600</v>
      </c>
      <c r="E1783" s="11" t="inlineStr">
        <is>
          <t>(novo)</t>
        </is>
      </c>
      <c r="F1783" s="11" t="inlineStr"/>
      <c r="G1783" s="13" t="inlineStr">
        <is>
          <t>506</t>
        </is>
      </c>
      <c r="H1783" s="11">
        <f>IFERROR(VLOOKUP(G1783&amp;"",PLANO!A:B,2,FALSE),"CONTA NAO EXISTE NO PLANO")</f>
        <v/>
      </c>
      <c r="I1783" s="11" t="inlineStr">
        <is>
          <t>506</t>
        </is>
      </c>
      <c r="J1783" s="11" t="inlineStr">
        <is>
          <t>MANTIDO</t>
        </is>
      </c>
      <c r="K1783" s="11" t="inlineStr">
        <is>
          <t>estorno de PIX enviado a PROJETANDO</t>
        </is>
      </c>
      <c r="L1783" s="11" t="inlineStr"/>
      <c r="M1783" s="11" t="inlineStr">
        <is>
          <t>EST PROJETAND</t>
        </is>
      </c>
    </row>
    <row r="1784">
      <c r="A1784" s="11" t="n">
        <v>1783</v>
      </c>
      <c r="B1784" s="11" t="inlineStr">
        <is>
          <t>28/08/2026</t>
        </is>
      </c>
      <c r="C1784" s="11" t="inlineStr">
        <is>
          <t>EST PROJETAND</t>
        </is>
      </c>
      <c r="D1784" s="12" t="n">
        <v>22600</v>
      </c>
      <c r="E1784" s="11" t="inlineStr">
        <is>
          <t>(novo)</t>
        </is>
      </c>
      <c r="F1784" s="11" t="inlineStr"/>
      <c r="G1784" s="13" t="inlineStr">
        <is>
          <t>506</t>
        </is>
      </c>
      <c r="H1784" s="11">
        <f>IFERROR(VLOOKUP(G1784&amp;"",PLANO!A:B,2,FALSE),"CONTA NAO EXISTE NO PLANO")</f>
        <v/>
      </c>
      <c r="I1784" s="11" t="inlineStr">
        <is>
          <t>506</t>
        </is>
      </c>
      <c r="J1784" s="11" t="inlineStr">
        <is>
          <t>MANTIDO</t>
        </is>
      </c>
      <c r="K1784" s="11" t="inlineStr">
        <is>
          <t>estorno de PIX enviado a PROJETANDO</t>
        </is>
      </c>
      <c r="L1784" s="11" t="inlineStr"/>
      <c r="M1784" s="11" t="inlineStr">
        <is>
          <t>EST PROJETAND</t>
        </is>
      </c>
    </row>
    <row r="1785">
      <c r="A1785" t="n">
        <v>1784</v>
      </c>
      <c r="B1785" t="inlineStr">
        <is>
          <t>28/08/2026</t>
        </is>
      </c>
      <c r="C1785" t="inlineStr">
        <is>
          <t>Rend Pago Aplic Aut Mais</t>
        </is>
      </c>
      <c r="D1785" s="7" t="n">
        <v>0.01</v>
      </c>
      <c r="E1785" t="inlineStr">
        <is>
          <t>(novo)</t>
        </is>
      </c>
      <c r="F1785" t="inlineStr"/>
      <c r="G1785" s="2" t="inlineStr">
        <is>
          <t>432</t>
        </is>
      </c>
      <c r="H1785">
        <f>IFERROR(VLOOKUP(G1785&amp;"",PLANO!A:B,2,FALSE),"CONTA NAO EXISTE NO PLANO")</f>
        <v/>
      </c>
      <c r="I1785" t="inlineStr">
        <is>
          <t>432</t>
        </is>
      </c>
      <c r="J1785" t="inlineStr">
        <is>
          <t>OK</t>
        </is>
      </c>
      <c r="K1785" t="inlineStr"/>
      <c r="L1785" t="inlineStr"/>
      <c r="M1785" t="inlineStr">
        <is>
          <t>RENDIMENTO APLICACAO AUTOMATICA ITAU</t>
        </is>
      </c>
    </row>
    <row r="1786">
      <c r="A1786" s="4" t="n">
        <v>1785</v>
      </c>
      <c r="B1786" s="4" t="inlineStr">
        <is>
          <t>31/08/2026</t>
        </is>
      </c>
      <c r="C1786" s="4" t="inlineStr">
        <is>
          <t>PIX ENVIADO FIQUE BEM CO</t>
        </is>
      </c>
      <c r="D1786" s="5" t="n">
        <v>-1000</v>
      </c>
      <c r="E1786" s="4" t="inlineStr">
        <is>
          <t>(novo)</t>
        </is>
      </c>
      <c r="F1786" s="4" t="inlineStr"/>
      <c r="G1786" s="6" t="inlineStr">
        <is>
          <t>366</t>
        </is>
      </c>
      <c r="H1786" s="4">
        <f>IFERROR(VLOOKUP(G1786&amp;"",PLANO!A:B,2,FALSE),"CONTA NAO EXISTE NO PLANO")</f>
        <v/>
      </c>
      <c r="I1786" s="4" t="inlineStr">
        <is>
          <t>672</t>
        </is>
      </c>
      <c r="J1786" s="4" t="inlineStr">
        <is>
          <t>AJUSTADO</t>
        </is>
      </c>
      <c r="K1786" s="4" t="inlineStr">
        <is>
          <t>GULA/FIQUE BEM (mesmo CNPJ, empresa do grupo) - mutuo em EMPRESTIMOS A TERCEIROS (366); nao e fornecedor</t>
        </is>
      </c>
      <c r="L1786" s="4" t="inlineStr"/>
      <c r="M1786" s="4" t="inlineStr">
        <is>
          <t>PIX ENVIADO FIQUE BEM CO</t>
        </is>
      </c>
    </row>
    <row r="1787">
      <c r="A1787" t="n">
        <v>1786</v>
      </c>
      <c r="B1787" t="inlineStr">
        <is>
          <t>31/08/2026</t>
        </is>
      </c>
      <c r="C1787" t="inlineStr">
        <is>
          <t>BOLETO PAGO QUIMIFORMULA</t>
        </is>
      </c>
      <c r="D1787" s="7" t="n">
        <v>-832.2</v>
      </c>
      <c r="E1787" t="inlineStr">
        <is>
          <t>(novo)</t>
        </is>
      </c>
      <c r="F1787" t="inlineStr"/>
      <c r="G1787" s="2" t="inlineStr">
        <is>
          <t>506</t>
        </is>
      </c>
      <c r="H1787">
        <f>IFERROR(VLOOKUP(G1787&amp;"",PLANO!A:B,2,FALSE),"CONTA NAO EXISTE NO PLANO")</f>
        <v/>
      </c>
      <c r="I1787" t="inlineStr">
        <is>
          <t>506</t>
        </is>
      </c>
      <c r="J1787" t="inlineStr">
        <is>
          <t>OK</t>
        </is>
      </c>
      <c r="K1787" t="inlineStr"/>
      <c r="L1787" t="inlineStr"/>
      <c r="M1787" t="inlineStr">
        <is>
          <t>BOLETO PAGO QUIMIFORMULA</t>
        </is>
      </c>
    </row>
    <row r="1788">
      <c r="A1788" t="n">
        <v>1787</v>
      </c>
      <c r="B1788" t="inlineStr">
        <is>
          <t>31/08/2026</t>
        </is>
      </c>
      <c r="C1788" t="inlineStr">
        <is>
          <t>Mov Tít Cob Disp 29/08S</t>
        </is>
      </c>
      <c r="D1788" s="7" t="n">
        <v>381.29</v>
      </c>
      <c r="E1788" t="inlineStr">
        <is>
          <t>(novo)</t>
        </is>
      </c>
      <c r="F1788" t="inlineStr"/>
      <c r="G1788" s="2" t="inlineStr">
        <is>
          <t>504</t>
        </is>
      </c>
      <c r="H1788">
        <f>IFERROR(VLOOKUP(G1788&amp;"",PLANO!A:B,2,FALSE),"CONTA NAO EXISTE NO PLANO")</f>
        <v/>
      </c>
      <c r="I1788" t="inlineStr">
        <is>
          <t>504</t>
        </is>
      </c>
      <c r="J1788" t="inlineStr">
        <is>
          <t>OK</t>
        </is>
      </c>
      <c r="K1788" t="inlineStr"/>
      <c r="L1788" t="inlineStr"/>
      <c r="M1788" t="inlineStr">
        <is>
          <t>MOV TÍT COB DISP 29/08S</t>
        </is>
      </c>
    </row>
    <row r="1789">
      <c r="A1789" t="n">
        <v>1788</v>
      </c>
      <c r="B1789" t="inlineStr">
        <is>
          <t>31/08/2026</t>
        </is>
      </c>
      <c r="C1789" t="inlineStr">
        <is>
          <t>Mov Tít Cob Disp 31/08S</t>
        </is>
      </c>
      <c r="D1789" s="7" t="n">
        <v>686.71</v>
      </c>
      <c r="E1789" t="inlineStr">
        <is>
          <t>(novo)</t>
        </is>
      </c>
      <c r="F1789" t="inlineStr"/>
      <c r="G1789" s="2" t="inlineStr">
        <is>
          <t>504</t>
        </is>
      </c>
      <c r="H1789">
        <f>IFERROR(VLOOKUP(G1789&amp;"",PLANO!A:B,2,FALSE),"CONTA NAO EXISTE NO PLANO")</f>
        <v/>
      </c>
      <c r="I1789" t="inlineStr">
        <is>
          <t>504</t>
        </is>
      </c>
      <c r="J1789" t="inlineStr">
        <is>
          <t>OK</t>
        </is>
      </c>
      <c r="K1789" t="inlineStr"/>
      <c r="L1789" t="inlineStr"/>
      <c r="M1789" t="inlineStr">
        <is>
          <t>MOV TÍT COB DISP 31/08S</t>
        </is>
      </c>
    </row>
    <row r="1790">
      <c r="A1790" t="n">
        <v>1789</v>
      </c>
      <c r="B1790" t="inlineStr">
        <is>
          <t>31/08/2026</t>
        </is>
      </c>
      <c r="C1790" t="inlineStr">
        <is>
          <t>Tar/Custas Cobrança</t>
        </is>
      </c>
      <c r="D1790" s="7" t="n">
        <v>-18.28</v>
      </c>
      <c r="E1790" t="inlineStr">
        <is>
          <t>(novo)</t>
        </is>
      </c>
      <c r="F1790" t="inlineStr"/>
      <c r="G1790" s="2" t="inlineStr">
        <is>
          <t>626</t>
        </is>
      </c>
      <c r="H1790">
        <f>IFERROR(VLOOKUP(G1790&amp;"",PLANO!A:B,2,FALSE),"CONTA NAO EXISTE NO PLANO")</f>
        <v/>
      </c>
      <c r="I1790" t="inlineStr">
        <is>
          <t>626</t>
        </is>
      </c>
      <c r="J1790" t="inlineStr">
        <is>
          <t>OK</t>
        </is>
      </c>
      <c r="K1790" t="inlineStr"/>
      <c r="L1790" t="inlineStr"/>
      <c r="M1790" t="inlineStr">
        <is>
          <t>TAR/CUSTAS COBRANÇA</t>
        </is>
      </c>
    </row>
  </sheetData>
  <autoFilter ref="A1:M17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Mês</t>
        </is>
      </c>
      <c r="B1" s="3" t="inlineStr">
        <is>
          <t>Saldo inicial</t>
        </is>
      </c>
      <c r="C1" s="3" t="inlineStr">
        <is>
          <t>Entradas</t>
        </is>
      </c>
      <c r="D1" s="3" t="inlineStr">
        <is>
          <t>Saídas</t>
        </is>
      </c>
      <c r="E1" s="3" t="inlineStr">
        <is>
          <t>Saldo final calculado</t>
        </is>
      </c>
      <c r="F1" s="3" t="inlineStr">
        <is>
          <t>Saldo final extrato Itaú (C/C + aplicação)</t>
        </is>
      </c>
      <c r="G1" s="3" t="inlineStr">
        <is>
          <t>Diferença</t>
        </is>
      </c>
    </row>
    <row r="2">
      <c r="A2" t="inlineStr">
        <is>
          <t>01/2026</t>
        </is>
      </c>
      <c r="B2" t="n">
        <v>-32080.74</v>
      </c>
      <c r="C2" t="n">
        <v>281856.26</v>
      </c>
      <c r="D2" t="n">
        <v>253690.61</v>
      </c>
      <c r="E2" t="n">
        <v>-3915.09</v>
      </c>
      <c r="F2" t="n">
        <v>-3915.09</v>
      </c>
      <c r="G2" t="n">
        <v>0</v>
      </c>
    </row>
    <row r="3">
      <c r="A3" t="inlineStr">
        <is>
          <t>02/2026</t>
        </is>
      </c>
      <c r="B3" t="n">
        <v>-3915.09</v>
      </c>
      <c r="C3" t="n">
        <v>265354.61</v>
      </c>
      <c r="D3" t="n">
        <v>299973.24</v>
      </c>
      <c r="E3" t="n">
        <v>-38533.72</v>
      </c>
      <c r="F3" t="n">
        <v>-38533.72</v>
      </c>
      <c r="G3" t="n">
        <v>0</v>
      </c>
    </row>
    <row r="4">
      <c r="A4" t="inlineStr">
        <is>
          <t>03/2026</t>
        </is>
      </c>
      <c r="B4" t="n">
        <v>-38533.72</v>
      </c>
      <c r="C4" t="n">
        <v>313465.79</v>
      </c>
      <c r="D4" t="n">
        <v>296848.4</v>
      </c>
      <c r="E4" t="n">
        <v>-21916.33</v>
      </c>
      <c r="F4" t="n">
        <v>-21916.33</v>
      </c>
      <c r="G4" t="n">
        <v>0</v>
      </c>
    </row>
    <row r="5">
      <c r="A5" t="inlineStr">
        <is>
          <t>04/2026</t>
        </is>
      </c>
      <c r="B5" t="n">
        <v>-21916.33</v>
      </c>
      <c r="C5" t="n">
        <v>392720.26</v>
      </c>
      <c r="D5" t="n">
        <v>368317.92</v>
      </c>
      <c r="E5" t="n">
        <v>2486.01</v>
      </c>
      <c r="F5" t="n">
        <v>2486.01</v>
      </c>
      <c r="G5" t="n">
        <v>0</v>
      </c>
    </row>
    <row r="6">
      <c r="A6" t="inlineStr">
        <is>
          <t>05/2026</t>
        </is>
      </c>
      <c r="B6" t="n">
        <v>2486.01</v>
      </c>
      <c r="C6" t="n">
        <v>387063.37</v>
      </c>
      <c r="D6" t="n">
        <v>398069.43</v>
      </c>
      <c r="E6" t="n">
        <v>-8520.049999999999</v>
      </c>
      <c r="F6" t="n">
        <v>-8520.049999999999</v>
      </c>
      <c r="G6" t="n">
        <v>0</v>
      </c>
    </row>
    <row r="7">
      <c r="A7" t="inlineStr">
        <is>
          <t>06/2026</t>
        </is>
      </c>
      <c r="B7" t="n">
        <v>-8520.049999999999</v>
      </c>
      <c r="C7" t="n">
        <v>316039</v>
      </c>
      <c r="D7" t="n">
        <v>308773.88</v>
      </c>
      <c r="E7" t="n">
        <v>-1254.93</v>
      </c>
      <c r="F7" t="n">
        <v>-1254.93</v>
      </c>
      <c r="G7" t="n">
        <v>0</v>
      </c>
    </row>
    <row r="8">
      <c r="A8" t="inlineStr">
        <is>
          <t>07/2026</t>
        </is>
      </c>
      <c r="B8" t="n">
        <v>-1254.93</v>
      </c>
      <c r="C8" t="n">
        <v>389184.94</v>
      </c>
      <c r="D8" t="n">
        <v>379543.75</v>
      </c>
      <c r="E8" t="n">
        <v>8386.26</v>
      </c>
      <c r="F8" t="n">
        <v>8386.26</v>
      </c>
      <c r="G8" t="n">
        <v>0</v>
      </c>
    </row>
    <row r="9">
      <c r="A9" t="inlineStr">
        <is>
          <t>08/2026</t>
        </is>
      </c>
      <c r="B9" t="n">
        <v>8386.26</v>
      </c>
      <c r="C9" t="n">
        <v>368170.45</v>
      </c>
      <c r="D9" t="n">
        <v>380062.8</v>
      </c>
      <c r="E9" t="n">
        <v>-3506.09</v>
      </c>
      <c r="F9" t="n">
        <v>-3506.09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6" customWidth="1" min="5" max="5"/>
    <col width="30" customWidth="1" min="6" max="6"/>
  </cols>
  <sheetData>
    <row r="1">
      <c r="A1" s="3" t="inlineStr">
        <is>
          <t>Empresa</t>
        </is>
      </c>
      <c r="B1" s="3" t="inlineStr">
        <is>
          <t>Mês</t>
        </is>
      </c>
      <c r="C1" s="3" t="inlineStr">
        <is>
          <t>Entradas (recebido)</t>
        </is>
      </c>
      <c r="D1" s="3" t="inlineStr">
        <is>
          <t>Saídas (enviado)</t>
        </is>
      </c>
      <c r="E1" s="3" t="inlineStr">
        <is>
          <t>Líquido</t>
        </is>
      </c>
      <c r="F1" s="3" t="inlineStr">
        <is>
          <t>Contas usadas hoje</t>
        </is>
      </c>
    </row>
    <row r="2">
      <c r="A2" t="inlineStr">
        <is>
          <t>CABELO MEU</t>
        </is>
      </c>
      <c r="B2" t="inlineStr">
        <is>
          <t>06/2026</t>
        </is>
      </c>
      <c r="C2" t="n">
        <v>0</v>
      </c>
      <c r="D2" t="n">
        <v>328.09</v>
      </c>
      <c r="E2" t="n">
        <v>-328.09</v>
      </c>
      <c r="F2" t="inlineStr">
        <is>
          <t>506</t>
        </is>
      </c>
    </row>
    <row r="3">
      <c r="A3" t="inlineStr">
        <is>
          <t>COSMETICON</t>
        </is>
      </c>
      <c r="B3" t="inlineStr">
        <is>
          <t>01/2026</t>
        </is>
      </c>
      <c r="C3" t="n">
        <v>131000</v>
      </c>
      <c r="D3" t="n">
        <v>0</v>
      </c>
      <c r="E3" t="n">
        <v>131000</v>
      </c>
      <c r="F3" t="inlineStr">
        <is>
          <t>663</t>
        </is>
      </c>
    </row>
    <row r="4">
      <c r="A4" t="inlineStr">
        <is>
          <t>COSMETICON</t>
        </is>
      </c>
      <c r="B4" t="inlineStr">
        <is>
          <t>02/2026</t>
        </is>
      </c>
      <c r="C4" t="n">
        <v>36000</v>
      </c>
      <c r="D4" t="n">
        <v>2000</v>
      </c>
      <c r="E4" t="n">
        <v>34000</v>
      </c>
      <c r="F4" t="inlineStr">
        <is>
          <t>663, 664</t>
        </is>
      </c>
    </row>
    <row r="5">
      <c r="A5" t="inlineStr">
        <is>
          <t>COSMETICON</t>
        </is>
      </c>
      <c r="B5" t="inlineStr">
        <is>
          <t>03/2026</t>
        </is>
      </c>
      <c r="C5" t="n">
        <v>25000</v>
      </c>
      <c r="D5" t="n">
        <v>13700</v>
      </c>
      <c r="E5" t="n">
        <v>11300</v>
      </c>
      <c r="F5" t="inlineStr">
        <is>
          <t>663, 664</t>
        </is>
      </c>
    </row>
    <row r="6">
      <c r="A6" t="inlineStr">
        <is>
          <t>COSMETICON</t>
        </is>
      </c>
      <c r="B6" t="inlineStr">
        <is>
          <t>04/2026</t>
        </is>
      </c>
      <c r="C6" t="n">
        <v>5800</v>
      </c>
      <c r="D6" t="n">
        <v>93600</v>
      </c>
      <c r="E6" t="n">
        <v>-87800</v>
      </c>
      <c r="F6" t="inlineStr">
        <is>
          <t>663, 664</t>
        </is>
      </c>
    </row>
    <row r="7">
      <c r="A7" t="inlineStr">
        <is>
          <t>COSMETICON</t>
        </is>
      </c>
      <c r="B7" t="inlineStr">
        <is>
          <t>05/2026</t>
        </is>
      </c>
      <c r="C7" t="n">
        <v>0</v>
      </c>
      <c r="D7" t="n">
        <v>51000</v>
      </c>
      <c r="E7" t="n">
        <v>-51000</v>
      </c>
      <c r="F7" t="inlineStr">
        <is>
          <t>361, 664</t>
        </is>
      </c>
    </row>
    <row r="8">
      <c r="A8" t="inlineStr">
        <is>
          <t>COSMETICON</t>
        </is>
      </c>
      <c r="B8" t="inlineStr">
        <is>
          <t>06/2026</t>
        </is>
      </c>
      <c r="C8" t="n">
        <v>3000</v>
      </c>
      <c r="D8" t="n">
        <v>12500</v>
      </c>
      <c r="E8" t="n">
        <v>-9500</v>
      </c>
      <c r="F8" t="inlineStr">
        <is>
          <t>361, 506, 663, 664</t>
        </is>
      </c>
    </row>
    <row r="9">
      <c r="A9" t="inlineStr">
        <is>
          <t>COSMETICON</t>
        </is>
      </c>
      <c r="B9" t="inlineStr">
        <is>
          <t>07/2026</t>
        </is>
      </c>
      <c r="C9" t="n">
        <v>3000</v>
      </c>
      <c r="D9" t="n">
        <v>1000</v>
      </c>
      <c r="E9" t="n">
        <v>2000</v>
      </c>
      <c r="F9" t="inlineStr">
        <is>
          <t>663</t>
        </is>
      </c>
    </row>
    <row r="10">
      <c r="A10" t="inlineStr">
        <is>
          <t>COSMETICON</t>
        </is>
      </c>
      <c r="B10" t="inlineStr">
        <is>
          <t>08/2026</t>
        </is>
      </c>
      <c r="C10" t="n">
        <v>18600</v>
      </c>
      <c r="D10" t="n">
        <v>11000</v>
      </c>
      <c r="E10" t="n">
        <v>7600</v>
      </c>
      <c r="F10" t="inlineStr">
        <is>
          <t>663</t>
        </is>
      </c>
    </row>
    <row r="11">
      <c r="A11" t="inlineStr">
        <is>
          <t>F.V.S</t>
        </is>
      </c>
      <c r="B11" t="inlineStr">
        <is>
          <t>03/2026</t>
        </is>
      </c>
      <c r="C11" t="n">
        <v>0</v>
      </c>
      <c r="D11" t="n">
        <v>4000</v>
      </c>
      <c r="E11" t="n">
        <v>-4000</v>
      </c>
      <c r="F11" t="inlineStr">
        <is>
          <t>671</t>
        </is>
      </c>
    </row>
    <row r="12">
      <c r="A12" t="inlineStr">
        <is>
          <t>F.V.S</t>
        </is>
      </c>
      <c r="B12" t="inlineStr">
        <is>
          <t>04/2026</t>
        </is>
      </c>
      <c r="C12" t="n">
        <v>3100</v>
      </c>
      <c r="D12" t="n">
        <v>5200</v>
      </c>
      <c r="E12" t="n">
        <v>-2100</v>
      </c>
      <c r="F12" t="inlineStr">
        <is>
          <t>662, 671</t>
        </is>
      </c>
    </row>
    <row r="13">
      <c r="A13" t="inlineStr">
        <is>
          <t>F.V.S</t>
        </is>
      </c>
      <c r="B13" t="inlineStr">
        <is>
          <t>05/2026</t>
        </is>
      </c>
      <c r="C13" t="n">
        <v>0</v>
      </c>
      <c r="D13" t="n">
        <v>2000</v>
      </c>
      <c r="E13" t="n">
        <v>-2000</v>
      </c>
      <c r="F13" t="inlineStr">
        <is>
          <t>671</t>
        </is>
      </c>
    </row>
    <row r="14">
      <c r="A14" t="inlineStr">
        <is>
          <t>F.V.S</t>
        </is>
      </c>
      <c r="B14" t="inlineStr">
        <is>
          <t>06/2026</t>
        </is>
      </c>
      <c r="C14" t="n">
        <v>350</v>
      </c>
      <c r="D14" t="n">
        <v>0</v>
      </c>
      <c r="E14" t="n">
        <v>350</v>
      </c>
      <c r="F14" t="inlineStr">
        <is>
          <t>662</t>
        </is>
      </c>
    </row>
    <row r="15">
      <c r="A15" t="inlineStr">
        <is>
          <t>F.V.S</t>
        </is>
      </c>
      <c r="B15" t="inlineStr">
        <is>
          <t>07/2026</t>
        </is>
      </c>
      <c r="C15" t="n">
        <v>0</v>
      </c>
      <c r="D15" t="n">
        <v>13500</v>
      </c>
      <c r="E15" t="n">
        <v>-13500</v>
      </c>
      <c r="F15" t="inlineStr">
        <is>
          <t>662</t>
        </is>
      </c>
    </row>
    <row r="16">
      <c r="A16" t="inlineStr">
        <is>
          <t>F.V.S</t>
        </is>
      </c>
      <c r="B16" t="inlineStr">
        <is>
          <t>08/2026</t>
        </is>
      </c>
      <c r="C16" t="n">
        <v>0</v>
      </c>
      <c r="D16" t="n">
        <v>3000</v>
      </c>
      <c r="E16" t="n">
        <v>-3000</v>
      </c>
      <c r="F16" t="inlineStr">
        <is>
          <t>662</t>
        </is>
      </c>
    </row>
    <row r="17">
      <c r="A17" t="inlineStr">
        <is>
          <t>GULA/FIQUE BEM</t>
        </is>
      </c>
      <c r="B17" t="inlineStr">
        <is>
          <t>02/2026</t>
        </is>
      </c>
      <c r="C17" t="n">
        <v>7000</v>
      </c>
      <c r="D17" t="n">
        <v>20000</v>
      </c>
      <c r="E17" t="n">
        <v>-13000</v>
      </c>
      <c r="F17" t="inlineStr">
        <is>
          <t>504, 506</t>
        </is>
      </c>
    </row>
    <row r="18">
      <c r="A18" t="inlineStr">
        <is>
          <t>GULA/FIQUE BEM</t>
        </is>
      </c>
      <c r="B18" t="inlineStr">
        <is>
          <t>03/2026</t>
        </is>
      </c>
      <c r="C18" t="n">
        <v>1500</v>
      </c>
      <c r="D18" t="n">
        <v>42500</v>
      </c>
      <c r="E18" t="n">
        <v>-41000</v>
      </c>
      <c r="F18" t="inlineStr">
        <is>
          <t>506, 664</t>
        </is>
      </c>
    </row>
    <row r="19">
      <c r="A19" t="inlineStr">
        <is>
          <t>GULA/FIQUE BEM</t>
        </is>
      </c>
      <c r="B19" t="inlineStr">
        <is>
          <t>04/2026</t>
        </is>
      </c>
      <c r="C19" t="n">
        <v>0</v>
      </c>
      <c r="D19" t="n">
        <v>65500</v>
      </c>
      <c r="E19" t="n">
        <v>-65500</v>
      </c>
      <c r="F19" t="inlineStr">
        <is>
          <t>506</t>
        </is>
      </c>
    </row>
    <row r="20">
      <c r="A20" t="inlineStr">
        <is>
          <t>GULA/FIQUE BEM</t>
        </is>
      </c>
      <c r="B20" t="inlineStr">
        <is>
          <t>05/2026</t>
        </is>
      </c>
      <c r="C20" t="n">
        <v>0</v>
      </c>
      <c r="D20" t="n">
        <v>85050</v>
      </c>
      <c r="E20" t="n">
        <v>-85050</v>
      </c>
      <c r="F20" t="inlineStr">
        <is>
          <t>506</t>
        </is>
      </c>
    </row>
    <row r="21">
      <c r="A21" t="inlineStr">
        <is>
          <t>GULA/FIQUE BEM</t>
        </is>
      </c>
      <c r="B21" t="inlineStr">
        <is>
          <t>06/2026</t>
        </is>
      </c>
      <c r="C21" t="n">
        <v>4000</v>
      </c>
      <c r="D21" t="n">
        <v>45800</v>
      </c>
      <c r="E21" t="n">
        <v>-41800</v>
      </c>
      <c r="F21" t="inlineStr">
        <is>
          <t>506, 664</t>
        </is>
      </c>
    </row>
    <row r="22">
      <c r="A22" t="inlineStr">
        <is>
          <t>GULA/FIQUE BEM</t>
        </is>
      </c>
      <c r="B22" t="inlineStr">
        <is>
          <t>07/2026</t>
        </is>
      </c>
      <c r="C22" t="n">
        <v>0</v>
      </c>
      <c r="D22" t="n">
        <v>14200</v>
      </c>
      <c r="E22" t="n">
        <v>-14200</v>
      </c>
      <c r="F22" t="inlineStr">
        <is>
          <t>366</t>
        </is>
      </c>
    </row>
    <row r="23">
      <c r="A23" t="inlineStr">
        <is>
          <t>GULA/FIQUE BEM</t>
        </is>
      </c>
      <c r="B23" t="inlineStr">
        <is>
          <t>08/2026</t>
        </is>
      </c>
      <c r="C23" t="n">
        <v>1000</v>
      </c>
      <c r="D23" t="n">
        <v>0</v>
      </c>
      <c r="E23" t="n">
        <v>1000</v>
      </c>
      <c r="F23" t="inlineStr">
        <is>
          <t>366</t>
        </is>
      </c>
    </row>
    <row r="24">
      <c r="A24" t="inlineStr">
        <is>
          <t>GULA/FIQUE BEM/FIQUE BEM</t>
        </is>
      </c>
      <c r="B24" t="inlineStr">
        <is>
          <t>08/2026</t>
        </is>
      </c>
      <c r="C24" t="n">
        <v>0</v>
      </c>
      <c r="D24" t="n">
        <v>72000</v>
      </c>
      <c r="E24" t="n">
        <v>-72000</v>
      </c>
      <c r="F24" t="inlineStr">
        <is>
          <t>366</t>
        </is>
      </c>
    </row>
    <row r="26">
      <c r="A26" t="inlineStr">
        <is>
          <t>Sugestão (decidir): uma conta-corrente de mútuo por empresa do grupo, usada tanto na entrada quanto na saída -&gt; COSMETICON 663, F.V.S 662, CABELO MEU 670, GULA/FIQUE BEM sem conta própria (672 EMPRESTIMO DE TERCEIRO ou criar conta). Recebimento de NOTA de venda dessas empresas continua baixando o cliente (664/671).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1</t>
        </is>
      </c>
      <c r="B1" t="inlineStr">
        <is>
          <t>ATIVO</t>
        </is>
      </c>
    </row>
    <row r="2">
      <c r="A2" t="inlineStr">
        <is>
          <t>2</t>
        </is>
      </c>
      <c r="B2" t="inlineStr">
        <is>
          <t>ATIVO CIRCULANTE</t>
        </is>
      </c>
    </row>
    <row r="3">
      <c r="A3" t="inlineStr">
        <is>
          <t>3</t>
        </is>
      </c>
      <c r="B3" t="inlineStr">
        <is>
          <t>DISPONÍVEL</t>
        </is>
      </c>
    </row>
    <row r="4">
      <c r="A4" t="inlineStr">
        <is>
          <t>4</t>
        </is>
      </c>
      <c r="B4" t="inlineStr">
        <is>
          <t>CAIXA</t>
        </is>
      </c>
    </row>
    <row r="5">
      <c r="A5" t="inlineStr">
        <is>
          <t>5</t>
        </is>
      </c>
      <c r="B5" t="inlineStr">
        <is>
          <t>CAIXA GERAL</t>
        </is>
      </c>
    </row>
    <row r="6">
      <c r="A6" t="inlineStr">
        <is>
          <t>7</t>
        </is>
      </c>
      <c r="B6" t="inlineStr">
        <is>
          <t>BANCOS CONTA MOVIMENTO</t>
        </is>
      </c>
    </row>
    <row r="7">
      <c r="A7" t="inlineStr">
        <is>
          <t>8</t>
        </is>
      </c>
      <c r="B7" t="inlineStr">
        <is>
          <t>ITAU EMPRESAS - CONTA 53570-0</t>
        </is>
      </c>
    </row>
    <row r="8">
      <c r="A8" t="inlineStr">
        <is>
          <t>9</t>
        </is>
      </c>
      <c r="B8" t="inlineStr">
        <is>
          <t>ITAU EMPRESAS - GARANTIDA C/C 52508-1</t>
        </is>
      </c>
    </row>
    <row r="9">
      <c r="A9" t="inlineStr">
        <is>
          <t>10</t>
        </is>
      </c>
      <c r="B9" t="inlineStr">
        <is>
          <t>APLICAÇÕES FINANCEIRAS LIQUIDEZ IMEDIATA</t>
        </is>
      </c>
    </row>
    <row r="10">
      <c r="A10" t="inlineStr">
        <is>
          <t>11</t>
        </is>
      </c>
      <c r="B10" t="inlineStr">
        <is>
          <t>APLICAÇÃO ITAU</t>
        </is>
      </c>
    </row>
    <row r="11">
      <c r="A11" t="inlineStr">
        <is>
          <t>12</t>
        </is>
      </c>
      <c r="B11" t="inlineStr">
        <is>
          <t>CLIENTES</t>
        </is>
      </c>
    </row>
    <row r="12">
      <c r="A12" t="inlineStr">
        <is>
          <t>13</t>
        </is>
      </c>
      <c r="B12" t="inlineStr">
        <is>
          <t>DUPLICATAS A RECEBER</t>
        </is>
      </c>
    </row>
    <row r="13">
      <c r="A13" t="inlineStr">
        <is>
          <t>18</t>
        </is>
      </c>
      <c r="B13" t="inlineStr">
        <is>
          <t>OUTROS CRÉDITOS</t>
        </is>
      </c>
    </row>
    <row r="14">
      <c r="A14" t="inlineStr">
        <is>
          <t>24</t>
        </is>
      </c>
      <c r="B14" t="inlineStr">
        <is>
          <t>ADIANTAMENTO A EMPREGADOS</t>
        </is>
      </c>
    </row>
    <row r="15">
      <c r="A15" t="inlineStr">
        <is>
          <t>25</t>
        </is>
      </c>
      <c r="B15" t="inlineStr">
        <is>
          <t>ADIANTAMENTO DE SALÁRIO</t>
        </is>
      </c>
    </row>
    <row r="16">
      <c r="A16" t="inlineStr">
        <is>
          <t>28</t>
        </is>
      </c>
      <c r="B16" t="inlineStr">
        <is>
          <t>TRIBUTOS A RECUPERAR/COMPENSAR</t>
        </is>
      </c>
    </row>
    <row r="17">
      <c r="A17" t="inlineStr">
        <is>
          <t>29</t>
        </is>
      </c>
      <c r="B17" t="inlineStr">
        <is>
          <t>IPI A RECUPERAR</t>
        </is>
      </c>
    </row>
    <row r="18">
      <c r="A18" t="inlineStr">
        <is>
          <t>30</t>
        </is>
      </c>
      <c r="B18" t="inlineStr">
        <is>
          <t>ICMS A RECUPERAR</t>
        </is>
      </c>
    </row>
    <row r="19">
      <c r="A19" t="inlineStr">
        <is>
          <t>31</t>
        </is>
      </c>
      <c r="B19" t="inlineStr">
        <is>
          <t>IRRF A RECUPERAR</t>
        </is>
      </c>
    </row>
    <row r="20">
      <c r="A20" t="inlineStr">
        <is>
          <t>53</t>
        </is>
      </c>
      <c r="B20" t="inlineStr">
        <is>
          <t>ESTOQUE</t>
        </is>
      </c>
    </row>
    <row r="21">
      <c r="A21" t="inlineStr">
        <is>
          <t>54</t>
        </is>
      </c>
      <c r="B21" t="inlineStr">
        <is>
          <t>MERCADORIAS, PRODUTOS E INSUMOS</t>
        </is>
      </c>
    </row>
    <row r="22">
      <c r="A22" t="inlineStr">
        <is>
          <t>55</t>
        </is>
      </c>
      <c r="B22" t="inlineStr">
        <is>
          <t>MERCADORIAS PARA VENDA</t>
        </is>
      </c>
    </row>
    <row r="23">
      <c r="A23" t="inlineStr">
        <is>
          <t>56</t>
        </is>
      </c>
      <c r="B23" t="inlineStr">
        <is>
          <t>MATÉRIA-PRIMA</t>
        </is>
      </c>
    </row>
    <row r="24">
      <c r="A24" t="inlineStr">
        <is>
          <t>58</t>
        </is>
      </c>
      <c r="B24" t="inlineStr">
        <is>
          <t>OUTROS MATERIAIS DE CONSUMO INDUSTRIAL</t>
        </is>
      </c>
    </row>
    <row r="25">
      <c r="A25" t="inlineStr">
        <is>
          <t>149</t>
        </is>
      </c>
      <c r="B25" t="inlineStr">
        <is>
          <t>PASSIVO</t>
        </is>
      </c>
    </row>
    <row r="26">
      <c r="A26" t="inlineStr">
        <is>
          <t>150</t>
        </is>
      </c>
      <c r="B26" t="inlineStr">
        <is>
          <t>PASSIVO CIRCULANTE</t>
        </is>
      </c>
    </row>
    <row r="27">
      <c r="A27" t="inlineStr">
        <is>
          <t>151</t>
        </is>
      </c>
      <c r="B27" t="inlineStr">
        <is>
          <t>EMPRÉSTIMOS</t>
        </is>
      </c>
    </row>
    <row r="28">
      <c r="A28" t="inlineStr">
        <is>
          <t>152</t>
        </is>
      </c>
      <c r="B28" t="inlineStr">
        <is>
          <t>EMPRÉSTIMO ITAU</t>
        </is>
      </c>
    </row>
    <row r="29">
      <c r="A29" t="inlineStr">
        <is>
          <t>164</t>
        </is>
      </c>
      <c r="B29" t="inlineStr">
        <is>
          <t>FORNECEDORES</t>
        </is>
      </c>
    </row>
    <row r="30">
      <c r="A30" t="inlineStr">
        <is>
          <t>165</t>
        </is>
      </c>
      <c r="B30" t="inlineStr">
        <is>
          <t>FORNECEDORES</t>
        </is>
      </c>
    </row>
    <row r="31">
      <c r="A31" t="inlineStr">
        <is>
          <t>169</t>
        </is>
      </c>
      <c r="B31" t="inlineStr">
        <is>
          <t>OBRIGAÇÕES TRIBUTÁRIAS</t>
        </is>
      </c>
    </row>
    <row r="32">
      <c r="A32" t="inlineStr">
        <is>
          <t>170</t>
        </is>
      </c>
      <c r="B32" t="inlineStr">
        <is>
          <t>IMPOSTOS E CONTRIBUIÇÕES A RECOLHER</t>
        </is>
      </c>
    </row>
    <row r="33">
      <c r="A33" t="inlineStr">
        <is>
          <t>171</t>
        </is>
      </c>
      <c r="B33" t="inlineStr">
        <is>
          <t>IPI A RECOLHER</t>
        </is>
      </c>
    </row>
    <row r="34">
      <c r="A34" t="inlineStr">
        <is>
          <t>172</t>
        </is>
      </c>
      <c r="B34" t="inlineStr">
        <is>
          <t>ICMS A RECOLHER</t>
        </is>
      </c>
    </row>
    <row r="35">
      <c r="A35" t="inlineStr">
        <is>
          <t>174</t>
        </is>
      </c>
      <c r="B35" t="inlineStr">
        <is>
          <t>PARCELAMENTO DIVIDA ATIVA - SIMPLES NACIONAL C.P - 9526658</t>
        </is>
      </c>
    </row>
    <row r="36">
      <c r="A36" t="inlineStr">
        <is>
          <t>175</t>
        </is>
      </c>
      <c r="B36" t="inlineStr">
        <is>
          <t>PARCELAMENTO DIVIDA ATIVA - INSS C. P Nº 9526526</t>
        </is>
      </c>
    </row>
    <row r="37">
      <c r="A37" t="inlineStr">
        <is>
          <t>176</t>
        </is>
      </c>
      <c r="B37" t="inlineStr">
        <is>
          <t>IMPOSTO DE RENDA A RECOLHER</t>
        </is>
      </c>
    </row>
    <row r="38">
      <c r="A38" t="inlineStr">
        <is>
          <t>177</t>
        </is>
      </c>
      <c r="B38" t="inlineStr">
        <is>
          <t>CONTRIBUIÇÃO SOCIAL A RECOLHER</t>
        </is>
      </c>
    </row>
    <row r="39">
      <c r="A39" t="inlineStr">
        <is>
          <t>178</t>
        </is>
      </c>
      <c r="B39" t="inlineStr">
        <is>
          <t>IRRF A RECOLHER</t>
        </is>
      </c>
    </row>
    <row r="40">
      <c r="A40" t="inlineStr">
        <is>
          <t>179</t>
        </is>
      </c>
      <c r="B40" t="inlineStr">
        <is>
          <t>PIS A RECOLHER</t>
        </is>
      </c>
    </row>
    <row r="41">
      <c r="A41" t="inlineStr">
        <is>
          <t>180</t>
        </is>
      </c>
      <c r="B41" t="inlineStr">
        <is>
          <t>COFINS A RECOLHER</t>
        </is>
      </c>
    </row>
    <row r="42">
      <c r="A42" t="inlineStr">
        <is>
          <t>181</t>
        </is>
      </c>
      <c r="B42" t="inlineStr">
        <is>
          <t>PARCELAMENTO SIMPLES NACIONAL C.P ANO DE 2023/2024</t>
        </is>
      </c>
    </row>
    <row r="43">
      <c r="A43" t="inlineStr">
        <is>
          <t>182</t>
        </is>
      </c>
      <c r="B43" t="inlineStr">
        <is>
          <t>CRF A RECOLHER</t>
        </is>
      </c>
    </row>
    <row r="44">
      <c r="A44" t="inlineStr">
        <is>
          <t>183</t>
        </is>
      </c>
      <c r="B44" t="inlineStr">
        <is>
          <t>ISS RETIDO A RECOLHER</t>
        </is>
      </c>
    </row>
    <row r="45">
      <c r="A45" t="inlineStr">
        <is>
          <t>184</t>
        </is>
      </c>
      <c r="B45" t="inlineStr">
        <is>
          <t>INSS RETIDO A RECOLHER</t>
        </is>
      </c>
    </row>
    <row r="46">
      <c r="A46" t="inlineStr">
        <is>
          <t>185</t>
        </is>
      </c>
      <c r="B46" t="inlineStr">
        <is>
          <t>OBRIGAÇÕES TRABALHISTA E PREVIDENCIÁRIA</t>
        </is>
      </c>
    </row>
    <row r="47">
      <c r="A47" t="inlineStr">
        <is>
          <t>186</t>
        </is>
      </c>
      <c r="B47" t="inlineStr">
        <is>
          <t>OBRIGAÇÕES COM O PESSOAL</t>
        </is>
      </c>
    </row>
    <row r="48">
      <c r="A48" t="inlineStr">
        <is>
          <t>187</t>
        </is>
      </c>
      <c r="B48" t="inlineStr">
        <is>
          <t>SALÁRIOS E ORDENADOS A PAGAR</t>
        </is>
      </c>
    </row>
    <row r="49">
      <c r="A49" t="inlineStr">
        <is>
          <t>190</t>
        </is>
      </c>
      <c r="B49" t="inlineStr">
        <is>
          <t>OBRIGAÇÕES SOCIAIS</t>
        </is>
      </c>
    </row>
    <row r="50">
      <c r="A50" t="inlineStr">
        <is>
          <t>191</t>
        </is>
      </c>
      <c r="B50" t="inlineStr">
        <is>
          <t>INSS A RECOLHER</t>
        </is>
      </c>
    </row>
    <row r="51">
      <c r="A51" t="inlineStr">
        <is>
          <t>192</t>
        </is>
      </c>
      <c r="B51" t="inlineStr">
        <is>
          <t>FGTS A RECOLHER</t>
        </is>
      </c>
    </row>
    <row r="52">
      <c r="A52" t="inlineStr">
        <is>
          <t>200</t>
        </is>
      </c>
      <c r="B52" t="inlineStr">
        <is>
          <t>OUTRAS OBRIGAÇÕES</t>
        </is>
      </c>
    </row>
    <row r="53">
      <c r="A53" t="inlineStr">
        <is>
          <t>201</t>
        </is>
      </c>
      <c r="B53" t="inlineStr">
        <is>
          <t>ADIANTAMENTOS DE CLIENTES</t>
        </is>
      </c>
    </row>
    <row r="54">
      <c r="A54" t="inlineStr">
        <is>
          <t>202</t>
        </is>
      </c>
      <c r="B54" t="inlineStr">
        <is>
          <t>CONTAS A PAGAR</t>
        </is>
      </c>
    </row>
    <row r="55">
      <c r="A55" t="inlineStr">
        <is>
          <t>217</t>
        </is>
      </c>
      <c r="B55" t="inlineStr">
        <is>
          <t>PASSIVO EXIGÍVEL A LONGO PRAZO</t>
        </is>
      </c>
    </row>
    <row r="56">
      <c r="A56" t="inlineStr">
        <is>
          <t>232</t>
        </is>
      </c>
      <c r="B56" t="inlineStr">
        <is>
          <t>OBRIGAÇÕES TRIBUTÁRIAS</t>
        </is>
      </c>
    </row>
    <row r="57">
      <c r="A57" t="inlineStr">
        <is>
          <t>234</t>
        </is>
      </c>
      <c r="B57" t="inlineStr">
        <is>
          <t>PARCELAMENTO SIMPLES NACIONAL L.P Nº 9526658</t>
        </is>
      </c>
    </row>
    <row r="58">
      <c r="A58" t="inlineStr">
        <is>
          <t>235</t>
        </is>
      </c>
      <c r="B58" t="inlineStr">
        <is>
          <t>PARCELAMENTO DIVIDA ATIVA - INSS L.P Nº  9526526</t>
        </is>
      </c>
    </row>
    <row r="59">
      <c r="A59" t="inlineStr">
        <is>
          <t>242</t>
        </is>
      </c>
      <c r="B59" t="inlineStr">
        <is>
          <t>PATRIMÔNIO LÍQUIDO</t>
        </is>
      </c>
    </row>
    <row r="60">
      <c r="A60" t="inlineStr">
        <is>
          <t>243</t>
        </is>
      </c>
      <c r="B60" t="inlineStr">
        <is>
          <t>CAPITAL SOCIAL</t>
        </is>
      </c>
    </row>
    <row r="61">
      <c r="A61" t="inlineStr">
        <is>
          <t>244</t>
        </is>
      </c>
      <c r="B61" t="inlineStr">
        <is>
          <t>CAPITAL SUBSCRITO</t>
        </is>
      </c>
    </row>
    <row r="62">
      <c r="A62" t="inlineStr">
        <is>
          <t>245</t>
        </is>
      </c>
      <c r="B62" t="inlineStr">
        <is>
          <t>CAPITAL SOCIAL</t>
        </is>
      </c>
    </row>
    <row r="63">
      <c r="A63" t="inlineStr">
        <is>
          <t>264</t>
        </is>
      </c>
      <c r="B63" t="inlineStr">
        <is>
          <t>LUCROS OU PREJUÍZOS ACUMULADOS</t>
        </is>
      </c>
    </row>
    <row r="64">
      <c r="A64" t="inlineStr">
        <is>
          <t>265</t>
        </is>
      </c>
      <c r="B64" t="inlineStr">
        <is>
          <t>LUCROS OU PREJUÍZOS ACUMULADOS</t>
        </is>
      </c>
    </row>
    <row r="65">
      <c r="A65" t="inlineStr">
        <is>
          <t>269</t>
        </is>
      </c>
      <c r="B65" t="inlineStr">
        <is>
          <t>CONTAS DE RESULTADOS - CUSTOS E DESPESAS</t>
        </is>
      </c>
    </row>
    <row r="66">
      <c r="A66" t="inlineStr">
        <is>
          <t>270</t>
        </is>
      </c>
      <c r="B66" t="inlineStr">
        <is>
          <t>CUSTOS DIRETOS DE PRODUÇÃO</t>
        </is>
      </c>
    </row>
    <row r="67">
      <c r="A67" t="inlineStr">
        <is>
          <t>273</t>
        </is>
      </c>
      <c r="B67" t="inlineStr">
        <is>
          <t>MÃO-DE-OBRA DIRETA</t>
        </is>
      </c>
    </row>
    <row r="68">
      <c r="A68" t="inlineStr">
        <is>
          <t>274</t>
        </is>
      </c>
      <c r="B68" t="inlineStr">
        <is>
          <t>SALÁRIOS E ORDENADOS</t>
        </is>
      </c>
    </row>
    <row r="69">
      <c r="A69" t="inlineStr">
        <is>
          <t>278</t>
        </is>
      </c>
      <c r="B69" t="inlineStr">
        <is>
          <t>FÉRIAS</t>
        </is>
      </c>
    </row>
    <row r="70">
      <c r="A70" t="inlineStr">
        <is>
          <t>280</t>
        </is>
      </c>
      <c r="B70" t="inlineStr">
        <is>
          <t>FGTS</t>
        </is>
      </c>
    </row>
    <row r="71">
      <c r="A71" t="inlineStr">
        <is>
          <t>281</t>
        </is>
      </c>
      <c r="B71" t="inlineStr">
        <is>
          <t>INDENIZAÇÕES E AVISO PRÉVIO</t>
        </is>
      </c>
    </row>
    <row r="72">
      <c r="A72" t="inlineStr">
        <is>
          <t>282</t>
        </is>
      </c>
      <c r="B72" t="inlineStr">
        <is>
          <t>ASSISTÊNCIA MÉDICA E SOCIAL</t>
        </is>
      </c>
    </row>
    <row r="73">
      <c r="A73" t="inlineStr">
        <is>
          <t>283</t>
        </is>
      </c>
      <c r="B73" t="inlineStr">
        <is>
          <t>CUSTOS INDIRETOS DE PRODUÇÃO</t>
        </is>
      </c>
    </row>
    <row r="74">
      <c r="A74" t="inlineStr">
        <is>
          <t>284</t>
        </is>
      </c>
      <c r="B74" t="inlineStr">
        <is>
          <t>MÃO-DE-OBRA INDIRETA</t>
        </is>
      </c>
    </row>
    <row r="75">
      <c r="A75" t="inlineStr">
        <is>
          <t>293</t>
        </is>
      </c>
      <c r="B75" t="inlineStr">
        <is>
          <t>CUSTOS DIRETOS DA PRODUÇÃO DE SERVIÇOS</t>
        </is>
      </c>
    </row>
    <row r="76">
      <c r="A76" t="inlineStr">
        <is>
          <t>294</t>
        </is>
      </c>
      <c r="B76" t="inlineStr">
        <is>
          <t>MÃO-DE-OBRA DIRETA</t>
        </is>
      </c>
    </row>
    <row r="77">
      <c r="A77" t="inlineStr">
        <is>
          <t>295</t>
        </is>
      </c>
      <c r="B77" t="inlineStr">
        <is>
          <t>DESPESAS OPERACIONAIS</t>
        </is>
      </c>
    </row>
    <row r="78">
      <c r="A78" t="inlineStr">
        <is>
          <t>296</t>
        </is>
      </c>
      <c r="B78" t="inlineStr">
        <is>
          <t>DESPESAS COM VENDAS</t>
        </is>
      </c>
    </row>
    <row r="79">
      <c r="A79" t="inlineStr">
        <is>
          <t>297</t>
        </is>
      </c>
      <c r="B79" t="inlineStr">
        <is>
          <t>DESPESAS COM PESSOAL</t>
        </is>
      </c>
    </row>
    <row r="80">
      <c r="A80" t="inlineStr">
        <is>
          <t>309</t>
        </is>
      </c>
      <c r="B80" t="inlineStr">
        <is>
          <t>PROPAGANDA E PUBLICIDADE</t>
        </is>
      </c>
    </row>
    <row r="81">
      <c r="A81" t="inlineStr">
        <is>
          <t>311</t>
        </is>
      </c>
      <c r="B81" t="inlineStr">
        <is>
          <t>DESPESAS COM ENTREGA</t>
        </is>
      </c>
    </row>
    <row r="82">
      <c r="A82" t="inlineStr">
        <is>
          <t>312</t>
        </is>
      </c>
      <c r="B82" t="inlineStr">
        <is>
          <t>FRETES E CARRETOS</t>
        </is>
      </c>
    </row>
    <row r="83">
      <c r="A83" t="inlineStr">
        <is>
          <t>319</t>
        </is>
      </c>
      <c r="B83" t="inlineStr">
        <is>
          <t>DESPESAS GERAIS</t>
        </is>
      </c>
    </row>
    <row r="84">
      <c r="A84" t="inlineStr">
        <is>
          <t>320</t>
        </is>
      </c>
      <c r="B84" t="inlineStr">
        <is>
          <t>ALUGUÉIS</t>
        </is>
      </c>
    </row>
    <row r="85">
      <c r="A85" t="inlineStr">
        <is>
          <t>321</t>
        </is>
      </c>
      <c r="B85" t="inlineStr">
        <is>
          <t>MANUTENÇÃO E REPARO</t>
        </is>
      </c>
    </row>
    <row r="86">
      <c r="A86" t="inlineStr">
        <is>
          <t>325</t>
        </is>
      </c>
      <c r="B86" t="inlineStr">
        <is>
          <t>SERVIÇOS PRESTADOS POR TERCEIROS</t>
        </is>
      </c>
    </row>
    <row r="87">
      <c r="A87" t="inlineStr">
        <is>
          <t>329</t>
        </is>
      </c>
      <c r="B87" t="inlineStr">
        <is>
          <t>DESPESAS ADMINISTRATIVAS</t>
        </is>
      </c>
    </row>
    <row r="88">
      <c r="A88" t="inlineStr">
        <is>
          <t>330</t>
        </is>
      </c>
      <c r="B88" t="inlineStr">
        <is>
          <t>DESPESAS COM PESSOAL</t>
        </is>
      </c>
    </row>
    <row r="89">
      <c r="A89" t="inlineStr">
        <is>
          <t>345</t>
        </is>
      </c>
      <c r="B89" t="inlineStr">
        <is>
          <t>IMPOSTOS, TAXAS E CONTRIBUIÇÕES</t>
        </is>
      </c>
    </row>
    <row r="90">
      <c r="A90" t="inlineStr">
        <is>
          <t>350</t>
        </is>
      </c>
      <c r="B90" t="inlineStr">
        <is>
          <t>TAXAS DIVERSAS</t>
        </is>
      </c>
    </row>
    <row r="91">
      <c r="A91" t="inlineStr">
        <is>
          <t>353</t>
        </is>
      </c>
      <c r="B91" t="inlineStr">
        <is>
          <t>DESPESAS GERAIS</t>
        </is>
      </c>
    </row>
    <row r="92">
      <c r="A92" t="inlineStr">
        <is>
          <t>354</t>
        </is>
      </c>
      <c r="B92" t="inlineStr">
        <is>
          <t>ENERGIA ELÉTRICA</t>
        </is>
      </c>
    </row>
    <row r="93">
      <c r="A93" t="inlineStr">
        <is>
          <t>355</t>
        </is>
      </c>
      <c r="B93" t="inlineStr">
        <is>
          <t>ÁGUA E ESGOTO</t>
        </is>
      </c>
    </row>
    <row r="94">
      <c r="A94" t="inlineStr">
        <is>
          <t>357</t>
        </is>
      </c>
      <c r="B94" t="inlineStr">
        <is>
          <t>DESPESAS COM CARTÃO DE CREDITO</t>
        </is>
      </c>
    </row>
    <row r="95">
      <c r="A95" t="inlineStr">
        <is>
          <t>359</t>
        </is>
      </c>
      <c r="B95" t="inlineStr">
        <is>
          <t>MATERIAL DE ESCRITÓRIO</t>
        </is>
      </c>
    </row>
    <row r="96">
      <c r="A96" t="inlineStr">
        <is>
          <t>360</t>
        </is>
      </c>
      <c r="B96" t="inlineStr">
        <is>
          <t>MATERIAL DE HIGIENE E LIMPEZA / COPA</t>
        </is>
      </c>
    </row>
    <row r="97">
      <c r="A97" t="inlineStr">
        <is>
          <t>361</t>
        </is>
      </c>
      <c r="B97" t="inlineStr">
        <is>
          <t>ASSISTÊNCIA CONTÁBIL</t>
        </is>
      </c>
    </row>
    <row r="98">
      <c r="A98" t="inlineStr">
        <is>
          <t>362</t>
        </is>
      </c>
      <c r="B98" t="inlineStr">
        <is>
          <t>SERVIÇOS PRESTADOS POR TERCEIROS</t>
        </is>
      </c>
    </row>
    <row r="99">
      <c r="A99" t="inlineStr">
        <is>
          <t>364</t>
        </is>
      </c>
      <c r="B99" t="inlineStr">
        <is>
          <t>DESPESAS ADMINISTRATIVAS</t>
        </is>
      </c>
    </row>
    <row r="100">
      <c r="A100" t="inlineStr">
        <is>
          <t>365</t>
        </is>
      </c>
      <c r="B100" t="inlineStr">
        <is>
          <t>DESPESAS LEGAIS E JUDICIAIS</t>
        </is>
      </c>
    </row>
    <row r="101">
      <c r="A101" t="inlineStr">
        <is>
          <t>366</t>
        </is>
      </c>
      <c r="B101" t="inlineStr">
        <is>
          <t>EMPRESTIMOS A TERCEIROS</t>
        </is>
      </c>
    </row>
    <row r="102">
      <c r="A102" t="inlineStr">
        <is>
          <t>367</t>
        </is>
      </c>
      <c r="B102" t="inlineStr">
        <is>
          <t>DESPESAS FINANCEIRAS</t>
        </is>
      </c>
    </row>
    <row r="103">
      <c r="A103" t="inlineStr">
        <is>
          <t>372</t>
        </is>
      </c>
      <c r="B103" t="inlineStr">
        <is>
          <t>JUROS DE MORA</t>
        </is>
      </c>
    </row>
    <row r="104">
      <c r="A104" t="inlineStr">
        <is>
          <t>375</t>
        </is>
      </c>
      <c r="B104" t="inlineStr">
        <is>
          <t>JUROS SOBRE EMPRÉSTIMOS E FINANCIAMENTOS</t>
        </is>
      </c>
    </row>
    <row r="105">
      <c r="A105" t="inlineStr">
        <is>
          <t>376</t>
        </is>
      </c>
      <c r="B105" t="inlineStr">
        <is>
          <t>OUTRAS DESPESAS OPERACIONAIS</t>
        </is>
      </c>
    </row>
    <row r="106">
      <c r="A106" t="inlineStr">
        <is>
          <t>382</t>
        </is>
      </c>
      <c r="B106" t="inlineStr">
        <is>
          <t>EMPRÉSTIMOS E FINANCIAMENTOS</t>
        </is>
      </c>
    </row>
    <row r="107">
      <c r="A107" t="inlineStr">
        <is>
          <t>402</t>
        </is>
      </c>
      <c r="B107" t="inlineStr">
        <is>
          <t>CONTAS DE RESULTADO - RECEITAS</t>
        </is>
      </c>
    </row>
    <row r="108">
      <c r="A108" t="inlineStr">
        <is>
          <t>403</t>
        </is>
      </c>
      <c r="B108" t="inlineStr">
        <is>
          <t>RECEITAS OPERACIONAIS</t>
        </is>
      </c>
    </row>
    <row r="109">
      <c r="A109" t="inlineStr">
        <is>
          <t>404</t>
        </is>
      </c>
      <c r="B109" t="inlineStr">
        <is>
          <t>RECEITA BRUTA DE VENDAS E SERVIÇOS</t>
        </is>
      </c>
    </row>
    <row r="110">
      <c r="A110" t="inlineStr">
        <is>
          <t>405</t>
        </is>
      </c>
      <c r="B110" t="inlineStr">
        <is>
          <t>RECEITA BRUTAS DE VENDAS E MERCADORIAS</t>
        </is>
      </c>
    </row>
    <row r="111">
      <c r="A111" t="inlineStr">
        <is>
          <t>408</t>
        </is>
      </c>
      <c r="B111" t="inlineStr">
        <is>
          <t>VENDA DE MERCADORIAS</t>
        </is>
      </c>
    </row>
    <row r="112">
      <c r="A112" t="inlineStr">
        <is>
          <t>410</t>
        </is>
      </c>
      <c r="B112" t="inlineStr">
        <is>
          <t>RECEITA DE PRESTAÇÃO DE SERVIÇOS</t>
        </is>
      </c>
    </row>
    <row r="113">
      <c r="A113" t="inlineStr">
        <is>
          <t>411</t>
        </is>
      </c>
      <c r="B113" t="inlineStr">
        <is>
          <t>SERVIÇOS PRESTADOS</t>
        </is>
      </c>
    </row>
    <row r="114">
      <c r="A114" t="inlineStr">
        <is>
          <t>413</t>
        </is>
      </c>
      <c r="B114" t="inlineStr">
        <is>
          <t>(-) DEDUÇÕES DA RECEITA BRUTA</t>
        </is>
      </c>
    </row>
    <row r="115">
      <c r="A115" t="inlineStr">
        <is>
          <t>414</t>
        </is>
      </c>
      <c r="B115" t="inlineStr">
        <is>
          <t>(-) CANCELAMENTO E DEVOLUÇÕES</t>
        </is>
      </c>
    </row>
    <row r="116">
      <c r="A116" t="inlineStr">
        <is>
          <t>417</t>
        </is>
      </c>
      <c r="B116" t="inlineStr">
        <is>
          <t>(-) DEVOLUÇÃO DE VENDA DE MERCADORIAS</t>
        </is>
      </c>
    </row>
    <row r="117">
      <c r="A117" t="inlineStr">
        <is>
          <t>424</t>
        </is>
      </c>
      <c r="B117" t="inlineStr">
        <is>
          <t>(-) IMPOSTOS SOBRE VENDAS E SERVIÇOS</t>
        </is>
      </c>
    </row>
    <row r="118">
      <c r="A118" t="inlineStr">
        <is>
          <t>425</t>
        </is>
      </c>
      <c r="B118" t="inlineStr">
        <is>
          <t>(-) IPI</t>
        </is>
      </c>
    </row>
    <row r="119">
      <c r="A119" t="inlineStr">
        <is>
          <t>426</t>
        </is>
      </c>
      <c r="B119" t="inlineStr">
        <is>
          <t>(-) ICMS</t>
        </is>
      </c>
    </row>
    <row r="120">
      <c r="A120" t="inlineStr">
        <is>
          <t>428</t>
        </is>
      </c>
      <c r="B120" t="inlineStr">
        <is>
          <t>(-) COFINS</t>
        </is>
      </c>
    </row>
    <row r="121">
      <c r="A121" t="inlineStr">
        <is>
          <t>429</t>
        </is>
      </c>
      <c r="B121" t="inlineStr">
        <is>
          <t>(-) PIS</t>
        </is>
      </c>
    </row>
    <row r="122">
      <c r="A122" t="inlineStr">
        <is>
          <t>430</t>
        </is>
      </c>
      <c r="B122" t="inlineStr">
        <is>
          <t>RECEITAS FINANCEIRAS</t>
        </is>
      </c>
    </row>
    <row r="123">
      <c r="A123" t="inlineStr">
        <is>
          <t>431</t>
        </is>
      </c>
      <c r="B123" t="inlineStr">
        <is>
          <t>JUROS E DESCONTOS</t>
        </is>
      </c>
    </row>
    <row r="124">
      <c r="A124" t="inlineStr">
        <is>
          <t>432</t>
        </is>
      </c>
      <c r="B124" t="inlineStr">
        <is>
          <t>RENDIMENTOS DE APLICAÇÕES</t>
        </is>
      </c>
    </row>
    <row r="125">
      <c r="A125" t="inlineStr">
        <is>
          <t>442</t>
        </is>
      </c>
      <c r="B125" t="inlineStr">
        <is>
          <t>OUTRAS RECEITAS OPERACIONAIS</t>
        </is>
      </c>
    </row>
    <row r="126">
      <c r="A126" t="inlineStr">
        <is>
          <t>443</t>
        </is>
      </c>
      <c r="B126" t="inlineStr">
        <is>
          <t>RECEITAS DIVERSAS</t>
        </is>
      </c>
    </row>
    <row r="127">
      <c r="A127" t="inlineStr">
        <is>
          <t>477</t>
        </is>
      </c>
      <c r="B127" t="inlineStr">
        <is>
          <t>(-) CONTRIBUIÇÃO SOCIAL</t>
        </is>
      </c>
    </row>
    <row r="128">
      <c r="A128" t="inlineStr">
        <is>
          <t>478</t>
        </is>
      </c>
      <c r="B128" t="inlineStr">
        <is>
          <t>(-) IMPOSTO DE RENDA</t>
        </is>
      </c>
    </row>
    <row r="129">
      <c r="A129" t="inlineStr">
        <is>
          <t>479</t>
        </is>
      </c>
      <c r="B129" t="inlineStr">
        <is>
          <t>SIMPLES NACIONAL A RECOLHER</t>
        </is>
      </c>
    </row>
    <row r="130">
      <c r="A130" t="inlineStr">
        <is>
          <t>481</t>
        </is>
      </c>
      <c r="B130" t="inlineStr">
        <is>
          <t>SUBSTITUIÇÃO TRIBUTÁRIA A RECOLHER</t>
        </is>
      </c>
    </row>
    <row r="131">
      <c r="A131" t="inlineStr">
        <is>
          <t>482</t>
        </is>
      </c>
      <c r="B131" t="inlineStr">
        <is>
          <t>(-) SUBSTITUIÇÃO TRIBUTÁRIA</t>
        </is>
      </c>
    </row>
    <row r="132">
      <c r="A132" t="inlineStr">
        <is>
          <t>492</t>
        </is>
      </c>
      <c r="B132" t="inlineStr">
        <is>
          <t>VALE TRANSPORTE</t>
        </is>
      </c>
    </row>
    <row r="133">
      <c r="A133" t="inlineStr">
        <is>
          <t>493</t>
        </is>
      </c>
      <c r="B133" t="inlineStr">
        <is>
          <t>DESPESAS DIVERSAS</t>
        </is>
      </c>
    </row>
    <row r="134">
      <c r="A134" t="inlineStr">
        <is>
          <t>494</t>
        </is>
      </c>
      <c r="B134" t="inlineStr">
        <is>
          <t>IRRF S/ FOLHA A RECOLHER</t>
        </is>
      </c>
    </row>
    <row r="135">
      <c r="A135" t="inlineStr">
        <is>
          <t>500</t>
        </is>
      </c>
      <c r="B135" t="inlineStr">
        <is>
          <t>CUSTOS</t>
        </is>
      </c>
    </row>
    <row r="136">
      <c r="A136" t="inlineStr">
        <is>
          <t>503</t>
        </is>
      </c>
      <c r="B136" t="inlineStr">
        <is>
          <t>PASSIVO NÃO-CIRCULANTE</t>
        </is>
      </c>
    </row>
    <row r="137">
      <c r="A137" t="inlineStr">
        <is>
          <t>504</t>
        </is>
      </c>
      <c r="B137" t="inlineStr">
        <is>
          <t>CLIENTES DIVERSOS</t>
        </is>
      </c>
    </row>
    <row r="138">
      <c r="A138" t="inlineStr">
        <is>
          <t>506</t>
        </is>
      </c>
      <c r="B138" t="inlineStr">
        <is>
          <t>FORNECEDORES DIVERSOS</t>
        </is>
      </c>
    </row>
    <row r="139">
      <c r="A139" t="inlineStr">
        <is>
          <t>510</t>
        </is>
      </c>
      <c r="B139" t="inlineStr">
        <is>
          <t>HONORÁRIOS CONTÁBEIS A PAGAR</t>
        </is>
      </c>
    </row>
    <row r="140">
      <c r="A140" t="inlineStr">
        <is>
          <t>511</t>
        </is>
      </c>
      <c r="B140" t="inlineStr">
        <is>
          <t>FÉRIAS A PAGAR</t>
        </is>
      </c>
    </row>
    <row r="141">
      <c r="A141" t="inlineStr">
        <is>
          <t>512</t>
        </is>
      </c>
      <c r="B141" t="inlineStr">
        <is>
          <t>RESCISÕES A PAGAR</t>
        </is>
      </c>
    </row>
    <row r="142">
      <c r="A142" t="inlineStr">
        <is>
          <t>513</t>
        </is>
      </c>
      <c r="B142" t="inlineStr">
        <is>
          <t>MATERIAL DE USO E CONSUMO</t>
        </is>
      </c>
    </row>
    <row r="143">
      <c r="A143" t="inlineStr">
        <is>
          <t>514</t>
        </is>
      </c>
      <c r="B143" t="inlineStr">
        <is>
          <t>BONIFICAÇÕES ENVIADAS</t>
        </is>
      </c>
    </row>
    <row r="144">
      <c r="A144" t="inlineStr">
        <is>
          <t>515</t>
        </is>
      </c>
      <c r="B144" t="inlineStr">
        <is>
          <t>BONIFICAÇÕES RECEBIDAS</t>
        </is>
      </c>
    </row>
    <row r="145">
      <c r="A145" t="inlineStr">
        <is>
          <t>518</t>
        </is>
      </c>
      <c r="B145" t="inlineStr">
        <is>
          <t>LUCRO DO PERIODO</t>
        </is>
      </c>
    </row>
    <row r="146">
      <c r="A146" t="inlineStr">
        <is>
          <t>519</t>
        </is>
      </c>
      <c r="B146" t="inlineStr">
        <is>
          <t>(-) PREJUIZO DO PERIODO</t>
        </is>
      </c>
    </row>
    <row r="147">
      <c r="A147" t="inlineStr">
        <is>
          <t>526</t>
        </is>
      </c>
      <c r="B147" t="inlineStr">
        <is>
          <t>ICMS DIF. DE ALIQUOTA A RECOLHER</t>
        </is>
      </c>
    </row>
    <row r="148">
      <c r="A148" t="inlineStr">
        <is>
          <t>527</t>
        </is>
      </c>
      <c r="B148" t="inlineStr">
        <is>
          <t>ICMS DIFERENCIAL DE ALIQUOTA</t>
        </is>
      </c>
    </row>
    <row r="149">
      <c r="A149" t="inlineStr">
        <is>
          <t>555</t>
        </is>
      </c>
      <c r="B149" t="inlineStr">
        <is>
          <t>INTERNET</t>
        </is>
      </c>
    </row>
    <row r="150">
      <c r="A150" t="inlineStr">
        <is>
          <t>556</t>
        </is>
      </c>
      <c r="B150" t="inlineStr">
        <is>
          <t>OUTROS EMPRESTIMOS</t>
        </is>
      </c>
    </row>
    <row r="151">
      <c r="A151" t="inlineStr">
        <is>
          <t>576</t>
        </is>
      </c>
      <c r="B151" t="inlineStr">
        <is>
          <t>PLANO DE SAÚDE EMPREGADOS</t>
        </is>
      </c>
    </row>
    <row r="152">
      <c r="A152" t="inlineStr">
        <is>
          <t>594</t>
        </is>
      </c>
      <c r="B152" t="inlineStr">
        <is>
          <t>CUSTOS DAS MERCADORIAS VENDIDAS</t>
        </is>
      </c>
    </row>
    <row r="153">
      <c r="A153" t="inlineStr">
        <is>
          <t>595</t>
        </is>
      </c>
      <c r="B153" t="inlineStr">
        <is>
          <t>CUSTOS DAS MERCADORIAS VENDIDAS</t>
        </is>
      </c>
    </row>
    <row r="154">
      <c r="A154" t="inlineStr">
        <is>
          <t>600</t>
        </is>
      </c>
      <c r="B154" t="inlineStr">
        <is>
          <t>INSUMOS</t>
        </is>
      </c>
    </row>
    <row r="155">
      <c r="A155" t="inlineStr">
        <is>
          <t>601</t>
        </is>
      </c>
      <c r="B155" t="inlineStr">
        <is>
          <t>CONTAS DE COMPENSAÇÃO</t>
        </is>
      </c>
    </row>
    <row r="156">
      <c r="A156" t="inlineStr">
        <is>
          <t>602</t>
        </is>
      </c>
      <c r="B156" t="inlineStr">
        <is>
          <t>ATIVO COMPENSADO</t>
        </is>
      </c>
    </row>
    <row r="157">
      <c r="A157" t="inlineStr">
        <is>
          <t>603</t>
        </is>
      </c>
      <c r="B157" t="inlineStr">
        <is>
          <t>PASSIVO COMEPNSADO</t>
        </is>
      </c>
    </row>
    <row r="158">
      <c r="A158" t="inlineStr">
        <is>
          <t>604</t>
        </is>
      </c>
      <c r="B158" t="inlineStr">
        <is>
          <t>REMESSA</t>
        </is>
      </c>
    </row>
    <row r="159">
      <c r="A159" t="inlineStr">
        <is>
          <t>605</t>
        </is>
      </c>
      <c r="B159" t="inlineStr">
        <is>
          <t>REMESSA</t>
        </is>
      </c>
    </row>
    <row r="160">
      <c r="A160" t="inlineStr">
        <is>
          <t>607</t>
        </is>
      </c>
      <c r="B160" t="inlineStr">
        <is>
          <t>RETORNO DE MERCADORIA ENVIADA PARA INDUSTRIALIZAÇÃO</t>
        </is>
      </c>
    </row>
    <row r="161">
      <c r="A161" t="inlineStr">
        <is>
          <t>608</t>
        </is>
      </c>
      <c r="B161" t="inlineStr">
        <is>
          <t>REMESSA POR CONTA E ORDEM</t>
        </is>
      </c>
    </row>
    <row r="162">
      <c r="A162" t="inlineStr">
        <is>
          <t>609</t>
        </is>
      </c>
      <c r="B162" t="inlineStr">
        <is>
          <t>REMESSA POR CONTA E ORDEM</t>
        </is>
      </c>
    </row>
    <row r="163">
      <c r="A163" t="inlineStr">
        <is>
          <t>612</t>
        </is>
      </c>
      <c r="B163" t="inlineStr">
        <is>
          <t>REMESSA POR EMPRESTIMOS / OUTROS</t>
        </is>
      </c>
    </row>
    <row r="164">
      <c r="A164" t="inlineStr">
        <is>
          <t>613</t>
        </is>
      </c>
      <c r="B164" t="inlineStr">
        <is>
          <t>REMESSA POR EMPRESTIMOS / OUTROS</t>
        </is>
      </c>
    </row>
    <row r="165">
      <c r="A165" t="inlineStr">
        <is>
          <t>614</t>
        </is>
      </c>
      <c r="B165" t="inlineStr">
        <is>
          <t>ENTRADA P INDUSTRIALIZAÇÃO POR ENCOMENDA</t>
        </is>
      </c>
    </row>
    <row r="166">
      <c r="A166" t="inlineStr">
        <is>
          <t>616</t>
        </is>
      </c>
      <c r="B166" t="inlineStr">
        <is>
          <t>AMOSTRA GRATIS</t>
        </is>
      </c>
    </row>
    <row r="167">
      <c r="A167" t="inlineStr">
        <is>
          <t>617</t>
        </is>
      </c>
      <c r="B167" t="inlineStr">
        <is>
          <t>CUSTO INDUSTRIALIZAÇÃO</t>
        </is>
      </c>
    </row>
    <row r="168">
      <c r="A168" t="inlineStr">
        <is>
          <t>618</t>
        </is>
      </c>
      <c r="B168" t="inlineStr">
        <is>
          <t>INDUSTRIALIZAÇÃO EFETUADA POR TERCEIROS</t>
        </is>
      </c>
    </row>
    <row r="169">
      <c r="A169" t="inlineStr">
        <is>
          <t>622</t>
        </is>
      </c>
      <c r="B169" t="inlineStr">
        <is>
          <t>AJUSTE DE EXERCICIO ANTERIOR</t>
        </is>
      </c>
    </row>
    <row r="170">
      <c r="A170" t="inlineStr">
        <is>
          <t>624</t>
        </is>
      </c>
      <c r="B170" t="inlineStr">
        <is>
          <t>PARCELAMENTO  - SIMPLES NACIONAL - L.P - ANO DE 2023/2024</t>
        </is>
      </c>
    </row>
    <row r="171">
      <c r="A171" t="inlineStr">
        <is>
          <t>625</t>
        </is>
      </c>
      <c r="B171" t="inlineStr">
        <is>
          <t>IOF</t>
        </is>
      </c>
    </row>
    <row r="172">
      <c r="A172" t="inlineStr">
        <is>
          <t>626</t>
        </is>
      </c>
      <c r="B172" t="inlineStr">
        <is>
          <t>TARIFAS BANCARIAS</t>
        </is>
      </c>
    </row>
    <row r="173">
      <c r="A173" t="inlineStr">
        <is>
          <t>628</t>
        </is>
      </c>
      <c r="B173" t="inlineStr">
        <is>
          <t>PLANO ODONTOLOGICO</t>
        </is>
      </c>
    </row>
    <row r="174">
      <c r="A174" t="inlineStr">
        <is>
          <t>639</t>
        </is>
      </c>
      <c r="B174" t="inlineStr">
        <is>
          <t>VALE TRANSPORTE</t>
        </is>
      </c>
    </row>
    <row r="175">
      <c r="A175" t="inlineStr">
        <is>
          <t>640</t>
        </is>
      </c>
      <c r="B175" t="inlineStr">
        <is>
          <t>SOFTWARE/SISTEMA</t>
        </is>
      </c>
    </row>
    <row r="176">
      <c r="A176" t="inlineStr">
        <is>
          <t>642</t>
        </is>
      </c>
      <c r="B176" t="inlineStr">
        <is>
          <t>SEGURO DE VIDA EMPRESARIAL</t>
        </is>
      </c>
    </row>
    <row r="177">
      <c r="A177" t="inlineStr">
        <is>
          <t>643</t>
        </is>
      </c>
      <c r="B177" t="inlineStr">
        <is>
          <t>PROPAGANDA</t>
        </is>
      </c>
    </row>
    <row r="178">
      <c r="A178" t="inlineStr">
        <is>
          <t>652</t>
        </is>
      </c>
      <c r="B178" t="inlineStr">
        <is>
          <t>ASSISTENCIA MÉDICA E SOCIAL</t>
        </is>
      </c>
    </row>
    <row r="179">
      <c r="A179" t="inlineStr">
        <is>
          <t>653</t>
        </is>
      </c>
      <c r="B179" t="inlineStr">
        <is>
          <t>PLANO DE SAÚDE EMPREGADO</t>
        </is>
      </c>
    </row>
    <row r="180">
      <c r="A180" t="inlineStr">
        <is>
          <t>655</t>
        </is>
      </c>
      <c r="B180" t="inlineStr">
        <is>
          <t>SEGURO DE VIDA EMPRESARIAL</t>
        </is>
      </c>
    </row>
    <row r="181">
      <c r="A181" t="inlineStr">
        <is>
          <t>656</t>
        </is>
      </c>
      <c r="B181" t="inlineStr">
        <is>
          <t>EPI</t>
        </is>
      </c>
    </row>
    <row r="182">
      <c r="A182" t="inlineStr">
        <is>
          <t>659</t>
        </is>
      </c>
      <c r="B182" t="inlineStr">
        <is>
          <t>VA / VR</t>
        </is>
      </c>
    </row>
    <row r="183">
      <c r="A183" t="inlineStr">
        <is>
          <t>661</t>
        </is>
      </c>
      <c r="B183" t="inlineStr">
        <is>
          <t>SEGURO DE VIDA EMPRESARIAL</t>
        </is>
      </c>
    </row>
    <row r="184">
      <c r="A184" t="inlineStr">
        <is>
          <t>662</t>
        </is>
      </c>
      <c r="B184" t="inlineStr">
        <is>
          <t>EMPRESTIMO F.V.S COMERCIO (45.569.661/0001-04)</t>
        </is>
      </c>
    </row>
    <row r="185">
      <c r="A185" t="inlineStr">
        <is>
          <t>663</t>
        </is>
      </c>
      <c r="B185" t="inlineStr">
        <is>
          <t>EMPRESTIMO COSMETICON COMERCIO (31.494.732/0001-09)</t>
        </is>
      </c>
    </row>
    <row r="186">
      <c r="A186" t="inlineStr">
        <is>
          <t>664</t>
        </is>
      </c>
      <c r="B186" t="inlineStr">
        <is>
          <t>COSMETICON COMERCIO DE COSMETICOS LTDA</t>
        </is>
      </c>
    </row>
    <row r="187">
      <c r="A187" t="inlineStr">
        <is>
          <t>670</t>
        </is>
      </c>
      <c r="B187" t="inlineStr">
        <is>
          <t>EMPRESTIMO CABELO MEU (24.627.276/0001-62)</t>
        </is>
      </c>
    </row>
    <row r="188">
      <c r="A188" t="inlineStr">
        <is>
          <t>671</t>
        </is>
      </c>
      <c r="B188" t="inlineStr">
        <is>
          <t>F.V.S COMERCIO DE COSMETICOS LTDA</t>
        </is>
      </c>
    </row>
    <row r="189">
      <c r="A189" t="inlineStr">
        <is>
          <t>672</t>
        </is>
      </c>
      <c r="B189" t="inlineStr">
        <is>
          <t>EMPRESTIMO DE TERCEIRO</t>
        </is>
      </c>
    </row>
    <row r="190">
      <c r="A190" t="inlineStr">
        <is>
          <t>675</t>
        </is>
      </c>
      <c r="B190" t="inlineStr">
        <is>
          <t>EMPRESTIMO COSMETICON COM. COSMETICOS</t>
        </is>
      </c>
    </row>
    <row r="191">
      <c r="A191" t="inlineStr">
        <is>
          <t>680</t>
        </is>
      </c>
      <c r="B191" t="inlineStr">
        <is>
          <t>LUCROS DISTRIBUIDOS AO SOCIO</t>
        </is>
      </c>
    </row>
    <row r="192">
      <c r="A192" t="inlineStr">
        <is>
          <t>681</t>
        </is>
      </c>
      <c r="B192" t="inlineStr">
        <is>
          <t>(-) ENCARGOS PARCELAMENTO INSS  - C.P Nº 9526526</t>
        </is>
      </c>
    </row>
    <row r="193">
      <c r="A193" t="inlineStr">
        <is>
          <t>682</t>
        </is>
      </c>
      <c r="B193" t="inlineStr">
        <is>
          <t>(-) ENCARGOS PARCELAMENTO INSS</t>
        </is>
      </c>
    </row>
    <row r="194">
      <c r="A194" t="inlineStr">
        <is>
          <t>683</t>
        </is>
      </c>
      <c r="B194" t="inlineStr">
        <is>
          <t>(-) ENCARGOS PARCELAMENTO C.P SIMPLES NACIONAL</t>
        </is>
      </c>
    </row>
    <row r="195">
      <c r="A195" t="inlineStr">
        <is>
          <t>684</t>
        </is>
      </c>
      <c r="B195" t="inlineStr">
        <is>
          <t>(-) ENCARGOS PARCELAMENTO L.P SIMPLES NACIONAL</t>
        </is>
      </c>
    </row>
    <row r="196">
      <c r="A196" t="inlineStr">
        <is>
          <t>685</t>
        </is>
      </c>
      <c r="B196" t="inlineStr">
        <is>
          <t>PARCELAMENTO SIMPLES NACIONAL C.P. Nº 11789686</t>
        </is>
      </c>
    </row>
    <row r="197">
      <c r="A197" t="inlineStr">
        <is>
          <t>686</t>
        </is>
      </c>
      <c r="B197" t="inlineStr">
        <is>
          <t>PARCELAMENTO SIMPLES NACIONAL  L.P.  Nº 11789686</t>
        </is>
      </c>
    </row>
    <row r="198">
      <c r="A198" t="inlineStr">
        <is>
          <t>687</t>
        </is>
      </c>
      <c r="B198" t="inlineStr">
        <is>
          <t>ADIANTAMENTO DE CLIENTES</t>
        </is>
      </c>
    </row>
    <row r="199">
      <c r="A199" t="inlineStr">
        <is>
          <t>692</t>
        </is>
      </c>
      <c r="B199" t="inlineStr">
        <is>
          <t>CREDITO EMPRESTIMO EMPREGADO</t>
        </is>
      </c>
    </row>
    <row r="200">
      <c r="A200" t="inlineStr">
        <is>
          <t>715</t>
        </is>
      </c>
      <c r="B200" t="inlineStr">
        <is>
          <t>HONORARIOS ADVCATICIOS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2026-10-12T22:19:09Z</dcterms:created>
  <dcterms:modified xmlns:dcterms="http://purl.org/dc/terms/" xmlns:xsi="http://www.w3.org/2001/XMLSchema-instance" xsi:type="dcterms:W3CDTF">2026-10-12T22:19:11Z</dcterms:modified>
</cp:coreProperties>
</file>