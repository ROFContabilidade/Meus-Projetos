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das as notas" sheetId="2" state="visible" r:id="rId2"/>
    <sheet xmlns:r="http://schemas.openxmlformats.org/officeDocument/2006/relationships" name="Sem retenção" sheetId="3" state="visible" r:id="rId3"/>
    <sheet xmlns:r="http://schemas.openxmlformats.org/officeDocument/2006/relationships" name="Com retenção" sheetId="4" state="visible" r:id="rId4"/>
  </sheets>
  <definedNames>
    <definedName name="_xlnm._FilterDatabase" localSheetId="1" hidden="1">'Todas as notas'!$A$4:$Z$25</definedName>
    <definedName name="_xlnm._FilterDatabase" localSheetId="2" hidden="1">'Sem retenção'!$A$4:$Z$23</definedName>
    <definedName name="_xlnm._FilterDatabase" localSheetId="3" hidden="1">'Com retenção'!$A$4:$Z$6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-#,##0.00;-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4" fontId="4" fillId="3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166" fontId="4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66" fontId="4" fillId="3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3" fillId="4" borderId="0" pivotButton="0" quotePrefix="0" xfId="0"/>
    <xf numFmtId="0" fontId="0" fillId="4" borderId="0" pivotButton="0" quotePrefix="0" xfId="0"/>
    <xf numFmtId="16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0" customWidth="1" min="3" max="3"/>
    <col width="48" customWidth="1" min="4" max="4"/>
    <col width="40" customWidth="1" min="5" max="5"/>
  </cols>
  <sheetData>
    <row r="1">
      <c r="A1" s="1" t="inlineStr">
        <is>
          <t>COSMETICI INDUSTRIA E COMERCIO DE COSMETICOS LTDA - Serviços tomados 09/2026</t>
        </is>
      </c>
    </row>
    <row r="2">
      <c r="A2" s="2" t="inlineStr">
        <is>
          <t>Valores e retenções exatamente como estão no XML de cada NFS-e (padrão nacional). Nada foi recalculado.</t>
        </is>
      </c>
    </row>
    <row r="4">
      <c r="A4" s="3" t="inlineStr">
        <is>
          <t>Notas no mês</t>
        </is>
      </c>
      <c r="B4" s="4" t="n">
        <v>21</v>
      </c>
    </row>
    <row r="5">
      <c r="A5" s="3" t="inlineStr">
        <is>
          <t>Sem retenção</t>
        </is>
      </c>
      <c r="B5" s="4" t="n">
        <v>19</v>
      </c>
    </row>
    <row r="6">
      <c r="A6" s="3" t="inlineStr">
        <is>
          <t>Com retenção</t>
        </is>
      </c>
      <c r="B6" s="4" t="n">
        <v>2</v>
      </c>
    </row>
    <row r="8">
      <c r="A8" s="5" t="inlineStr"/>
      <c r="B8" s="5" t="inlineStr">
        <is>
          <t>Todas</t>
        </is>
      </c>
      <c r="C8" s="5" t="inlineStr">
        <is>
          <t>Sem retenção</t>
        </is>
      </c>
      <c r="D8" s="5" t="inlineStr">
        <is>
          <t>Com retenção</t>
        </is>
      </c>
    </row>
    <row r="9">
      <c r="A9" s="3" t="inlineStr">
        <is>
          <t>Valor dos serviços</t>
        </is>
      </c>
      <c r="B9" s="6" t="n">
        <v>47168.27</v>
      </c>
      <c r="C9" s="6" t="n">
        <v>44604.63</v>
      </c>
      <c r="D9" s="6" t="n">
        <v>2563.64</v>
      </c>
    </row>
    <row r="10">
      <c r="A10" s="3" t="inlineStr">
        <is>
          <t>ISS do prestador</t>
        </is>
      </c>
      <c r="B10" s="6" t="n">
        <v>1031.95</v>
      </c>
      <c r="C10" s="6" t="n">
        <v>958.83</v>
      </c>
      <c r="D10" s="6" t="n">
        <v>73.12</v>
      </c>
    </row>
    <row r="11">
      <c r="A11" s="3" t="inlineStr">
        <is>
          <t>Total retido</t>
        </is>
      </c>
      <c r="B11" s="6" t="n">
        <v>96.27</v>
      </c>
      <c r="C11" s="6" t="n">
        <v>0</v>
      </c>
      <c r="D11" s="6" t="n">
        <v>96.27</v>
      </c>
    </row>
    <row r="12">
      <c r="A12" s="3" t="inlineStr">
        <is>
          <t>Líquido a pagar</t>
        </is>
      </c>
      <c r="B12" s="6" t="n">
        <v>47072</v>
      </c>
      <c r="C12" s="6" t="n">
        <v>44604.63</v>
      </c>
      <c r="D12" s="6" t="n">
        <v>2467.37</v>
      </c>
    </row>
    <row r="14">
      <c r="A14" s="5" t="inlineStr">
        <is>
          <t>Retenção a recolher</t>
        </is>
      </c>
      <c r="B14" s="5" t="inlineStr">
        <is>
          <t>Valor</t>
        </is>
      </c>
      <c r="C14" s="5" t="inlineStr">
        <is>
          <t>Notas</t>
        </is>
      </c>
      <c r="D14" s="5" t="inlineStr">
        <is>
          <t>Guia</t>
        </is>
      </c>
      <c r="E14" s="5" t="inlineStr">
        <is>
          <t>Vencimento (informativo)</t>
        </is>
      </c>
    </row>
    <row r="15">
      <c r="A15" s="7" t="inlineStr">
        <is>
          <t>ISS retido</t>
        </is>
      </c>
      <c r="B15" s="8" t="n">
        <v>0</v>
      </c>
      <c r="C15" s="7" t="inlineStr">
        <is>
          <t>-</t>
        </is>
      </c>
      <c r="D15" s="7" t="inlineStr">
        <is>
          <t>Guia do ISS retido do município de incidência (tomador recolhe)</t>
        </is>
      </c>
      <c r="E15" s="7" t="inlineStr">
        <is>
          <t>conforme o calendário do município</t>
        </is>
      </c>
    </row>
    <row r="16">
      <c r="A16" s="9" t="inlineStr">
        <is>
          <t>IRRF</t>
        </is>
      </c>
      <c r="B16" s="10" t="n">
        <v>10.92</v>
      </c>
      <c r="C16" s="9" t="inlineStr">
        <is>
          <t>18 GENESIS ALIANCA SERV (10.92)</t>
        </is>
      </c>
      <c r="D16" s="9" t="inlineStr">
        <is>
          <t>DARF 1708 - IRRF sobre serviços de PJ</t>
        </is>
      </c>
      <c r="E16" s="9" t="inlineStr">
        <is>
          <t>até o dia 20 do mês seguinte (último dia útil do 2º decêndio)</t>
        </is>
      </c>
    </row>
    <row r="17">
      <c r="A17" s="9" t="inlineStr">
        <is>
          <t>PIS/COFINS/CSLL (CSRF)</t>
        </is>
      </c>
      <c r="B17" s="10" t="n">
        <v>85.34999999999999</v>
      </c>
      <c r="C17" s="9" t="inlineStr">
        <is>
          <t>43 EXTRALAB BRASIL - CO (85.35)</t>
        </is>
      </c>
      <c r="D17" s="9" t="inlineStr">
        <is>
          <t>DARF 5952 - PIS/COFINS/CSLL retidos (4,65%)</t>
        </is>
      </c>
      <c r="E17" s="9" t="inlineStr">
        <is>
          <t>até o dia 20 do mês seguinte (último dia útil do 2º decêndio)</t>
        </is>
      </c>
    </row>
    <row r="18">
      <c r="A18" s="7" t="inlineStr">
        <is>
          <t>INSS retido</t>
        </is>
      </c>
      <c r="B18" s="8" t="n">
        <v>0</v>
      </c>
      <c r="C18" s="7" t="inlineStr">
        <is>
          <t>-</t>
        </is>
      </c>
      <c r="D18" s="7" t="inlineStr">
        <is>
          <t>DCTFWeb / DARF previdenciário - retenção de 11% (cessão de mão de obra)</t>
        </is>
      </c>
      <c r="E18" s="7" t="inlineStr">
        <is>
          <t>até o dia 20 do mês seguinte</t>
        </is>
      </c>
    </row>
    <row r="20">
      <c r="A20" s="2" t="inlineStr">
        <is>
          <t>A soma das retenções por tributo deve bater com o "Total retido" das notas com retenção.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0" customWidth="1" min="4" max="4"/>
    <col width="32" customWidth="1" min="5" max="5"/>
    <col width="15" customWidth="1" min="6" max="6"/>
    <col width="7" customWidth="1" min="7" max="7"/>
    <col width="12" customWidth="1" min="8" max="8"/>
    <col width="8" customWidth="1" min="9" max="9"/>
    <col width="40" customWidth="1" min="10" max="10"/>
    <col width="12" customWidth="1" min="11" max="11"/>
    <col width="10" customWidth="1" min="12" max="12"/>
    <col width="6" customWidth="1" min="13" max="13"/>
    <col width="10" customWidth="1" min="14" max="14"/>
    <col width="9" customWidth="1" min="15" max="15"/>
    <col width="9" customWidth="1" min="16" max="16"/>
    <col width="12" customWidth="1" min="17" max="17"/>
    <col width="9" customWidth="1" min="18" max="18"/>
    <col width="11" customWidth="1" min="19" max="19"/>
    <col width="12" customWidth="1" min="20" max="20"/>
    <col width="20" customWidth="1" min="21" max="21"/>
    <col width="22" customWidth="1" min="22" max="22"/>
    <col width="10" customWidth="1" min="23" max="23"/>
    <col width="14" customWidth="1" min="24" max="24"/>
    <col width="26" customWidth="1" min="25" max="25"/>
    <col width="50" customWidth="1" min="26" max="26"/>
  </cols>
  <sheetData>
    <row r="1">
      <c r="A1" s="1" t="inlineStr">
        <is>
          <t>Todas as notas</t>
        </is>
      </c>
    </row>
    <row r="2">
      <c r="A2" s="2" t="inlineStr">
        <is>
          <t>NFS-e de serviços tomados 09/2026, na ordem da emissão. Amarelo = nota com retenção.</t>
        </is>
      </c>
    </row>
    <row r="4" ht="30" customHeight="1">
      <c r="A4" s="11" t="inlineStr">
        <is>
          <t>Emissão</t>
        </is>
      </c>
      <c r="B4" s="11" t="inlineStr">
        <is>
          <t>Competência</t>
        </is>
      </c>
      <c r="C4" s="11" t="inlineStr">
        <is>
          <t>NFS-e</t>
        </is>
      </c>
      <c r="D4" s="11" t="inlineStr">
        <is>
          <t>Situação</t>
        </is>
      </c>
      <c r="E4" s="11" t="inlineStr">
        <is>
          <t>Prestador</t>
        </is>
      </c>
      <c r="F4" s="11" t="inlineStr">
        <is>
          <t>CNPJ</t>
        </is>
      </c>
      <c r="G4" s="11" t="inlineStr">
        <is>
          <t>Simples</t>
        </is>
      </c>
      <c r="H4" s="11" t="inlineStr">
        <is>
          <t>Município incidência</t>
        </is>
      </c>
      <c r="I4" s="11" t="inlineStr">
        <is>
          <t>Cód. serviço</t>
        </is>
      </c>
      <c r="J4" s="11" t="inlineStr">
        <is>
          <t>Descrição do serviço</t>
        </is>
      </c>
      <c r="K4" s="11" t="inlineStr">
        <is>
          <t>Valor do serviço</t>
        </is>
      </c>
      <c r="L4" s="11" t="inlineStr">
        <is>
          <t>Base ISS</t>
        </is>
      </c>
      <c r="M4" s="11" t="inlineStr">
        <is>
          <t>% ISS</t>
        </is>
      </c>
      <c r="N4" s="11" t="inlineStr">
        <is>
          <t>ISS do prestador</t>
        </is>
      </c>
      <c r="O4" s="11" t="inlineStr">
        <is>
          <t>ISS retido</t>
        </is>
      </c>
      <c r="P4" s="11" t="inlineStr">
        <is>
          <t>IRRF retido</t>
        </is>
      </c>
      <c r="Q4" s="11" t="inlineStr">
        <is>
          <t>PIS/COFINS/CSLL retidos (vRetCSLL)</t>
        </is>
      </c>
      <c r="R4" s="11" t="inlineStr">
        <is>
          <t>INSS retido</t>
        </is>
      </c>
      <c r="S4" s="11" t="inlineStr">
        <is>
          <t>Total retido (vTotalRet)</t>
        </is>
      </c>
      <c r="T4" s="11" t="inlineStr">
        <is>
          <t>Líquido a pagar ao prestador</t>
        </is>
      </c>
      <c r="U4" s="11" t="inlineStr">
        <is>
          <t>Retenção</t>
        </is>
      </c>
      <c r="V4" s="11" t="inlineStr">
        <is>
          <t>Retenção PIS/COFINS (XML)</t>
        </is>
      </c>
      <c r="W4" s="11" t="inlineStr">
        <is>
          <t>Acumulador (Domínio)</t>
        </is>
      </c>
      <c r="X4" s="11" t="inlineStr">
        <is>
          <t>Conta contábil (Domínio)</t>
        </is>
      </c>
      <c r="Y4" s="11" t="inlineStr">
        <is>
          <t>Conferência XML x relatório ABRASF</t>
        </is>
      </c>
      <c r="Z4" s="11" t="inlineStr">
        <is>
          <t>Chave</t>
        </is>
      </c>
    </row>
    <row r="5">
      <c r="A5" s="12" t="n">
        <v>46266</v>
      </c>
      <c r="B5" s="12" t="n">
        <v>46266</v>
      </c>
      <c r="C5" s="13" t="n">
        <v>1547</v>
      </c>
      <c r="D5" s="13" t="inlineStr">
        <is>
          <t>Autorizada</t>
        </is>
      </c>
      <c r="E5" s="13" t="inlineStr">
        <is>
          <t>PENSU EXACTU COMERCIO E SERVICOS DE EQUIPAMENTOS METROLOGICOS LTDA</t>
        </is>
      </c>
      <c r="F5" s="13" t="inlineStr">
        <is>
          <t>07768652000110</t>
        </is>
      </c>
      <c r="G5" s="13" t="inlineStr">
        <is>
          <t>Sim</t>
        </is>
      </c>
      <c r="H5" s="13" t="inlineStr">
        <is>
          <t>Curitiba</t>
        </is>
      </c>
      <c r="I5" s="13" t="inlineStr">
        <is>
          <t>170901</t>
        </is>
      </c>
      <c r="J5" s="13" t="inlineStr">
        <is>
          <t>Balanca entre 20 e 150 kg nao acreditado |Calibracao por comparacao direta com Pesos Padrao (9 pontos)|Balanca ate 5 kg nao acreditado |Calibracao por comparacao direta com Pesos Padrao (9 pontos)|Phm</t>
        </is>
      </c>
      <c r="K5" s="14" t="n">
        <v>612.25</v>
      </c>
      <c r="L5" s="14" t="n">
        <v>0</v>
      </c>
      <c r="M5" s="13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612.25</v>
      </c>
      <c r="U5" s="13" t="inlineStr">
        <is>
          <t>Não</t>
        </is>
      </c>
      <c r="V5" s="13" t="inlineStr">
        <is>
          <t>-</t>
        </is>
      </c>
      <c r="W5" s="13" t="inlineStr">
        <is>
          <t>803</t>
        </is>
      </c>
      <c r="X5" s="13" t="inlineStr">
        <is>
          <t>D 362 / C 506</t>
        </is>
      </c>
      <c r="Y5" s="13" t="inlineStr">
        <is>
          <t>OK (XML sem base do ISS - Simples, sem retenção; o relatório repete o valor)</t>
        </is>
      </c>
      <c r="Z5" s="13" t="inlineStr">
        <is>
          <t>41069022207768652000110000000000154726099373367718</t>
        </is>
      </c>
    </row>
    <row r="6">
      <c r="A6" s="15" t="n">
        <v>46266</v>
      </c>
      <c r="B6" s="15" t="n">
        <v>46266</v>
      </c>
      <c r="C6" s="16" t="n">
        <v>18</v>
      </c>
      <c r="D6" s="16" t="inlineStr">
        <is>
          <t>Autorizada</t>
        </is>
      </c>
      <c r="E6" s="16" t="inlineStr">
        <is>
          <t>GENESIS ALIANCA SERVICOS MEDICOS LTDA.</t>
        </is>
      </c>
      <c r="F6" s="16" t="inlineStr">
        <is>
          <t>67742984000157</t>
        </is>
      </c>
      <c r="G6" s="16" t="inlineStr">
        <is>
          <t>Não</t>
        </is>
      </c>
      <c r="H6" s="16" t="inlineStr">
        <is>
          <t>Curitiba</t>
        </is>
      </c>
      <c r="I6" s="16" t="inlineStr">
        <is>
          <t>040102</t>
        </is>
      </c>
      <c r="J6" s="16" t="inlineStr">
        <is>
          <t>SERVIÇOS DE MED. OCUPACIONAL E SEG. DO TRABALHO - PARCELA(S): 1/1 - 10/09/2026 R$ 717,22</t>
        </is>
      </c>
      <c r="K6" s="17" t="n">
        <v>728.14</v>
      </c>
      <c r="L6" s="17" t="n">
        <v>728.14</v>
      </c>
      <c r="M6" s="16" t="n">
        <v>5</v>
      </c>
      <c r="N6" s="17" t="n">
        <v>36.41</v>
      </c>
      <c r="O6" s="17" t="n">
        <v>0</v>
      </c>
      <c r="P6" s="17" t="n">
        <v>10.92</v>
      </c>
      <c r="Q6" s="17" t="n">
        <v>0</v>
      </c>
      <c r="R6" s="17" t="n">
        <v>0</v>
      </c>
      <c r="S6" s="17" t="n">
        <v>10.92</v>
      </c>
      <c r="T6" s="17" t="n">
        <v>717.22</v>
      </c>
      <c r="U6" s="16" t="inlineStr">
        <is>
          <t>SIM - IRRF</t>
        </is>
      </c>
      <c r="V6" s="16" t="inlineStr">
        <is>
          <t>PIS/COFINS/CSLL não retidos</t>
        </is>
      </c>
      <c r="W6" s="16" t="inlineStr">
        <is>
          <t>definir</t>
        </is>
      </c>
      <c r="X6" s="16" t="inlineStr">
        <is>
          <t>definir: prestador sem acumulador e sem histórico no Domínio</t>
        </is>
      </c>
      <c r="Y6" s="16" t="inlineStr">
        <is>
          <t>OK</t>
        </is>
      </c>
      <c r="Z6" s="16" t="inlineStr">
        <is>
          <t>41069022267742984000157000000000001826091655988219</t>
        </is>
      </c>
    </row>
    <row r="7">
      <c r="A7" s="12" t="n">
        <v>46266</v>
      </c>
      <c r="B7" s="12" t="n">
        <v>46266</v>
      </c>
      <c r="C7" s="13" t="n">
        <v>2709747</v>
      </c>
      <c r="D7" s="13" t="inlineStr">
        <is>
          <t>Autorizada</t>
        </is>
      </c>
      <c r="E7" s="13" t="inlineStr">
        <is>
          <t>LIGGA SERVICOS EM TELECOM S.A.</t>
        </is>
      </c>
      <c r="F7" s="13" t="inlineStr">
        <is>
          <t>65649511000184</t>
        </is>
      </c>
      <c r="G7" s="13" t="inlineStr">
        <is>
          <t>Não</t>
        </is>
      </c>
      <c r="H7" s="13" t="inlineStr">
        <is>
          <t>Curitiba</t>
        </is>
      </c>
      <c r="I7" s="13" t="inlineStr">
        <is>
          <t>310104</t>
        </is>
      </c>
      <c r="J7" s="13" t="inlineStr">
        <is>
          <t>Servicos Tecnicos B2B - R$ 83,99
** Periodo de Apuracao: 30/07/2026 a 29/08/2026
Vencimento: 15/09/2026
** VALORES DOS TRIBUTOS INCIDENTES NO SERVICO - R$ 11,97 (PIS 1.65% - COFINS 7.6% - ISS 5.0%,</t>
        </is>
      </c>
      <c r="K7" s="14" t="n">
        <v>83.98999999999999</v>
      </c>
      <c r="L7" s="14" t="n">
        <v>83.98999999999999</v>
      </c>
      <c r="M7" s="13" t="n">
        <v>5</v>
      </c>
      <c r="N7" s="14" t="n">
        <v>4.2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83.98999999999999</v>
      </c>
      <c r="U7" s="13" t="inlineStr">
        <is>
          <t>Não</t>
        </is>
      </c>
      <c r="V7" s="13" t="inlineStr">
        <is>
          <t>PIS/COFINS não retidos</t>
        </is>
      </c>
      <c r="W7" s="13" t="inlineStr">
        <is>
          <t>819</t>
        </is>
      </c>
      <c r="X7" s="13" t="inlineStr">
        <is>
          <t>D 362 / C 506</t>
        </is>
      </c>
      <c r="Y7" s="13" t="inlineStr">
        <is>
          <t>OK</t>
        </is>
      </c>
      <c r="Z7" s="13" t="inlineStr">
        <is>
          <t>41069022265649511000184000000270974726090368715311</t>
        </is>
      </c>
    </row>
    <row r="8">
      <c r="A8" s="12" t="n">
        <v>46266</v>
      </c>
      <c r="B8" s="12" t="n">
        <v>46266</v>
      </c>
      <c r="C8" s="13" t="n">
        <v>2709751</v>
      </c>
      <c r="D8" s="13" t="inlineStr">
        <is>
          <t>Autorizada</t>
        </is>
      </c>
      <c r="E8" s="13" t="inlineStr">
        <is>
          <t>LIGGA SERVICOS EM TELECOM S.A.</t>
        </is>
      </c>
      <c r="F8" s="13" t="inlineStr">
        <is>
          <t>65649511000184</t>
        </is>
      </c>
      <c r="G8" s="13" t="inlineStr">
        <is>
          <t>Não</t>
        </is>
      </c>
      <c r="H8" s="13" t="inlineStr"/>
      <c r="I8" s="13" t="inlineStr">
        <is>
          <t>010902</t>
        </is>
      </c>
      <c r="J8" s="13" t="inlineStr">
        <is>
          <t>Biblioteca Virtual Ligga B2B - R$ 195,97
** Periodo de Apuracao: 30/07/2026 a 29/08/2026
Vencimento: 15/09/2026
** VALORES DOS TRIBUTOS INCIDENTES NO SERVICO - R$ 0,00 (, CFE LEI FEDERAL 12.741/12)</t>
        </is>
      </c>
      <c r="K8" s="14" t="n">
        <v>195.97</v>
      </c>
      <c r="L8" s="14" t="n">
        <v>0</v>
      </c>
      <c r="M8" s="13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195.97</v>
      </c>
      <c r="U8" s="13" t="inlineStr">
        <is>
          <t>Não</t>
        </is>
      </c>
      <c r="V8" s="13" t="inlineStr">
        <is>
          <t>PIS/COFINS não retidos</t>
        </is>
      </c>
      <c r="W8" s="13" t="inlineStr">
        <is>
          <t>820</t>
        </is>
      </c>
      <c r="X8" s="13" t="inlineStr">
        <is>
          <t>D 643 / C 506</t>
        </is>
      </c>
      <c r="Y8" s="13" t="inlineStr">
        <is>
          <t>OK (XML sem base do ISS - Simples, sem retenção; o relatório repete o valor)</t>
        </is>
      </c>
      <c r="Z8" s="13" t="inlineStr">
        <is>
          <t>41069022265649511000184000000270975126095154324020</t>
        </is>
      </c>
    </row>
    <row r="9">
      <c r="A9" s="12" t="n">
        <v>46266</v>
      </c>
      <c r="B9" s="12" t="n">
        <v>46266</v>
      </c>
      <c r="C9" s="13" t="n">
        <v>507</v>
      </c>
      <c r="D9" s="13" t="inlineStr">
        <is>
          <t>Autorizada</t>
        </is>
      </c>
      <c r="E9" s="13" t="inlineStr">
        <is>
          <t>ANDRADE ENGENHARIA LTDA.</t>
        </is>
      </c>
      <c r="F9" s="13" t="inlineStr">
        <is>
          <t>80402860000190</t>
        </is>
      </c>
      <c r="G9" s="13" t="inlineStr">
        <is>
          <t>Sim</t>
        </is>
      </c>
      <c r="H9" s="13" t="inlineStr">
        <is>
          <t>Curitiba</t>
        </is>
      </c>
      <c r="I9" s="13" t="inlineStr">
        <is>
          <t>170101</t>
        </is>
      </c>
      <c r="J9" s="13" t="inlineStr">
        <is>
          <t xml:space="preserve">CONSULTORIA AMBIENTAL 
VCTO 05/10/2026
</t>
        </is>
      </c>
      <c r="K9" s="14" t="n">
        <v>1124.56</v>
      </c>
      <c r="L9" s="14" t="n">
        <v>0</v>
      </c>
      <c r="M9" s="13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1124.56</v>
      </c>
      <c r="U9" s="13" t="inlineStr">
        <is>
          <t>Não</t>
        </is>
      </c>
      <c r="V9" s="13" t="inlineStr">
        <is>
          <t>PIS/COFINS/CSLL não retidos</t>
        </is>
      </c>
      <c r="W9" s="13" t="inlineStr">
        <is>
          <t>825</t>
        </is>
      </c>
      <c r="X9" s="13" t="inlineStr">
        <is>
          <t>D 364 / C 506</t>
        </is>
      </c>
      <c r="Y9" s="13" t="inlineStr">
        <is>
          <t>OK (XML sem base do ISS - Simples, sem retenção; o relatório repete o valor)</t>
        </is>
      </c>
      <c r="Z9" s="13" t="inlineStr">
        <is>
          <t>41069022280402860000190000000000050726097638942622</t>
        </is>
      </c>
    </row>
    <row r="10">
      <c r="A10" s="12" t="n">
        <v>46266</v>
      </c>
      <c r="B10" s="12" t="n">
        <v>46266</v>
      </c>
      <c r="C10" s="13" t="n">
        <v>817660</v>
      </c>
      <c r="D10" s="13" t="inlineStr">
        <is>
          <t>Autorizada</t>
        </is>
      </c>
      <c r="E10" s="13" t="inlineStr">
        <is>
          <t>DENTAL UNI - COOPERATIVA ODONTOLOGICA</t>
        </is>
      </c>
      <c r="F10" s="13" t="inlineStr">
        <is>
          <t>78738101000151</t>
        </is>
      </c>
      <c r="G10" s="13" t="inlineStr">
        <is>
          <t>Não</t>
        </is>
      </c>
      <c r="H10" s="13" t="inlineStr">
        <is>
          <t>Curitiba</t>
        </is>
      </c>
      <c r="I10" s="13" t="inlineStr">
        <is>
          <t>042201</t>
        </is>
      </c>
      <c r="J10" s="13" t="inlineStr">
        <is>
          <t>(QUANT. 2 - VAL.UNIT. R$26.89 - MENSALIDADE DE TITULARES - TOTAL R$53.78) (QUANT. 2 - VAL.UNIT. R$26.89 - MENSALIDADE DEPENDENTES - TOTAL R$53.78) (NÃO CONFIGURA FATO GERADOR DA RETENÇÃO DE IRRF (ARTS</t>
        </is>
      </c>
      <c r="K10" s="14" t="n">
        <v>107.56</v>
      </c>
      <c r="L10" s="14" t="n">
        <v>18.29</v>
      </c>
      <c r="M10" s="13" t="n">
        <v>4</v>
      </c>
      <c r="N10" s="14" t="n">
        <v>0.73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107.56</v>
      </c>
      <c r="U10" s="13" t="inlineStr">
        <is>
          <t>Não</t>
        </is>
      </c>
      <c r="V10" s="13" t="inlineStr">
        <is>
          <t>-</t>
        </is>
      </c>
      <c r="W10" s="13" t="inlineStr">
        <is>
          <t>824</t>
        </is>
      </c>
      <c r="X10" s="13" t="inlineStr">
        <is>
          <t>D 652 / C 506</t>
        </is>
      </c>
      <c r="Y10" s="13" t="inlineStr">
        <is>
          <t>OK</t>
        </is>
      </c>
      <c r="Z10" s="13" t="inlineStr">
        <is>
          <t>41069022278738101000151000000081766026097784194236</t>
        </is>
      </c>
    </row>
    <row r="11">
      <c r="A11" s="12" t="n">
        <v>46266</v>
      </c>
      <c r="B11" s="12" t="n">
        <v>46266</v>
      </c>
      <c r="C11" s="13" t="n">
        <v>974</v>
      </c>
      <c r="D11" s="13" t="inlineStr">
        <is>
          <t>Autorizada</t>
        </is>
      </c>
      <c r="E11" s="13" t="inlineStr">
        <is>
          <t>TIPOGRAFIA IGUACU LTDA</t>
        </is>
      </c>
      <c r="F11" s="13" t="inlineStr">
        <is>
          <t>75114363000157</t>
        </is>
      </c>
      <c r="G11" s="13" t="inlineStr">
        <is>
          <t>Sim</t>
        </is>
      </c>
      <c r="H11" s="13" t="inlineStr">
        <is>
          <t>Curitiba</t>
        </is>
      </c>
      <c r="I11" s="13" t="inlineStr">
        <is>
          <t>130501</t>
        </is>
      </c>
      <c r="J11" s="13" t="inlineStr">
        <is>
          <t>1 Banner Fosco; 80x120 cm; Bastao de Madeira; Ponteira; Barbante; Lona Front 340g; 4x0 cores; Colorido Vlr.Unt 72,6000 Vlr.Brt 72,60 Vlr.Liq 72,60||Vencimentos:|900.1023-1/1 01/09/2026 R$ 72,60||Valor</t>
        </is>
      </c>
      <c r="K11" s="14" t="n">
        <v>72.59999999999999</v>
      </c>
      <c r="L11" s="14" t="n">
        <v>0</v>
      </c>
      <c r="M11" s="13" t="n">
        <v>0</v>
      </c>
      <c r="N11" s="14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72.59999999999999</v>
      </c>
      <c r="U11" s="13" t="inlineStr">
        <is>
          <t>Não</t>
        </is>
      </c>
      <c r="V11" s="13" t="inlineStr">
        <is>
          <t>-</t>
        </is>
      </c>
      <c r="W11" s="13" t="inlineStr">
        <is>
          <t>830</t>
        </is>
      </c>
      <c r="X11" s="13" t="inlineStr">
        <is>
          <t>D 325 / C 506</t>
        </is>
      </c>
      <c r="Y11" s="13" t="inlineStr">
        <is>
          <t>OK (XML sem base do ISS - Simples, sem retenção; o relatório repete o valor)</t>
        </is>
      </c>
      <c r="Z11" s="13" t="inlineStr">
        <is>
          <t>41069022275114363000157000000000097426097081722597</t>
        </is>
      </c>
    </row>
    <row r="12">
      <c r="A12" s="12" t="n">
        <v>46268</v>
      </c>
      <c r="B12" s="12" t="n">
        <v>46268</v>
      </c>
      <c r="C12" s="13" t="n">
        <v>469</v>
      </c>
      <c r="D12" s="13" t="inlineStr">
        <is>
          <t>Autorizada</t>
        </is>
      </c>
      <c r="E12" s="13" t="inlineStr">
        <is>
          <t>OFICINA DO IMPRESSO GRAFICA E EDITORA LTDA.</t>
        </is>
      </c>
      <c r="F12" s="13" t="inlineStr">
        <is>
          <t>00495545000116</t>
        </is>
      </c>
      <c r="G12" s="13" t="inlineStr">
        <is>
          <t>Não</t>
        </is>
      </c>
      <c r="H12" s="13" t="inlineStr">
        <is>
          <t>Curitiba</t>
        </is>
      </c>
      <c r="I12" s="13" t="inlineStr">
        <is>
          <t>130501</t>
        </is>
      </c>
      <c r="J12" s="13" t="inlineStr">
        <is>
          <t>3.000 Laminas - Oleos ALL Nature. 210x297mm, 4x4 cores, Tinta Escala em Couche Brilho 115g. Saida em CTP.  / 3.000 Laminas - Promo Beauty Fair 26 ALL Nature. 210x297mm, 4x4 cores, Tinta Escala em Couc</t>
        </is>
      </c>
      <c r="K12" s="14" t="n">
        <v>1998</v>
      </c>
      <c r="L12" s="14" t="n">
        <v>1998</v>
      </c>
      <c r="M12" s="13" t="n">
        <v>2.5</v>
      </c>
      <c r="N12" s="14" t="n">
        <v>49.95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1998</v>
      </c>
      <c r="U12" s="13" t="inlineStr">
        <is>
          <t>Não</t>
        </is>
      </c>
      <c r="V12" s="13" t="inlineStr">
        <is>
          <t>PIS/COFINS não retidos</t>
        </is>
      </c>
      <c r="W12" s="13" t="inlineStr">
        <is>
          <t>830</t>
        </is>
      </c>
      <c r="X12" s="13" t="inlineStr">
        <is>
          <t>D 325 / C 506</t>
        </is>
      </c>
      <c r="Y12" s="13" t="inlineStr">
        <is>
          <t>OK</t>
        </is>
      </c>
      <c r="Z12" s="13" t="inlineStr">
        <is>
          <t>41069022200495545000116000000000046926091708323044</t>
        </is>
      </c>
    </row>
    <row r="13">
      <c r="A13" s="12" t="n">
        <v>46268</v>
      </c>
      <c r="B13" s="12" t="n">
        <v>46268</v>
      </c>
      <c r="C13" s="13" t="n">
        <v>8798</v>
      </c>
      <c r="D13" s="13" t="inlineStr">
        <is>
          <t>Autorizada</t>
        </is>
      </c>
      <c r="E13" s="13" t="inlineStr">
        <is>
          <t>DOM RICARDO HOTEL LTDA</t>
        </is>
      </c>
      <c r="F13" s="13" t="inlineStr">
        <is>
          <t>01790040000147</t>
        </is>
      </c>
      <c r="G13" s="13" t="inlineStr">
        <is>
          <t>Não</t>
        </is>
      </c>
      <c r="H13" s="13" t="inlineStr">
        <is>
          <t>São José dos Pinhais</t>
        </is>
      </c>
      <c r="I13" s="13" t="inlineStr">
        <is>
          <t>090101</t>
        </is>
      </c>
      <c r="J13" s="13" t="inlineStr">
        <is>
          <t>DIÁRIAS: 3.343,68 ISS: 167,20  RPS 419615 UH 207 (6326927), 215 (6326935), 219 (6326951) e 515 (6326943)</t>
        </is>
      </c>
      <c r="K13" s="14" t="n">
        <v>3510.88</v>
      </c>
      <c r="L13" s="14" t="n">
        <v>3510.88</v>
      </c>
      <c r="M13" s="13" t="n">
        <v>5</v>
      </c>
      <c r="N13" s="14" t="n">
        <v>175.54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3510.88</v>
      </c>
      <c r="U13" s="13" t="inlineStr">
        <is>
          <t>Não</t>
        </is>
      </c>
      <c r="V13" s="13" t="inlineStr">
        <is>
          <t>PIS/COFINS/CSLL não retidos</t>
        </is>
      </c>
      <c r="W13" s="13" t="inlineStr">
        <is>
          <t>definir</t>
        </is>
      </c>
      <c r="X13" s="13" t="inlineStr">
        <is>
          <t>definir: prestador sem acumulador e sem histórico no Domínio</t>
        </is>
      </c>
      <c r="Y13" s="13" t="inlineStr">
        <is>
          <t>OK</t>
        </is>
      </c>
      <c r="Z13" s="13" t="inlineStr">
        <is>
          <t>41255062201790040000147000000000879826090020603825</t>
        </is>
      </c>
    </row>
    <row r="14">
      <c r="A14" s="12" t="n">
        <v>46273</v>
      </c>
      <c r="B14" s="12" t="n">
        <v>46273</v>
      </c>
      <c r="C14" s="13" t="n">
        <v>45454</v>
      </c>
      <c r="D14" s="13" t="inlineStr">
        <is>
          <t>Autorizada</t>
        </is>
      </c>
      <c r="E14" s="13" t="inlineStr">
        <is>
          <t>GL HOTEIS LTDA</t>
        </is>
      </c>
      <c r="F14" s="13" t="inlineStr">
        <is>
          <t>48395289000111</t>
        </is>
      </c>
      <c r="G14" s="13" t="inlineStr">
        <is>
          <t>Não</t>
        </is>
      </c>
      <c r="H14" s="13" t="inlineStr">
        <is>
          <t>São Paulo</t>
        </is>
      </c>
      <c r="I14" s="13" t="inlineStr">
        <is>
          <t>090101</t>
        </is>
      </c>
      <c r="J14" s="13" t="inlineStr">
        <is>
          <t>Diaria HOSPEDAGEM REFERENTE A FEIRA BEAUTY FAIR. CHECK IN 04-09-2026 CHECK OUT 08-09-2026 SENDO QUE DOIS APARTAMENTOS FEZ CHECK OUT DIA 09-09 REFERENTE AOS APTOS: 5 DUPLOS 2 TRIPOS  3 CASAIS  106-MARC</t>
        </is>
      </c>
      <c r="K14" s="14" t="n">
        <v>12980</v>
      </c>
      <c r="L14" s="14" t="n">
        <v>12980</v>
      </c>
      <c r="M14" s="13" t="n">
        <v>5</v>
      </c>
      <c r="N14" s="14" t="n">
        <v>649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12980</v>
      </c>
      <c r="U14" s="13" t="inlineStr">
        <is>
          <t>Não</t>
        </is>
      </c>
      <c r="V14" s="13" t="inlineStr">
        <is>
          <t>-</t>
        </is>
      </c>
      <c r="W14" s="13" t="inlineStr">
        <is>
          <t>definir</t>
        </is>
      </c>
      <c r="X14" s="13" t="inlineStr">
        <is>
          <t>definir: prestador sem acumulador e sem histórico no Domínio</t>
        </is>
      </c>
      <c r="Y14" s="13" t="inlineStr">
        <is>
          <t>OK</t>
        </is>
      </c>
      <c r="Z14" s="13" t="inlineStr">
        <is>
          <t>35503081248395289000111000000004545426099076402305</t>
        </is>
      </c>
    </row>
    <row r="15">
      <c r="A15" s="12" t="n">
        <v>46275</v>
      </c>
      <c r="B15" s="12" t="n">
        <v>46275</v>
      </c>
      <c r="C15" s="13" t="n">
        <v>908</v>
      </c>
      <c r="D15" s="13" t="inlineStr">
        <is>
          <t>Autorizada</t>
        </is>
      </c>
      <c r="E15" s="13" t="inlineStr">
        <is>
          <t>CRM TECNOLOGIA EM SISTEMAS DE INFORMACAO LTDA</t>
        </is>
      </c>
      <c r="F15" s="13" t="inlineStr">
        <is>
          <t>24891333000116</t>
        </is>
      </c>
      <c r="G15" s="13" t="inlineStr">
        <is>
          <t>Sim</t>
        </is>
      </c>
      <c r="H15" s="13" t="inlineStr">
        <is>
          <t>Curitiba</t>
        </is>
      </c>
      <c r="I15" s="13" t="inlineStr">
        <is>
          <t>010101</t>
        </is>
      </c>
      <c r="J15" s="13" t="inlineStr">
        <is>
          <t>Referente a Manutenção CosmosERP.</t>
        </is>
      </c>
      <c r="K15" s="14" t="n">
        <v>2859.58</v>
      </c>
      <c r="L15" s="14" t="n">
        <v>0</v>
      </c>
      <c r="M15" s="13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2859.58</v>
      </c>
      <c r="U15" s="13" t="inlineStr">
        <is>
          <t>Não</t>
        </is>
      </c>
      <c r="V15" s="13" t="inlineStr">
        <is>
          <t>PIS/COFINS/CSLL não retidos</t>
        </is>
      </c>
      <c r="W15" s="13" t="inlineStr">
        <is>
          <t>811</t>
        </is>
      </c>
      <c r="X15" s="13" t="inlineStr">
        <is>
          <t>D 640 / C 506</t>
        </is>
      </c>
      <c r="Y15" s="13" t="inlineStr">
        <is>
          <t>OK (XML sem base do ISS - Simples, sem retenção; o relatório repete o valor)</t>
        </is>
      </c>
      <c r="Z15" s="13" t="inlineStr">
        <is>
          <t>41069022224891333000116000000000090826090575270117</t>
        </is>
      </c>
    </row>
    <row r="16">
      <c r="A16" s="12" t="n">
        <v>46276</v>
      </c>
      <c r="B16" s="12" t="n">
        <v>46276</v>
      </c>
      <c r="C16" s="13" t="n">
        <v>5588821</v>
      </c>
      <c r="D16" s="13" t="inlineStr">
        <is>
          <t>Autorizada (cStat 102)</t>
        </is>
      </c>
      <c r="E16" s="13" t="inlineStr">
        <is>
          <t>FLASH TECNOLOGIA E  INSTITUICAO DE PAGAMENTO LTDA</t>
        </is>
      </c>
      <c r="F16" s="13" t="inlineStr">
        <is>
          <t>32223020000118</t>
        </is>
      </c>
      <c r="G16" s="13" t="inlineStr">
        <is>
          <t>Não</t>
        </is>
      </c>
      <c r="H16" s="13" t="inlineStr">
        <is>
          <t>São Paulo</t>
        </is>
      </c>
      <c r="I16" s="13" t="inlineStr">
        <is>
          <t>171201</t>
        </is>
      </c>
      <c r="J16" s="13" t="inlineStr">
        <is>
          <t>Valor Total - R$ 6.105,00 Compra de Créditos na Plataforma Flash - R$ 6.105,00 Valor total de serviços Flash - R$ 0,00 Data da Compra: 11/09/2026 Compra de benefícios - Premiação no Cartão: R$ 6.105,0</t>
        </is>
      </c>
      <c r="K16" s="14" t="n">
        <v>6105</v>
      </c>
      <c r="L16" s="14" t="n">
        <v>0</v>
      </c>
      <c r="M16" s="13" t="n">
        <v>2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6105</v>
      </c>
      <c r="U16" s="13" t="inlineStr">
        <is>
          <t>Não</t>
        </is>
      </c>
      <c r="V16" s="13" t="inlineStr">
        <is>
          <t>-</t>
        </is>
      </c>
      <c r="W16" s="13" t="inlineStr">
        <is>
          <t>816</t>
        </is>
      </c>
      <c r="X16" s="13" t="inlineStr">
        <is>
          <t>D 364 / C 506</t>
        </is>
      </c>
      <c r="Y16" s="13" t="inlineStr">
        <is>
          <t>OK</t>
        </is>
      </c>
      <c r="Z16" s="13" t="inlineStr">
        <is>
          <t>35503081232223020000118000000558882126097884718838</t>
        </is>
      </c>
    </row>
    <row r="17">
      <c r="A17" s="12" t="n">
        <v>46281</v>
      </c>
      <c r="B17" s="12" t="n">
        <v>46281</v>
      </c>
      <c r="C17" s="13" t="n">
        <v>10</v>
      </c>
      <c r="D17" s="13" t="inlineStr">
        <is>
          <t>Autorizada</t>
        </is>
      </c>
      <c r="E17" s="13" t="inlineStr">
        <is>
          <t>BIOACTIVE - BIOTECNOLOGIA E DESENVOLVIMENTO DE COSMETICOS LTDA</t>
        </is>
      </c>
      <c r="F17" s="13" t="inlineStr">
        <is>
          <t>59684382000162</t>
        </is>
      </c>
      <c r="G17" s="13" t="inlineStr">
        <is>
          <t>Sim</t>
        </is>
      </c>
      <c r="H17" s="13" t="inlineStr">
        <is>
          <t>Curitiba</t>
        </is>
      </c>
      <c r="I17" s="13" t="inlineStr">
        <is>
          <t>020101</t>
        </is>
      </c>
      <c r="J17" s="13" t="inlineStr">
        <is>
          <t>Serviços prestados</t>
        </is>
      </c>
      <c r="K17" s="14" t="n">
        <v>1000</v>
      </c>
      <c r="L17" s="14" t="n">
        <v>0</v>
      </c>
      <c r="M17" s="13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1000</v>
      </c>
      <c r="U17" s="13" t="inlineStr">
        <is>
          <t>Não</t>
        </is>
      </c>
      <c r="V17" s="13" t="inlineStr">
        <is>
          <t>PIS/COFINS/CSLL não retidos</t>
        </is>
      </c>
      <c r="W17" s="13" t="inlineStr">
        <is>
          <t>810</t>
        </is>
      </c>
      <c r="X17" s="13" t="inlineStr">
        <is>
          <t>D 362 / C 506</t>
        </is>
      </c>
      <c r="Y17" s="13" t="inlineStr">
        <is>
          <t>OK (XML sem base do ISS - Simples, sem retenção; o relatório repete o valor)</t>
        </is>
      </c>
      <c r="Z17" s="13" t="inlineStr">
        <is>
          <t>41069022259684382000162000000000001026098158485630</t>
        </is>
      </c>
    </row>
    <row r="18">
      <c r="A18" s="12" t="n">
        <v>46281</v>
      </c>
      <c r="B18" s="12" t="n">
        <v>46281</v>
      </c>
      <c r="C18" s="13" t="n">
        <v>11</v>
      </c>
      <c r="D18" s="13" t="inlineStr">
        <is>
          <t>Autorizada</t>
        </is>
      </c>
      <c r="E18" s="13" t="inlineStr">
        <is>
          <t>BIOACTIVE - BIOTECNOLOGIA E DESENVOLVIMENTO DE COSMETICOS LTDA</t>
        </is>
      </c>
      <c r="F18" s="13" t="inlineStr">
        <is>
          <t>59684382000162</t>
        </is>
      </c>
      <c r="G18" s="13" t="inlineStr">
        <is>
          <t>Sim</t>
        </is>
      </c>
      <c r="H18" s="13" t="inlineStr">
        <is>
          <t>Curitiba</t>
        </is>
      </c>
      <c r="I18" s="13" t="inlineStr">
        <is>
          <t>020101</t>
        </is>
      </c>
      <c r="J18" s="13" t="inlineStr">
        <is>
          <t>Serviços prestados</t>
        </is>
      </c>
      <c r="K18" s="14" t="n">
        <v>7456.04</v>
      </c>
      <c r="L18" s="14" t="n">
        <v>0</v>
      </c>
      <c r="M18" s="13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7456.04</v>
      </c>
      <c r="U18" s="13" t="inlineStr">
        <is>
          <t>Não</t>
        </is>
      </c>
      <c r="V18" s="13" t="inlineStr">
        <is>
          <t>-</t>
        </is>
      </c>
      <c r="W18" s="13" t="inlineStr">
        <is>
          <t>810</t>
        </is>
      </c>
      <c r="X18" s="13" t="inlineStr">
        <is>
          <t>D 362 / C 506</t>
        </is>
      </c>
      <c r="Y18" s="13" t="inlineStr">
        <is>
          <t>OK (XML sem base do ISS - Simples, sem retenção; o relatório repete o valor)</t>
        </is>
      </c>
      <c r="Z18" s="13" t="inlineStr">
        <is>
          <t>41069022259684382000162000000000001126096345619740</t>
        </is>
      </c>
    </row>
    <row r="19">
      <c r="A19" s="12" t="n">
        <v>46281</v>
      </c>
      <c r="B19" s="12" t="n">
        <v>46266</v>
      </c>
      <c r="C19" s="13" t="n">
        <v>9530</v>
      </c>
      <c r="D19" s="13" t="inlineStr">
        <is>
          <t>Autorizada</t>
        </is>
      </c>
      <c r="E19" s="13" t="inlineStr">
        <is>
          <t>INSETCONTROL CONTROLE DE PRAGAS LTDA</t>
        </is>
      </c>
      <c r="F19" s="13" t="inlineStr">
        <is>
          <t>14309879000162</t>
        </is>
      </c>
      <c r="G19" s="13" t="inlineStr">
        <is>
          <t>Sim</t>
        </is>
      </c>
      <c r="H19" s="13" t="inlineStr">
        <is>
          <t>CAMPO GRANDE</t>
        </is>
      </c>
      <c r="I19" s="13" t="inlineStr">
        <is>
          <t>071301</t>
        </is>
      </c>
      <c r="J19" s="13" t="inlineStr">
        <is>
          <t>PREST SERV DESIN DESRAT REF SETEMBRO26</t>
        </is>
      </c>
      <c r="K19" s="14" t="n">
        <v>730</v>
      </c>
      <c r="L19" s="14" t="n">
        <v>730</v>
      </c>
      <c r="M19" s="13" t="n">
        <v>0</v>
      </c>
      <c r="N19" s="14" t="n">
        <v>36.5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730</v>
      </c>
      <c r="U19" s="13" t="inlineStr">
        <is>
          <t>Não</t>
        </is>
      </c>
      <c r="V19" s="13" t="inlineStr">
        <is>
          <t>-</t>
        </is>
      </c>
      <c r="W19" s="13" t="inlineStr">
        <is>
          <t>826</t>
        </is>
      </c>
      <c r="X19" s="13" t="inlineStr">
        <is>
          <t>D 362 / C 506</t>
        </is>
      </c>
      <c r="Y19" s="13" t="inlineStr">
        <is>
          <t>OK</t>
        </is>
      </c>
      <c r="Z19" s="13" t="inlineStr">
        <is>
          <t>50027041214309879000162000000000953026090714785828</t>
        </is>
      </c>
    </row>
    <row r="20">
      <c r="A20" s="12" t="n">
        <v>46282</v>
      </c>
      <c r="B20" s="12" t="n">
        <v>46282</v>
      </c>
      <c r="C20" s="13" t="n">
        <v>72</v>
      </c>
      <c r="D20" s="13" t="inlineStr">
        <is>
          <t>Autorizada</t>
        </is>
      </c>
      <c r="E20" s="13" t="inlineStr">
        <is>
          <t>SAVATEC COMERCIO E SERVIÇOS LTDA</t>
        </is>
      </c>
      <c r="F20" s="13" t="inlineStr">
        <is>
          <t>59087034000108</t>
        </is>
      </c>
      <c r="G20" s="13" t="inlineStr">
        <is>
          <t>Sim</t>
        </is>
      </c>
      <c r="H20" s="13" t="inlineStr">
        <is>
          <t>Araucária</t>
        </is>
      </c>
      <c r="I20" s="13" t="inlineStr">
        <is>
          <t>140101</t>
        </is>
      </c>
      <c r="J20" s="13" t="inlineStr">
        <is>
          <t>MANUTENCAO EM EQUIPAMENTO INKJET+ 03 HORAS TECNICAS(R$ 1.440,00)+ DESLOCAMENTO(R$ 100,00) R$ 1.540,00-- DESCONTO POR ASSIDUIDADE-R$ 450,00 --- TOTAL A PAGAR: R$ 1.090,00 COND PGTO- 2X 21/42 DDL</t>
        </is>
      </c>
      <c r="K20" s="14" t="n">
        <v>1090</v>
      </c>
      <c r="L20" s="14" t="n">
        <v>1090</v>
      </c>
      <c r="M20" s="13" t="n">
        <v>2.01</v>
      </c>
      <c r="N20" s="14" t="n">
        <v>21.91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1090</v>
      </c>
      <c r="U20" s="13" t="inlineStr">
        <is>
          <t>Não</t>
        </is>
      </c>
      <c r="V20" s="13" t="inlineStr">
        <is>
          <t>-</t>
        </is>
      </c>
      <c r="W20" s="13" t="inlineStr">
        <is>
          <t>definir</t>
        </is>
      </c>
      <c r="X20" s="13" t="inlineStr">
        <is>
          <t>D 362 / C 506</t>
        </is>
      </c>
      <c r="Y20" s="13" t="inlineStr">
        <is>
          <t>OK</t>
        </is>
      </c>
      <c r="Z20" s="13" t="inlineStr">
        <is>
          <t>41018041259087034000108000000000007226090000000014</t>
        </is>
      </c>
    </row>
    <row r="21">
      <c r="A21" s="12" t="n">
        <v>46285</v>
      </c>
      <c r="B21" s="12" t="n">
        <v>46285</v>
      </c>
      <c r="C21" s="13" t="n">
        <v>173228</v>
      </c>
      <c r="D21" s="13" t="inlineStr">
        <is>
          <t>Autorizada</t>
        </is>
      </c>
      <c r="E21" s="13" t="inlineStr">
        <is>
          <t>TECNOPONTO TECNOLOGIA AVANCADA EM CONTROLE DE PONTO E ACESSO LTDA</t>
        </is>
      </c>
      <c r="F21" s="13" t="inlineStr">
        <is>
          <t>77800407000128</t>
        </is>
      </c>
      <c r="G21" s="13" t="inlineStr">
        <is>
          <t>Não</t>
        </is>
      </c>
      <c r="H21" s="13" t="inlineStr">
        <is>
          <t>Curitiba</t>
        </is>
      </c>
      <c r="I21" s="13" t="inlineStr">
        <is>
          <t>010701</t>
        </is>
      </c>
      <c r="J21" s="13" t="inlineStr">
        <is>
          <t>1 - SOFTWARE TECNOPONTO PLUS PARA 20 FUNCIONARIOS|1 - SUPORTE TECNICO PARA SOFTWARE||Nao sujeita a retencao da Fonte das Contribuicoes Sociais (PIS, COFINS, CSLL). - Qtde 1 x Valor Unit. R$ 74,90 = To</t>
        </is>
      </c>
      <c r="K21" s="14" t="n">
        <v>74.90000000000001</v>
      </c>
      <c r="L21" s="14" t="n">
        <v>74.90000000000001</v>
      </c>
      <c r="M21" s="13" t="n">
        <v>2</v>
      </c>
      <c r="N21" s="14" t="n">
        <v>1.5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74.90000000000001</v>
      </c>
      <c r="U21" s="13" t="inlineStr">
        <is>
          <t>Não</t>
        </is>
      </c>
      <c r="V21" s="13" t="inlineStr">
        <is>
          <t>PIS/COFINS/CSLL não retidos</t>
        </is>
      </c>
      <c r="W21" s="13" t="inlineStr">
        <is>
          <t>823</t>
        </is>
      </c>
      <c r="X21" s="13" t="inlineStr">
        <is>
          <t>D 640 / C 506</t>
        </is>
      </c>
      <c r="Y21" s="13" t="inlineStr">
        <is>
          <t>OK</t>
        </is>
      </c>
      <c r="Z21" s="13" t="inlineStr">
        <is>
          <t>41069022277800407000128000000017322826095713648820</t>
        </is>
      </c>
    </row>
    <row r="22">
      <c r="A22" s="12" t="n">
        <v>46287</v>
      </c>
      <c r="B22" s="12" t="n">
        <v>46286</v>
      </c>
      <c r="C22" s="13" t="n">
        <v>243079</v>
      </c>
      <c r="D22" s="13" t="inlineStr">
        <is>
          <t>Autorizada</t>
        </is>
      </c>
      <c r="E22" s="13" t="inlineStr">
        <is>
          <t>NEXTAR TECNOLOGIA DE SOFTWARE LTDA</t>
        </is>
      </c>
      <c r="F22" s="13" t="inlineStr">
        <is>
          <t>04580911000196</t>
        </is>
      </c>
      <c r="G22" s="13" t="inlineStr">
        <is>
          <t>Não</t>
        </is>
      </c>
      <c r="H22" s="13" t="inlineStr">
        <is>
          <t>Florianópolis</t>
        </is>
      </c>
      <c r="I22" s="13" t="inlineStr">
        <is>
          <t>010501</t>
        </is>
      </c>
      <c r="J22" s="13" t="inlineStr">
        <is>
          <t>Assinatura Nex e Suporte Técnico - Serviço referente a SET / 2026</t>
        </is>
      </c>
      <c r="K22" s="14" t="n">
        <v>119</v>
      </c>
      <c r="L22" s="14" t="n">
        <v>119</v>
      </c>
      <c r="M22" s="13" t="n">
        <v>2</v>
      </c>
      <c r="N22" s="14" t="n">
        <v>2.38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119</v>
      </c>
      <c r="U22" s="13" t="inlineStr">
        <is>
          <t>Não</t>
        </is>
      </c>
      <c r="V22" s="13" t="inlineStr">
        <is>
          <t>-</t>
        </is>
      </c>
      <c r="W22" s="13" t="inlineStr">
        <is>
          <t>818</t>
        </is>
      </c>
      <c r="X22" s="13" t="inlineStr">
        <is>
          <t>D 364 / C 506</t>
        </is>
      </c>
      <c r="Y22" s="13" t="inlineStr">
        <is>
          <t>OK</t>
        </is>
      </c>
      <c r="Z22" s="13" t="inlineStr">
        <is>
          <t>42054072204580911000196000000024307926097939111579</t>
        </is>
      </c>
    </row>
    <row r="23">
      <c r="A23" s="12" t="n">
        <v>46287</v>
      </c>
      <c r="B23" s="12" t="n">
        <v>46287</v>
      </c>
      <c r="C23" s="13" t="n">
        <v>9227</v>
      </c>
      <c r="D23" s="13" t="inlineStr">
        <is>
          <t>Autorizada</t>
        </is>
      </c>
      <c r="E23" s="13" t="inlineStr">
        <is>
          <t>PLUS SANTE EMERGENCIAS MEDICAS S.A.</t>
        </is>
      </c>
      <c r="F23" s="13" t="inlineStr">
        <is>
          <t>04523560000181</t>
        </is>
      </c>
      <c r="G23" s="13" t="inlineStr">
        <is>
          <t>Não</t>
        </is>
      </c>
      <c r="H23" s="13" t="inlineStr">
        <is>
          <t>Curitiba</t>
        </is>
      </c>
      <c r="I23" s="13" t="inlineStr">
        <is>
          <t>042101</t>
        </is>
      </c>
      <c r="J23" s="13" t="inlineStr">
        <is>
          <t>UNIDADE DE ATENDIMENTO ASSISTENCIA OU TRATAMENTO MOVEL</t>
        </is>
      </c>
      <c r="K23" s="14" t="n">
        <v>342.3</v>
      </c>
      <c r="L23" s="14" t="n">
        <v>342.3</v>
      </c>
      <c r="M23" s="13" t="n">
        <v>5</v>
      </c>
      <c r="N23" s="14" t="n">
        <v>17.12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342.3</v>
      </c>
      <c r="U23" s="13" t="inlineStr">
        <is>
          <t>Não</t>
        </is>
      </c>
      <c r="V23" s="13" t="inlineStr">
        <is>
          <t>PIS/COFINS/CSLL não retidos</t>
        </is>
      </c>
      <c r="W23" s="13" t="inlineStr">
        <is>
          <t>821</t>
        </is>
      </c>
      <c r="X23" s="13" t="inlineStr">
        <is>
          <t>D 576 / C 506</t>
        </is>
      </c>
      <c r="Y23" s="13" t="inlineStr">
        <is>
          <t>OK</t>
        </is>
      </c>
      <c r="Z23" s="13" t="inlineStr">
        <is>
          <t>41069022204523560000181000000000922726091381915688</t>
        </is>
      </c>
    </row>
    <row r="24">
      <c r="A24" s="15" t="n">
        <v>46290</v>
      </c>
      <c r="B24" s="15" t="n">
        <v>46290</v>
      </c>
      <c r="C24" s="16" t="n">
        <v>43</v>
      </c>
      <c r="D24" s="16" t="inlineStr">
        <is>
          <t>Autorizada</t>
        </is>
      </c>
      <c r="E24" s="16" t="inlineStr">
        <is>
          <t>EXTRALAB BRASIL - COMERCIO E MANUTENCAO DE EQUIPAMENTOS PARA LABORATORIO LTDA</t>
        </is>
      </c>
      <c r="F24" s="16" t="inlineStr">
        <is>
          <t>04665405000108</t>
        </is>
      </c>
      <c r="G24" s="16" t="inlineStr">
        <is>
          <t>Não</t>
        </is>
      </c>
      <c r="H24" s="16" t="inlineStr">
        <is>
          <t>Itatiba</t>
        </is>
      </c>
      <c r="I24" s="16" t="inlineStr">
        <is>
          <t>140101</t>
        </is>
      </c>
      <c r="J24" s="16" t="inlineStr">
        <is>
          <t>SERVIÇO DE CALIBRAÇÃO PIS RETIDO 0,65% R$ 11,93 COFINS RETIIDO 3% R$ 55,07 CSLL RETIDO 1% R$ 18,36</t>
        </is>
      </c>
      <c r="K24" s="17" t="n">
        <v>1835.5</v>
      </c>
      <c r="L24" s="17" t="n">
        <v>1835.5</v>
      </c>
      <c r="M24" s="16" t="n">
        <v>2</v>
      </c>
      <c r="N24" s="17" t="n">
        <v>36.71</v>
      </c>
      <c r="O24" s="17" t="n">
        <v>0</v>
      </c>
      <c r="P24" s="17" t="n">
        <v>0</v>
      </c>
      <c r="Q24" s="17" t="n">
        <v>85.34999999999999</v>
      </c>
      <c r="R24" s="17" t="n">
        <v>0</v>
      </c>
      <c r="S24" s="17" t="n">
        <v>85.34999999999999</v>
      </c>
      <c r="T24" s="17" t="n">
        <v>1750.15</v>
      </c>
      <c r="U24" s="16" t="inlineStr">
        <is>
          <t>SIM - PIS/COFINS/CSLL</t>
        </is>
      </c>
      <c r="V24" s="16" t="inlineStr">
        <is>
          <t>PIS/COFINS/CSLL retidos</t>
        </is>
      </c>
      <c r="W24" s="16" t="inlineStr">
        <is>
          <t>definir</t>
        </is>
      </c>
      <c r="X24" s="16" t="inlineStr">
        <is>
          <t>definir: prestador sem acumulador e sem histórico no Domínio</t>
        </is>
      </c>
      <c r="Y24" s="16" t="inlineStr">
        <is>
          <t>OK</t>
        </is>
      </c>
      <c r="Z24" s="16" t="inlineStr">
        <is>
          <t>35234042204665405000108000000000004326090442626218</t>
        </is>
      </c>
    </row>
    <row r="25">
      <c r="A25" s="12" t="n">
        <v>46290</v>
      </c>
      <c r="B25" s="12" t="n">
        <v>46290</v>
      </c>
      <c r="C25" s="13" t="n">
        <v>5661351</v>
      </c>
      <c r="D25" s="13" t="inlineStr">
        <is>
          <t>Autorizada (cStat 102)</t>
        </is>
      </c>
      <c r="E25" s="13" t="inlineStr">
        <is>
          <t>FLASH TECNOLOGIA E  INSTITUICAO DE PAGAMENTO LTDA</t>
        </is>
      </c>
      <c r="F25" s="13" t="inlineStr">
        <is>
          <t>32223020000118</t>
        </is>
      </c>
      <c r="G25" s="13" t="inlineStr">
        <is>
          <t>Não</t>
        </is>
      </c>
      <c r="H25" s="13" t="inlineStr">
        <is>
          <t>São Paulo</t>
        </is>
      </c>
      <c r="I25" s="13" t="inlineStr">
        <is>
          <t>171201</t>
        </is>
      </c>
      <c r="J25" s="13" t="inlineStr">
        <is>
          <t>Valor Total - R$ 4.142,00 Compra de Créditos na Plataforma Flash - R$ 4.142,00 Valor total de serviços Flash - R$ 0,00 Data da Compra: 25/09/2026 Compra de benefícios - Premiação no Cartão: R$ 4.142,0</t>
        </is>
      </c>
      <c r="K25" s="14" t="n">
        <v>4142</v>
      </c>
      <c r="L25" s="14" t="n">
        <v>0</v>
      </c>
      <c r="M25" s="13" t="n">
        <v>2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4142</v>
      </c>
      <c r="U25" s="13" t="inlineStr">
        <is>
          <t>Não</t>
        </is>
      </c>
      <c r="V25" s="13" t="inlineStr">
        <is>
          <t>-</t>
        </is>
      </c>
      <c r="W25" s="13" t="inlineStr">
        <is>
          <t>816</t>
        </is>
      </c>
      <c r="X25" s="13" t="inlineStr">
        <is>
          <t>D 364 / C 506</t>
        </is>
      </c>
      <c r="Y25" s="13" t="inlineStr">
        <is>
          <t>OK</t>
        </is>
      </c>
      <c r="Z25" s="13" t="inlineStr">
        <is>
          <t>35503081232223020000118000000566135126091580598802</t>
        </is>
      </c>
    </row>
    <row r="26">
      <c r="A26" s="18" t="inlineStr">
        <is>
          <t>Total (sem canceladas)</t>
        </is>
      </c>
      <c r="B26" s="19" t="n"/>
      <c r="C26" s="18">
        <f>COUNTA(C5:C25)&amp;" docs"</f>
        <v/>
      </c>
      <c r="D26" s="19" t="n"/>
      <c r="E26" s="19" t="n"/>
      <c r="F26" s="19" t="n"/>
      <c r="G26" s="19" t="n"/>
      <c r="H26" s="19" t="n"/>
      <c r="I26" s="19" t="n"/>
      <c r="J26" s="19" t="n"/>
      <c r="K26" s="20">
        <f>SUMPRODUCT((D5:D25&lt;&gt;"Cancelada")*(D5:D25&lt;&gt;"Cancelado")*K5:K25)</f>
        <v/>
      </c>
      <c r="L26" s="20">
        <f>SUMPRODUCT((D5:D25&lt;&gt;"Cancelada")*(D5:D25&lt;&gt;"Cancelado")*L5:L25)</f>
        <v/>
      </c>
      <c r="M26" s="19" t="n"/>
      <c r="N26" s="20">
        <f>SUMPRODUCT((D5:D25&lt;&gt;"Cancelada")*(D5:D25&lt;&gt;"Cancelado")*N5:N25)</f>
        <v/>
      </c>
      <c r="O26" s="20">
        <f>SUMPRODUCT((D5:D25&lt;&gt;"Cancelada")*(D5:D25&lt;&gt;"Cancelado")*O5:O25)</f>
        <v/>
      </c>
      <c r="P26" s="20">
        <f>SUMPRODUCT((D5:D25&lt;&gt;"Cancelada")*(D5:D25&lt;&gt;"Cancelado")*P5:P25)</f>
        <v/>
      </c>
      <c r="Q26" s="20">
        <f>SUMPRODUCT((D5:D25&lt;&gt;"Cancelada")*(D5:D25&lt;&gt;"Cancelado")*Q5:Q25)</f>
        <v/>
      </c>
      <c r="R26" s="20">
        <f>SUMPRODUCT((D5:D25&lt;&gt;"Cancelada")*(D5:D25&lt;&gt;"Cancelado")*R5:R25)</f>
        <v/>
      </c>
      <c r="S26" s="20">
        <f>SUMPRODUCT((D5:D25&lt;&gt;"Cancelada")*(D5:D25&lt;&gt;"Cancelado")*S5:S25)</f>
        <v/>
      </c>
      <c r="T26" s="20">
        <f>SUMPRODUCT((D5:D25&lt;&gt;"Cancelada")*(D5:D25&lt;&gt;"Cancelado")*T5:T25)</f>
        <v/>
      </c>
      <c r="U26" s="19" t="n"/>
      <c r="V26" s="19" t="n"/>
      <c r="W26" s="19" t="n"/>
      <c r="X26" s="19" t="n"/>
      <c r="Y26" s="19" t="n"/>
      <c r="Z26" s="19" t="n"/>
    </row>
    <row r="28">
      <c r="A28" s="3" t="inlineStr">
        <is>
          <t>Com retenção</t>
        </is>
      </c>
      <c r="D28" s="3">
        <f>COUNTIF(U5:U25,"SIM*")</f>
        <v/>
      </c>
    </row>
    <row r="29">
      <c r="A29" s="3" t="inlineStr">
        <is>
          <t>Sem retenção</t>
        </is>
      </c>
      <c r="D29" s="3">
        <f>COUNTIF(U5:U25,"Não")</f>
        <v/>
      </c>
    </row>
  </sheetData>
  <autoFilter ref="A4:Z25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4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0" customWidth="1" min="4" max="4"/>
    <col width="32" customWidth="1" min="5" max="5"/>
    <col width="15" customWidth="1" min="6" max="6"/>
    <col width="7" customWidth="1" min="7" max="7"/>
    <col width="12" customWidth="1" min="8" max="8"/>
    <col width="8" customWidth="1" min="9" max="9"/>
    <col width="40" customWidth="1" min="10" max="10"/>
    <col width="12" customWidth="1" min="11" max="11"/>
    <col width="10" customWidth="1" min="12" max="12"/>
    <col width="6" customWidth="1" min="13" max="13"/>
    <col width="10" customWidth="1" min="14" max="14"/>
    <col width="9" customWidth="1" min="15" max="15"/>
    <col width="9" customWidth="1" min="16" max="16"/>
    <col width="12" customWidth="1" min="17" max="17"/>
    <col width="9" customWidth="1" min="18" max="18"/>
    <col width="11" customWidth="1" min="19" max="19"/>
    <col width="12" customWidth="1" min="20" max="20"/>
    <col width="20" customWidth="1" min="21" max="21"/>
    <col width="22" customWidth="1" min="22" max="22"/>
    <col width="10" customWidth="1" min="23" max="23"/>
    <col width="14" customWidth="1" min="24" max="24"/>
    <col width="26" customWidth="1" min="25" max="25"/>
    <col width="50" customWidth="1" min="26" max="26"/>
  </cols>
  <sheetData>
    <row r="1">
      <c r="A1" s="1" t="inlineStr">
        <is>
          <t>Sem retenção</t>
        </is>
      </c>
    </row>
    <row r="2">
      <c r="A2" s="2" t="inlineStr">
        <is>
          <t>NFS-e sem nenhuma retenção no XML - 09/2026. O valor integral é pago ao prestador.</t>
        </is>
      </c>
    </row>
    <row r="4" ht="30" customHeight="1">
      <c r="A4" s="11" t="inlineStr">
        <is>
          <t>Emissão</t>
        </is>
      </c>
      <c r="B4" s="11" t="inlineStr">
        <is>
          <t>Competência</t>
        </is>
      </c>
      <c r="C4" s="11" t="inlineStr">
        <is>
          <t>NFS-e</t>
        </is>
      </c>
      <c r="D4" s="11" t="inlineStr">
        <is>
          <t>Situação</t>
        </is>
      </c>
      <c r="E4" s="11" t="inlineStr">
        <is>
          <t>Prestador</t>
        </is>
      </c>
      <c r="F4" s="11" t="inlineStr">
        <is>
          <t>CNPJ</t>
        </is>
      </c>
      <c r="G4" s="11" t="inlineStr">
        <is>
          <t>Simples</t>
        </is>
      </c>
      <c r="H4" s="11" t="inlineStr">
        <is>
          <t>Município incidência</t>
        </is>
      </c>
      <c r="I4" s="11" t="inlineStr">
        <is>
          <t>Cód. serviço</t>
        </is>
      </c>
      <c r="J4" s="11" t="inlineStr">
        <is>
          <t>Descrição do serviço</t>
        </is>
      </c>
      <c r="K4" s="11" t="inlineStr">
        <is>
          <t>Valor do serviço</t>
        </is>
      </c>
      <c r="L4" s="11" t="inlineStr">
        <is>
          <t>Base ISS</t>
        </is>
      </c>
      <c r="M4" s="11" t="inlineStr">
        <is>
          <t>% ISS</t>
        </is>
      </c>
      <c r="N4" s="11" t="inlineStr">
        <is>
          <t>ISS do prestador</t>
        </is>
      </c>
      <c r="O4" s="11" t="inlineStr">
        <is>
          <t>ISS retido</t>
        </is>
      </c>
      <c r="P4" s="11" t="inlineStr">
        <is>
          <t>IRRF retido</t>
        </is>
      </c>
      <c r="Q4" s="11" t="inlineStr">
        <is>
          <t>PIS/COFINS/CSLL retidos (vRetCSLL)</t>
        </is>
      </c>
      <c r="R4" s="11" t="inlineStr">
        <is>
          <t>INSS retido</t>
        </is>
      </c>
      <c r="S4" s="11" t="inlineStr">
        <is>
          <t>Total retido (vTotalRet)</t>
        </is>
      </c>
      <c r="T4" s="11" t="inlineStr">
        <is>
          <t>Líquido a pagar ao prestador</t>
        </is>
      </c>
      <c r="U4" s="11" t="inlineStr">
        <is>
          <t>Retenção</t>
        </is>
      </c>
      <c r="V4" s="11" t="inlineStr">
        <is>
          <t>Retenção PIS/COFINS (XML)</t>
        </is>
      </c>
      <c r="W4" s="11" t="inlineStr">
        <is>
          <t>Acumulador (Domínio)</t>
        </is>
      </c>
      <c r="X4" s="11" t="inlineStr">
        <is>
          <t>Conta contábil (Domínio)</t>
        </is>
      </c>
      <c r="Y4" s="11" t="inlineStr">
        <is>
          <t>Conferência XML x relatório ABRASF</t>
        </is>
      </c>
      <c r="Z4" s="11" t="inlineStr">
        <is>
          <t>Chave</t>
        </is>
      </c>
    </row>
    <row r="5">
      <c r="A5" s="12" t="n">
        <v>46266</v>
      </c>
      <c r="B5" s="12" t="n">
        <v>46266</v>
      </c>
      <c r="C5" s="13" t="n">
        <v>1547</v>
      </c>
      <c r="D5" s="13" t="inlineStr">
        <is>
          <t>Autorizada</t>
        </is>
      </c>
      <c r="E5" s="13" t="inlineStr">
        <is>
          <t>PENSU EXACTU COMERCIO E SERVICOS DE EQUIPAMENTOS METROLOGICOS LTDA</t>
        </is>
      </c>
      <c r="F5" s="13" t="inlineStr">
        <is>
          <t>07768652000110</t>
        </is>
      </c>
      <c r="G5" s="13" t="inlineStr">
        <is>
          <t>Sim</t>
        </is>
      </c>
      <c r="H5" s="13" t="inlineStr">
        <is>
          <t>Curitiba</t>
        </is>
      </c>
      <c r="I5" s="13" t="inlineStr">
        <is>
          <t>170901</t>
        </is>
      </c>
      <c r="J5" s="13" t="inlineStr">
        <is>
          <t>Balanca entre 20 e 150 kg nao acreditado |Calibracao por comparacao direta com Pesos Padrao (9 pontos)|Balanca ate 5 kg nao acreditado |Calibracao por comparacao direta com Pesos Padrao (9 pontos)|Phm</t>
        </is>
      </c>
      <c r="K5" s="14" t="n">
        <v>612.25</v>
      </c>
      <c r="L5" s="14" t="n">
        <v>0</v>
      </c>
      <c r="M5" s="13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612.25</v>
      </c>
      <c r="U5" s="13" t="inlineStr">
        <is>
          <t>Não</t>
        </is>
      </c>
      <c r="V5" s="13" t="inlineStr">
        <is>
          <t>-</t>
        </is>
      </c>
      <c r="W5" s="13" t="inlineStr">
        <is>
          <t>803</t>
        </is>
      </c>
      <c r="X5" s="13" t="inlineStr">
        <is>
          <t>D 362 / C 506</t>
        </is>
      </c>
      <c r="Y5" s="13" t="inlineStr">
        <is>
          <t>OK (XML sem base do ISS - Simples, sem retenção; o relatório repete o valor)</t>
        </is>
      </c>
      <c r="Z5" s="13" t="inlineStr">
        <is>
          <t>41069022207768652000110000000000154726099373367718</t>
        </is>
      </c>
    </row>
    <row r="6">
      <c r="A6" s="12" t="n">
        <v>46266</v>
      </c>
      <c r="B6" s="12" t="n">
        <v>46266</v>
      </c>
      <c r="C6" s="13" t="n">
        <v>2709747</v>
      </c>
      <c r="D6" s="13" t="inlineStr">
        <is>
          <t>Autorizada</t>
        </is>
      </c>
      <c r="E6" s="13" t="inlineStr">
        <is>
          <t>LIGGA SERVICOS EM TELECOM S.A.</t>
        </is>
      </c>
      <c r="F6" s="13" t="inlineStr">
        <is>
          <t>65649511000184</t>
        </is>
      </c>
      <c r="G6" s="13" t="inlineStr">
        <is>
          <t>Não</t>
        </is>
      </c>
      <c r="H6" s="13" t="inlineStr">
        <is>
          <t>Curitiba</t>
        </is>
      </c>
      <c r="I6" s="13" t="inlineStr">
        <is>
          <t>310104</t>
        </is>
      </c>
      <c r="J6" s="13" t="inlineStr">
        <is>
          <t>Servicos Tecnicos B2B - R$ 83,99
** Periodo de Apuracao: 30/07/2026 a 29/08/2026
Vencimento: 15/09/2026
** VALORES DOS TRIBUTOS INCIDENTES NO SERVICO - R$ 11,97 (PIS 1.65% - COFINS 7.6% - ISS 5.0%,</t>
        </is>
      </c>
      <c r="K6" s="14" t="n">
        <v>83.98999999999999</v>
      </c>
      <c r="L6" s="14" t="n">
        <v>83.98999999999999</v>
      </c>
      <c r="M6" s="13" t="n">
        <v>5</v>
      </c>
      <c r="N6" s="14" t="n">
        <v>4.2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83.98999999999999</v>
      </c>
      <c r="U6" s="13" t="inlineStr">
        <is>
          <t>Não</t>
        </is>
      </c>
      <c r="V6" s="13" t="inlineStr">
        <is>
          <t>PIS/COFINS não retidos</t>
        </is>
      </c>
      <c r="W6" s="13" t="inlineStr">
        <is>
          <t>819</t>
        </is>
      </c>
      <c r="X6" s="13" t="inlineStr">
        <is>
          <t>D 362 / C 506</t>
        </is>
      </c>
      <c r="Y6" s="13" t="inlineStr">
        <is>
          <t>OK</t>
        </is>
      </c>
      <c r="Z6" s="13" t="inlineStr">
        <is>
          <t>41069022265649511000184000000270974726090368715311</t>
        </is>
      </c>
    </row>
    <row r="7">
      <c r="A7" s="12" t="n">
        <v>46266</v>
      </c>
      <c r="B7" s="12" t="n">
        <v>46266</v>
      </c>
      <c r="C7" s="13" t="n">
        <v>2709751</v>
      </c>
      <c r="D7" s="13" t="inlineStr">
        <is>
          <t>Autorizada</t>
        </is>
      </c>
      <c r="E7" s="13" t="inlineStr">
        <is>
          <t>LIGGA SERVICOS EM TELECOM S.A.</t>
        </is>
      </c>
      <c r="F7" s="13" t="inlineStr">
        <is>
          <t>65649511000184</t>
        </is>
      </c>
      <c r="G7" s="13" t="inlineStr">
        <is>
          <t>Não</t>
        </is>
      </c>
      <c r="H7" s="13" t="inlineStr"/>
      <c r="I7" s="13" t="inlineStr">
        <is>
          <t>010902</t>
        </is>
      </c>
      <c r="J7" s="13" t="inlineStr">
        <is>
          <t>Biblioteca Virtual Ligga B2B - R$ 195,97
** Periodo de Apuracao: 30/07/2026 a 29/08/2026
Vencimento: 15/09/2026
** VALORES DOS TRIBUTOS INCIDENTES NO SERVICO - R$ 0,00 (, CFE LEI FEDERAL 12.741/12)</t>
        </is>
      </c>
      <c r="K7" s="14" t="n">
        <v>195.97</v>
      </c>
      <c r="L7" s="14" t="n">
        <v>0</v>
      </c>
      <c r="M7" s="13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195.97</v>
      </c>
      <c r="U7" s="13" t="inlineStr">
        <is>
          <t>Não</t>
        </is>
      </c>
      <c r="V7" s="13" t="inlineStr">
        <is>
          <t>PIS/COFINS não retidos</t>
        </is>
      </c>
      <c r="W7" s="13" t="inlineStr">
        <is>
          <t>820</t>
        </is>
      </c>
      <c r="X7" s="13" t="inlineStr">
        <is>
          <t>D 643 / C 506</t>
        </is>
      </c>
      <c r="Y7" s="13" t="inlineStr">
        <is>
          <t>OK (XML sem base do ISS - Simples, sem retenção; o relatório repete o valor)</t>
        </is>
      </c>
      <c r="Z7" s="13" t="inlineStr">
        <is>
          <t>41069022265649511000184000000270975126095154324020</t>
        </is>
      </c>
    </row>
    <row r="8">
      <c r="A8" s="12" t="n">
        <v>46266</v>
      </c>
      <c r="B8" s="12" t="n">
        <v>46266</v>
      </c>
      <c r="C8" s="13" t="n">
        <v>507</v>
      </c>
      <c r="D8" s="13" t="inlineStr">
        <is>
          <t>Autorizada</t>
        </is>
      </c>
      <c r="E8" s="13" t="inlineStr">
        <is>
          <t>ANDRADE ENGENHARIA LTDA.</t>
        </is>
      </c>
      <c r="F8" s="13" t="inlineStr">
        <is>
          <t>80402860000190</t>
        </is>
      </c>
      <c r="G8" s="13" t="inlineStr">
        <is>
          <t>Sim</t>
        </is>
      </c>
      <c r="H8" s="13" t="inlineStr">
        <is>
          <t>Curitiba</t>
        </is>
      </c>
      <c r="I8" s="13" t="inlineStr">
        <is>
          <t>170101</t>
        </is>
      </c>
      <c r="J8" s="13" t="inlineStr">
        <is>
          <t xml:space="preserve">CONSULTORIA AMBIENTAL 
VCTO 05/10/2026
</t>
        </is>
      </c>
      <c r="K8" s="14" t="n">
        <v>1124.56</v>
      </c>
      <c r="L8" s="14" t="n">
        <v>0</v>
      </c>
      <c r="M8" s="13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1124.56</v>
      </c>
      <c r="U8" s="13" t="inlineStr">
        <is>
          <t>Não</t>
        </is>
      </c>
      <c r="V8" s="13" t="inlineStr">
        <is>
          <t>PIS/COFINS/CSLL não retidos</t>
        </is>
      </c>
      <c r="W8" s="13" t="inlineStr">
        <is>
          <t>825</t>
        </is>
      </c>
      <c r="X8" s="13" t="inlineStr">
        <is>
          <t>D 364 / C 506</t>
        </is>
      </c>
      <c r="Y8" s="13" t="inlineStr">
        <is>
          <t>OK (XML sem base do ISS - Simples, sem retenção; o relatório repete o valor)</t>
        </is>
      </c>
      <c r="Z8" s="13" t="inlineStr">
        <is>
          <t>41069022280402860000190000000000050726097638942622</t>
        </is>
      </c>
    </row>
    <row r="9">
      <c r="A9" s="12" t="n">
        <v>46266</v>
      </c>
      <c r="B9" s="12" t="n">
        <v>46266</v>
      </c>
      <c r="C9" s="13" t="n">
        <v>817660</v>
      </c>
      <c r="D9" s="13" t="inlineStr">
        <is>
          <t>Autorizada</t>
        </is>
      </c>
      <c r="E9" s="13" t="inlineStr">
        <is>
          <t>DENTAL UNI - COOPERATIVA ODONTOLOGICA</t>
        </is>
      </c>
      <c r="F9" s="13" t="inlineStr">
        <is>
          <t>78738101000151</t>
        </is>
      </c>
      <c r="G9" s="13" t="inlineStr">
        <is>
          <t>Não</t>
        </is>
      </c>
      <c r="H9" s="13" t="inlineStr">
        <is>
          <t>Curitiba</t>
        </is>
      </c>
      <c r="I9" s="13" t="inlineStr">
        <is>
          <t>042201</t>
        </is>
      </c>
      <c r="J9" s="13" t="inlineStr">
        <is>
          <t>(QUANT. 2 - VAL.UNIT. R$26.89 - MENSALIDADE DE TITULARES - TOTAL R$53.78) (QUANT. 2 - VAL.UNIT. R$26.89 - MENSALIDADE DEPENDENTES - TOTAL R$53.78) (NÃO CONFIGURA FATO GERADOR DA RETENÇÃO DE IRRF (ARTS</t>
        </is>
      </c>
      <c r="K9" s="14" t="n">
        <v>107.56</v>
      </c>
      <c r="L9" s="14" t="n">
        <v>18.29</v>
      </c>
      <c r="M9" s="13" t="n">
        <v>4</v>
      </c>
      <c r="N9" s="14" t="n">
        <v>0.73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107.56</v>
      </c>
      <c r="U9" s="13" t="inlineStr">
        <is>
          <t>Não</t>
        </is>
      </c>
      <c r="V9" s="13" t="inlineStr">
        <is>
          <t>-</t>
        </is>
      </c>
      <c r="W9" s="13" t="inlineStr">
        <is>
          <t>824</t>
        </is>
      </c>
      <c r="X9" s="13" t="inlineStr">
        <is>
          <t>D 652 / C 506</t>
        </is>
      </c>
      <c r="Y9" s="13" t="inlineStr">
        <is>
          <t>OK</t>
        </is>
      </c>
      <c r="Z9" s="13" t="inlineStr">
        <is>
          <t>41069022278738101000151000000081766026097784194236</t>
        </is>
      </c>
    </row>
    <row r="10">
      <c r="A10" s="12" t="n">
        <v>46266</v>
      </c>
      <c r="B10" s="12" t="n">
        <v>46266</v>
      </c>
      <c r="C10" s="13" t="n">
        <v>974</v>
      </c>
      <c r="D10" s="13" t="inlineStr">
        <is>
          <t>Autorizada</t>
        </is>
      </c>
      <c r="E10" s="13" t="inlineStr">
        <is>
          <t>TIPOGRAFIA IGUACU LTDA</t>
        </is>
      </c>
      <c r="F10" s="13" t="inlineStr">
        <is>
          <t>75114363000157</t>
        </is>
      </c>
      <c r="G10" s="13" t="inlineStr">
        <is>
          <t>Sim</t>
        </is>
      </c>
      <c r="H10" s="13" t="inlineStr">
        <is>
          <t>Curitiba</t>
        </is>
      </c>
      <c r="I10" s="13" t="inlineStr">
        <is>
          <t>130501</t>
        </is>
      </c>
      <c r="J10" s="13" t="inlineStr">
        <is>
          <t>1 Banner Fosco; 80x120 cm; Bastao de Madeira; Ponteira; Barbante; Lona Front 340g; 4x0 cores; Colorido Vlr.Unt 72,6000 Vlr.Brt 72,60 Vlr.Liq 72,60||Vencimentos:|900.1023-1/1 01/09/2026 R$ 72,60||Valor</t>
        </is>
      </c>
      <c r="K10" s="14" t="n">
        <v>72.59999999999999</v>
      </c>
      <c r="L10" s="14" t="n">
        <v>0</v>
      </c>
      <c r="M10" s="13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72.59999999999999</v>
      </c>
      <c r="U10" s="13" t="inlineStr">
        <is>
          <t>Não</t>
        </is>
      </c>
      <c r="V10" s="13" t="inlineStr">
        <is>
          <t>-</t>
        </is>
      </c>
      <c r="W10" s="13" t="inlineStr">
        <is>
          <t>830</t>
        </is>
      </c>
      <c r="X10" s="13" t="inlineStr">
        <is>
          <t>D 325 / C 506</t>
        </is>
      </c>
      <c r="Y10" s="13" t="inlineStr">
        <is>
          <t>OK (XML sem base do ISS - Simples, sem retenção; o relatório repete o valor)</t>
        </is>
      </c>
      <c r="Z10" s="13" t="inlineStr">
        <is>
          <t>41069022275114363000157000000000097426097081722597</t>
        </is>
      </c>
    </row>
    <row r="11">
      <c r="A11" s="12" t="n">
        <v>46268</v>
      </c>
      <c r="B11" s="12" t="n">
        <v>46268</v>
      </c>
      <c r="C11" s="13" t="n">
        <v>469</v>
      </c>
      <c r="D11" s="13" t="inlineStr">
        <is>
          <t>Autorizada</t>
        </is>
      </c>
      <c r="E11" s="13" t="inlineStr">
        <is>
          <t>OFICINA DO IMPRESSO GRAFICA E EDITORA LTDA.</t>
        </is>
      </c>
      <c r="F11" s="13" t="inlineStr">
        <is>
          <t>00495545000116</t>
        </is>
      </c>
      <c r="G11" s="13" t="inlineStr">
        <is>
          <t>Não</t>
        </is>
      </c>
      <c r="H11" s="13" t="inlineStr">
        <is>
          <t>Curitiba</t>
        </is>
      </c>
      <c r="I11" s="13" t="inlineStr">
        <is>
          <t>130501</t>
        </is>
      </c>
      <c r="J11" s="13" t="inlineStr">
        <is>
          <t>3.000 Laminas - Oleos ALL Nature. 210x297mm, 4x4 cores, Tinta Escala em Couche Brilho 115g. Saida em CTP.  / 3.000 Laminas - Promo Beauty Fair 26 ALL Nature. 210x297mm, 4x4 cores, Tinta Escala em Couc</t>
        </is>
      </c>
      <c r="K11" s="14" t="n">
        <v>1998</v>
      </c>
      <c r="L11" s="14" t="n">
        <v>1998</v>
      </c>
      <c r="M11" s="13" t="n">
        <v>2.5</v>
      </c>
      <c r="N11" s="14" t="n">
        <v>49.95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1998</v>
      </c>
      <c r="U11" s="13" t="inlineStr">
        <is>
          <t>Não</t>
        </is>
      </c>
      <c r="V11" s="13" t="inlineStr">
        <is>
          <t>PIS/COFINS não retidos</t>
        </is>
      </c>
      <c r="W11" s="13" t="inlineStr">
        <is>
          <t>830</t>
        </is>
      </c>
      <c r="X11" s="13" t="inlineStr">
        <is>
          <t>D 325 / C 506</t>
        </is>
      </c>
      <c r="Y11" s="13" t="inlineStr">
        <is>
          <t>OK</t>
        </is>
      </c>
      <c r="Z11" s="13" t="inlineStr">
        <is>
          <t>41069022200495545000116000000000046926091708323044</t>
        </is>
      </c>
    </row>
    <row r="12">
      <c r="A12" s="12" t="n">
        <v>46268</v>
      </c>
      <c r="B12" s="12" t="n">
        <v>46268</v>
      </c>
      <c r="C12" s="13" t="n">
        <v>8798</v>
      </c>
      <c r="D12" s="13" t="inlineStr">
        <is>
          <t>Autorizada</t>
        </is>
      </c>
      <c r="E12" s="13" t="inlineStr">
        <is>
          <t>DOM RICARDO HOTEL LTDA</t>
        </is>
      </c>
      <c r="F12" s="13" t="inlineStr">
        <is>
          <t>01790040000147</t>
        </is>
      </c>
      <c r="G12" s="13" t="inlineStr">
        <is>
          <t>Não</t>
        </is>
      </c>
      <c r="H12" s="13" t="inlineStr">
        <is>
          <t>São José dos Pinhais</t>
        </is>
      </c>
      <c r="I12" s="13" t="inlineStr">
        <is>
          <t>090101</t>
        </is>
      </c>
      <c r="J12" s="13" t="inlineStr">
        <is>
          <t>DIÁRIAS: 3.343,68 ISS: 167,20  RPS 419615 UH 207 (6326927), 215 (6326935), 219 (6326951) e 515 (6326943)</t>
        </is>
      </c>
      <c r="K12" s="14" t="n">
        <v>3510.88</v>
      </c>
      <c r="L12" s="14" t="n">
        <v>3510.88</v>
      </c>
      <c r="M12" s="13" t="n">
        <v>5</v>
      </c>
      <c r="N12" s="14" t="n">
        <v>175.54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3510.88</v>
      </c>
      <c r="U12" s="13" t="inlineStr">
        <is>
          <t>Não</t>
        </is>
      </c>
      <c r="V12" s="13" t="inlineStr">
        <is>
          <t>PIS/COFINS/CSLL não retidos</t>
        </is>
      </c>
      <c r="W12" s="13" t="inlineStr">
        <is>
          <t>definir</t>
        </is>
      </c>
      <c r="X12" s="13" t="inlineStr">
        <is>
          <t>definir: prestador sem acumulador e sem histórico no Domínio</t>
        </is>
      </c>
      <c r="Y12" s="13" t="inlineStr">
        <is>
          <t>OK</t>
        </is>
      </c>
      <c r="Z12" s="13" t="inlineStr">
        <is>
          <t>41255062201790040000147000000000879826090020603825</t>
        </is>
      </c>
    </row>
    <row r="13">
      <c r="A13" s="12" t="n">
        <v>46273</v>
      </c>
      <c r="B13" s="12" t="n">
        <v>46273</v>
      </c>
      <c r="C13" s="13" t="n">
        <v>45454</v>
      </c>
      <c r="D13" s="13" t="inlineStr">
        <is>
          <t>Autorizada</t>
        </is>
      </c>
      <c r="E13" s="13" t="inlineStr">
        <is>
          <t>GL HOTEIS LTDA</t>
        </is>
      </c>
      <c r="F13" s="13" t="inlineStr">
        <is>
          <t>48395289000111</t>
        </is>
      </c>
      <c r="G13" s="13" t="inlineStr">
        <is>
          <t>Não</t>
        </is>
      </c>
      <c r="H13" s="13" t="inlineStr">
        <is>
          <t>São Paulo</t>
        </is>
      </c>
      <c r="I13" s="13" t="inlineStr">
        <is>
          <t>090101</t>
        </is>
      </c>
      <c r="J13" s="13" t="inlineStr">
        <is>
          <t>Diaria HOSPEDAGEM REFERENTE A FEIRA BEAUTY FAIR. CHECK IN 04-09-2026 CHECK OUT 08-09-2026 SENDO QUE DOIS APARTAMENTOS FEZ CHECK OUT DIA 09-09 REFERENTE AOS APTOS: 5 DUPLOS 2 TRIPOS  3 CASAIS  106-MARC</t>
        </is>
      </c>
      <c r="K13" s="14" t="n">
        <v>12980</v>
      </c>
      <c r="L13" s="14" t="n">
        <v>12980</v>
      </c>
      <c r="M13" s="13" t="n">
        <v>5</v>
      </c>
      <c r="N13" s="14" t="n">
        <v>649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12980</v>
      </c>
      <c r="U13" s="13" t="inlineStr">
        <is>
          <t>Não</t>
        </is>
      </c>
      <c r="V13" s="13" t="inlineStr">
        <is>
          <t>-</t>
        </is>
      </c>
      <c r="W13" s="13" t="inlineStr">
        <is>
          <t>definir</t>
        </is>
      </c>
      <c r="X13" s="13" t="inlineStr">
        <is>
          <t>definir: prestador sem acumulador e sem histórico no Domínio</t>
        </is>
      </c>
      <c r="Y13" s="13" t="inlineStr">
        <is>
          <t>OK</t>
        </is>
      </c>
      <c r="Z13" s="13" t="inlineStr">
        <is>
          <t>35503081248395289000111000000004545426099076402305</t>
        </is>
      </c>
    </row>
    <row r="14">
      <c r="A14" s="12" t="n">
        <v>46275</v>
      </c>
      <c r="B14" s="12" t="n">
        <v>46275</v>
      </c>
      <c r="C14" s="13" t="n">
        <v>908</v>
      </c>
      <c r="D14" s="13" t="inlineStr">
        <is>
          <t>Autorizada</t>
        </is>
      </c>
      <c r="E14" s="13" t="inlineStr">
        <is>
          <t>CRM TECNOLOGIA EM SISTEMAS DE INFORMACAO LTDA</t>
        </is>
      </c>
      <c r="F14" s="13" t="inlineStr">
        <is>
          <t>24891333000116</t>
        </is>
      </c>
      <c r="G14" s="13" t="inlineStr">
        <is>
          <t>Sim</t>
        </is>
      </c>
      <c r="H14" s="13" t="inlineStr">
        <is>
          <t>Curitiba</t>
        </is>
      </c>
      <c r="I14" s="13" t="inlineStr">
        <is>
          <t>010101</t>
        </is>
      </c>
      <c r="J14" s="13" t="inlineStr">
        <is>
          <t>Referente a Manutenção CosmosERP.</t>
        </is>
      </c>
      <c r="K14" s="14" t="n">
        <v>2859.58</v>
      </c>
      <c r="L14" s="14" t="n">
        <v>0</v>
      </c>
      <c r="M14" s="13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2859.58</v>
      </c>
      <c r="U14" s="13" t="inlineStr">
        <is>
          <t>Não</t>
        </is>
      </c>
      <c r="V14" s="13" t="inlineStr">
        <is>
          <t>PIS/COFINS/CSLL não retidos</t>
        </is>
      </c>
      <c r="W14" s="13" t="inlineStr">
        <is>
          <t>811</t>
        </is>
      </c>
      <c r="X14" s="13" t="inlineStr">
        <is>
          <t>D 640 / C 506</t>
        </is>
      </c>
      <c r="Y14" s="13" t="inlineStr">
        <is>
          <t>OK (XML sem base do ISS - Simples, sem retenção; o relatório repete o valor)</t>
        </is>
      </c>
      <c r="Z14" s="13" t="inlineStr">
        <is>
          <t>41069022224891333000116000000000090826090575270117</t>
        </is>
      </c>
    </row>
    <row r="15">
      <c r="A15" s="12" t="n">
        <v>46276</v>
      </c>
      <c r="B15" s="12" t="n">
        <v>46276</v>
      </c>
      <c r="C15" s="13" t="n">
        <v>5588821</v>
      </c>
      <c r="D15" s="13" t="inlineStr">
        <is>
          <t>Autorizada (cStat 102)</t>
        </is>
      </c>
      <c r="E15" s="13" t="inlineStr">
        <is>
          <t>FLASH TECNOLOGIA E  INSTITUICAO DE PAGAMENTO LTDA</t>
        </is>
      </c>
      <c r="F15" s="13" t="inlineStr">
        <is>
          <t>32223020000118</t>
        </is>
      </c>
      <c r="G15" s="13" t="inlineStr">
        <is>
          <t>Não</t>
        </is>
      </c>
      <c r="H15" s="13" t="inlineStr">
        <is>
          <t>São Paulo</t>
        </is>
      </c>
      <c r="I15" s="13" t="inlineStr">
        <is>
          <t>171201</t>
        </is>
      </c>
      <c r="J15" s="13" t="inlineStr">
        <is>
          <t>Valor Total - R$ 6.105,00 Compra de Créditos na Plataforma Flash - R$ 6.105,00 Valor total de serviços Flash - R$ 0,00 Data da Compra: 11/09/2026 Compra de benefícios - Premiação no Cartão: R$ 6.105,0</t>
        </is>
      </c>
      <c r="K15" s="14" t="n">
        <v>6105</v>
      </c>
      <c r="L15" s="14" t="n">
        <v>0</v>
      </c>
      <c r="M15" s="13" t="n">
        <v>2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6105</v>
      </c>
      <c r="U15" s="13" t="inlineStr">
        <is>
          <t>Não</t>
        </is>
      </c>
      <c r="V15" s="13" t="inlineStr">
        <is>
          <t>-</t>
        </is>
      </c>
      <c r="W15" s="13" t="inlineStr">
        <is>
          <t>816</t>
        </is>
      </c>
      <c r="X15" s="13" t="inlineStr">
        <is>
          <t>D 364 / C 506</t>
        </is>
      </c>
      <c r="Y15" s="13" t="inlineStr">
        <is>
          <t>OK</t>
        </is>
      </c>
      <c r="Z15" s="13" t="inlineStr">
        <is>
          <t>35503081232223020000118000000558882126097884718838</t>
        </is>
      </c>
    </row>
    <row r="16">
      <c r="A16" s="12" t="n">
        <v>46281</v>
      </c>
      <c r="B16" s="12" t="n">
        <v>46281</v>
      </c>
      <c r="C16" s="13" t="n">
        <v>10</v>
      </c>
      <c r="D16" s="13" t="inlineStr">
        <is>
          <t>Autorizada</t>
        </is>
      </c>
      <c r="E16" s="13" t="inlineStr">
        <is>
          <t>BIOACTIVE - BIOTECNOLOGIA E DESENVOLVIMENTO DE COSMETICOS LTDA</t>
        </is>
      </c>
      <c r="F16" s="13" t="inlineStr">
        <is>
          <t>59684382000162</t>
        </is>
      </c>
      <c r="G16" s="13" t="inlineStr">
        <is>
          <t>Sim</t>
        </is>
      </c>
      <c r="H16" s="13" t="inlineStr">
        <is>
          <t>Curitiba</t>
        </is>
      </c>
      <c r="I16" s="13" t="inlineStr">
        <is>
          <t>020101</t>
        </is>
      </c>
      <c r="J16" s="13" t="inlineStr">
        <is>
          <t>Serviços prestados</t>
        </is>
      </c>
      <c r="K16" s="14" t="n">
        <v>1000</v>
      </c>
      <c r="L16" s="14" t="n">
        <v>0</v>
      </c>
      <c r="M16" s="13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1000</v>
      </c>
      <c r="U16" s="13" t="inlineStr">
        <is>
          <t>Não</t>
        </is>
      </c>
      <c r="V16" s="13" t="inlineStr">
        <is>
          <t>PIS/COFINS/CSLL não retidos</t>
        </is>
      </c>
      <c r="W16" s="13" t="inlineStr">
        <is>
          <t>810</t>
        </is>
      </c>
      <c r="X16" s="13" t="inlineStr">
        <is>
          <t>D 362 / C 506</t>
        </is>
      </c>
      <c r="Y16" s="13" t="inlineStr">
        <is>
          <t>OK (XML sem base do ISS - Simples, sem retenção; o relatório repete o valor)</t>
        </is>
      </c>
      <c r="Z16" s="13" t="inlineStr">
        <is>
          <t>41069022259684382000162000000000001026098158485630</t>
        </is>
      </c>
    </row>
    <row r="17">
      <c r="A17" s="12" t="n">
        <v>46281</v>
      </c>
      <c r="B17" s="12" t="n">
        <v>46281</v>
      </c>
      <c r="C17" s="13" t="n">
        <v>11</v>
      </c>
      <c r="D17" s="13" t="inlineStr">
        <is>
          <t>Autorizada</t>
        </is>
      </c>
      <c r="E17" s="13" t="inlineStr">
        <is>
          <t>BIOACTIVE - BIOTECNOLOGIA E DESENVOLVIMENTO DE COSMETICOS LTDA</t>
        </is>
      </c>
      <c r="F17" s="13" t="inlineStr">
        <is>
          <t>59684382000162</t>
        </is>
      </c>
      <c r="G17" s="13" t="inlineStr">
        <is>
          <t>Sim</t>
        </is>
      </c>
      <c r="H17" s="13" t="inlineStr">
        <is>
          <t>Curitiba</t>
        </is>
      </c>
      <c r="I17" s="13" t="inlineStr">
        <is>
          <t>020101</t>
        </is>
      </c>
      <c r="J17" s="13" t="inlineStr">
        <is>
          <t>Serviços prestados</t>
        </is>
      </c>
      <c r="K17" s="14" t="n">
        <v>7456.04</v>
      </c>
      <c r="L17" s="14" t="n">
        <v>0</v>
      </c>
      <c r="M17" s="13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7456.04</v>
      </c>
      <c r="U17" s="13" t="inlineStr">
        <is>
          <t>Não</t>
        </is>
      </c>
      <c r="V17" s="13" t="inlineStr">
        <is>
          <t>-</t>
        </is>
      </c>
      <c r="W17" s="13" t="inlineStr">
        <is>
          <t>810</t>
        </is>
      </c>
      <c r="X17" s="13" t="inlineStr">
        <is>
          <t>D 362 / C 506</t>
        </is>
      </c>
      <c r="Y17" s="13" t="inlineStr">
        <is>
          <t>OK (XML sem base do ISS - Simples, sem retenção; o relatório repete o valor)</t>
        </is>
      </c>
      <c r="Z17" s="13" t="inlineStr">
        <is>
          <t>41069022259684382000162000000000001126096345619740</t>
        </is>
      </c>
    </row>
    <row r="18">
      <c r="A18" s="12" t="n">
        <v>46281</v>
      </c>
      <c r="B18" s="12" t="n">
        <v>46266</v>
      </c>
      <c r="C18" s="13" t="n">
        <v>9530</v>
      </c>
      <c r="D18" s="13" t="inlineStr">
        <is>
          <t>Autorizada</t>
        </is>
      </c>
      <c r="E18" s="13" t="inlineStr">
        <is>
          <t>INSETCONTROL CONTROLE DE PRAGAS LTDA</t>
        </is>
      </c>
      <c r="F18" s="13" t="inlineStr">
        <is>
          <t>14309879000162</t>
        </is>
      </c>
      <c r="G18" s="13" t="inlineStr">
        <is>
          <t>Sim</t>
        </is>
      </c>
      <c r="H18" s="13" t="inlineStr">
        <is>
          <t>CAMPO GRANDE</t>
        </is>
      </c>
      <c r="I18" s="13" t="inlineStr">
        <is>
          <t>071301</t>
        </is>
      </c>
      <c r="J18" s="13" t="inlineStr">
        <is>
          <t>PREST SERV DESIN DESRAT REF SETEMBRO26</t>
        </is>
      </c>
      <c r="K18" s="14" t="n">
        <v>730</v>
      </c>
      <c r="L18" s="14" t="n">
        <v>730</v>
      </c>
      <c r="M18" s="13" t="n">
        <v>0</v>
      </c>
      <c r="N18" s="14" t="n">
        <v>36.5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730</v>
      </c>
      <c r="U18" s="13" t="inlineStr">
        <is>
          <t>Não</t>
        </is>
      </c>
      <c r="V18" s="13" t="inlineStr">
        <is>
          <t>-</t>
        </is>
      </c>
      <c r="W18" s="13" t="inlineStr">
        <is>
          <t>826</t>
        </is>
      </c>
      <c r="X18" s="13" t="inlineStr">
        <is>
          <t>D 362 / C 506</t>
        </is>
      </c>
      <c r="Y18" s="13" t="inlineStr">
        <is>
          <t>OK</t>
        </is>
      </c>
      <c r="Z18" s="13" t="inlineStr">
        <is>
          <t>50027041214309879000162000000000953026090714785828</t>
        </is>
      </c>
    </row>
    <row r="19">
      <c r="A19" s="12" t="n">
        <v>46282</v>
      </c>
      <c r="B19" s="12" t="n">
        <v>46282</v>
      </c>
      <c r="C19" s="13" t="n">
        <v>72</v>
      </c>
      <c r="D19" s="13" t="inlineStr">
        <is>
          <t>Autorizada</t>
        </is>
      </c>
      <c r="E19" s="13" t="inlineStr">
        <is>
          <t>SAVATEC COMERCIO E SERVIÇOS LTDA</t>
        </is>
      </c>
      <c r="F19" s="13" t="inlineStr">
        <is>
          <t>59087034000108</t>
        </is>
      </c>
      <c r="G19" s="13" t="inlineStr">
        <is>
          <t>Sim</t>
        </is>
      </c>
      <c r="H19" s="13" t="inlineStr">
        <is>
          <t>Araucária</t>
        </is>
      </c>
      <c r="I19" s="13" t="inlineStr">
        <is>
          <t>140101</t>
        </is>
      </c>
      <c r="J19" s="13" t="inlineStr">
        <is>
          <t>MANUTENCAO EM EQUIPAMENTO INKJET+ 03 HORAS TECNICAS(R$ 1.440,00)+ DESLOCAMENTO(R$ 100,00) R$ 1.540,00-- DESCONTO POR ASSIDUIDADE-R$ 450,00 --- TOTAL A PAGAR: R$ 1.090,00 COND PGTO- 2X 21/42 DDL</t>
        </is>
      </c>
      <c r="K19" s="14" t="n">
        <v>1090</v>
      </c>
      <c r="L19" s="14" t="n">
        <v>1090</v>
      </c>
      <c r="M19" s="13" t="n">
        <v>2.01</v>
      </c>
      <c r="N19" s="14" t="n">
        <v>21.91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1090</v>
      </c>
      <c r="U19" s="13" t="inlineStr">
        <is>
          <t>Não</t>
        </is>
      </c>
      <c r="V19" s="13" t="inlineStr">
        <is>
          <t>-</t>
        </is>
      </c>
      <c r="W19" s="13" t="inlineStr">
        <is>
          <t>definir</t>
        </is>
      </c>
      <c r="X19" s="13" t="inlineStr">
        <is>
          <t>D 362 / C 506</t>
        </is>
      </c>
      <c r="Y19" s="13" t="inlineStr">
        <is>
          <t>OK</t>
        </is>
      </c>
      <c r="Z19" s="13" t="inlineStr">
        <is>
          <t>41018041259087034000108000000000007226090000000014</t>
        </is>
      </c>
    </row>
    <row r="20">
      <c r="A20" s="12" t="n">
        <v>46285</v>
      </c>
      <c r="B20" s="12" t="n">
        <v>46285</v>
      </c>
      <c r="C20" s="13" t="n">
        <v>173228</v>
      </c>
      <c r="D20" s="13" t="inlineStr">
        <is>
          <t>Autorizada</t>
        </is>
      </c>
      <c r="E20" s="13" t="inlineStr">
        <is>
          <t>TECNOPONTO TECNOLOGIA AVANCADA EM CONTROLE DE PONTO E ACESSO LTDA</t>
        </is>
      </c>
      <c r="F20" s="13" t="inlineStr">
        <is>
          <t>77800407000128</t>
        </is>
      </c>
      <c r="G20" s="13" t="inlineStr">
        <is>
          <t>Não</t>
        </is>
      </c>
      <c r="H20" s="13" t="inlineStr">
        <is>
          <t>Curitiba</t>
        </is>
      </c>
      <c r="I20" s="13" t="inlineStr">
        <is>
          <t>010701</t>
        </is>
      </c>
      <c r="J20" s="13" t="inlineStr">
        <is>
          <t>1 - SOFTWARE TECNOPONTO PLUS PARA 20 FUNCIONARIOS|1 - SUPORTE TECNICO PARA SOFTWARE||Nao sujeita a retencao da Fonte das Contribuicoes Sociais (PIS, COFINS, CSLL). - Qtde 1 x Valor Unit. R$ 74,90 = To</t>
        </is>
      </c>
      <c r="K20" s="14" t="n">
        <v>74.90000000000001</v>
      </c>
      <c r="L20" s="14" t="n">
        <v>74.90000000000001</v>
      </c>
      <c r="M20" s="13" t="n">
        <v>2</v>
      </c>
      <c r="N20" s="14" t="n">
        <v>1.5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74.90000000000001</v>
      </c>
      <c r="U20" s="13" t="inlineStr">
        <is>
          <t>Não</t>
        </is>
      </c>
      <c r="V20" s="13" t="inlineStr">
        <is>
          <t>PIS/COFINS/CSLL não retidos</t>
        </is>
      </c>
      <c r="W20" s="13" t="inlineStr">
        <is>
          <t>823</t>
        </is>
      </c>
      <c r="X20" s="13" t="inlineStr">
        <is>
          <t>D 640 / C 506</t>
        </is>
      </c>
      <c r="Y20" s="13" t="inlineStr">
        <is>
          <t>OK</t>
        </is>
      </c>
      <c r="Z20" s="13" t="inlineStr">
        <is>
          <t>41069022277800407000128000000017322826095713648820</t>
        </is>
      </c>
    </row>
    <row r="21">
      <c r="A21" s="12" t="n">
        <v>46287</v>
      </c>
      <c r="B21" s="12" t="n">
        <v>46286</v>
      </c>
      <c r="C21" s="13" t="n">
        <v>243079</v>
      </c>
      <c r="D21" s="13" t="inlineStr">
        <is>
          <t>Autorizada</t>
        </is>
      </c>
      <c r="E21" s="13" t="inlineStr">
        <is>
          <t>NEXTAR TECNOLOGIA DE SOFTWARE LTDA</t>
        </is>
      </c>
      <c r="F21" s="13" t="inlineStr">
        <is>
          <t>04580911000196</t>
        </is>
      </c>
      <c r="G21" s="13" t="inlineStr">
        <is>
          <t>Não</t>
        </is>
      </c>
      <c r="H21" s="13" t="inlineStr">
        <is>
          <t>Florianópolis</t>
        </is>
      </c>
      <c r="I21" s="13" t="inlineStr">
        <is>
          <t>010501</t>
        </is>
      </c>
      <c r="J21" s="13" t="inlineStr">
        <is>
          <t>Assinatura Nex e Suporte Técnico - Serviço referente a SET / 2026</t>
        </is>
      </c>
      <c r="K21" s="14" t="n">
        <v>119</v>
      </c>
      <c r="L21" s="14" t="n">
        <v>119</v>
      </c>
      <c r="M21" s="13" t="n">
        <v>2</v>
      </c>
      <c r="N21" s="14" t="n">
        <v>2.38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119</v>
      </c>
      <c r="U21" s="13" t="inlineStr">
        <is>
          <t>Não</t>
        </is>
      </c>
      <c r="V21" s="13" t="inlineStr">
        <is>
          <t>-</t>
        </is>
      </c>
      <c r="W21" s="13" t="inlineStr">
        <is>
          <t>818</t>
        </is>
      </c>
      <c r="X21" s="13" t="inlineStr">
        <is>
          <t>D 364 / C 506</t>
        </is>
      </c>
      <c r="Y21" s="13" t="inlineStr">
        <is>
          <t>OK</t>
        </is>
      </c>
      <c r="Z21" s="13" t="inlineStr">
        <is>
          <t>42054072204580911000196000000024307926097939111579</t>
        </is>
      </c>
    </row>
    <row r="22">
      <c r="A22" s="12" t="n">
        <v>46287</v>
      </c>
      <c r="B22" s="12" t="n">
        <v>46287</v>
      </c>
      <c r="C22" s="13" t="n">
        <v>9227</v>
      </c>
      <c r="D22" s="13" t="inlineStr">
        <is>
          <t>Autorizada</t>
        </is>
      </c>
      <c r="E22" s="13" t="inlineStr">
        <is>
          <t>PLUS SANTE EMERGENCIAS MEDICAS S.A.</t>
        </is>
      </c>
      <c r="F22" s="13" t="inlineStr">
        <is>
          <t>04523560000181</t>
        </is>
      </c>
      <c r="G22" s="13" t="inlineStr">
        <is>
          <t>Não</t>
        </is>
      </c>
      <c r="H22" s="13" t="inlineStr">
        <is>
          <t>Curitiba</t>
        </is>
      </c>
      <c r="I22" s="13" t="inlineStr">
        <is>
          <t>042101</t>
        </is>
      </c>
      <c r="J22" s="13" t="inlineStr">
        <is>
          <t>UNIDADE DE ATENDIMENTO ASSISTENCIA OU TRATAMENTO MOVEL</t>
        </is>
      </c>
      <c r="K22" s="14" t="n">
        <v>342.3</v>
      </c>
      <c r="L22" s="14" t="n">
        <v>342.3</v>
      </c>
      <c r="M22" s="13" t="n">
        <v>5</v>
      </c>
      <c r="N22" s="14" t="n">
        <v>17.12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342.3</v>
      </c>
      <c r="U22" s="13" t="inlineStr">
        <is>
          <t>Não</t>
        </is>
      </c>
      <c r="V22" s="13" t="inlineStr">
        <is>
          <t>PIS/COFINS/CSLL não retidos</t>
        </is>
      </c>
      <c r="W22" s="13" t="inlineStr">
        <is>
          <t>821</t>
        </is>
      </c>
      <c r="X22" s="13" t="inlineStr">
        <is>
          <t>D 576 / C 506</t>
        </is>
      </c>
      <c r="Y22" s="13" t="inlineStr">
        <is>
          <t>OK</t>
        </is>
      </c>
      <c r="Z22" s="13" t="inlineStr">
        <is>
          <t>41069022204523560000181000000000922726091381915688</t>
        </is>
      </c>
    </row>
    <row r="23">
      <c r="A23" s="12" t="n">
        <v>46290</v>
      </c>
      <c r="B23" s="12" t="n">
        <v>46290</v>
      </c>
      <c r="C23" s="13" t="n">
        <v>5661351</v>
      </c>
      <c r="D23" s="13" t="inlineStr">
        <is>
          <t>Autorizada (cStat 102)</t>
        </is>
      </c>
      <c r="E23" s="13" t="inlineStr">
        <is>
          <t>FLASH TECNOLOGIA E  INSTITUICAO DE PAGAMENTO LTDA</t>
        </is>
      </c>
      <c r="F23" s="13" t="inlineStr">
        <is>
          <t>32223020000118</t>
        </is>
      </c>
      <c r="G23" s="13" t="inlineStr">
        <is>
          <t>Não</t>
        </is>
      </c>
      <c r="H23" s="13" t="inlineStr">
        <is>
          <t>São Paulo</t>
        </is>
      </c>
      <c r="I23" s="13" t="inlineStr">
        <is>
          <t>171201</t>
        </is>
      </c>
      <c r="J23" s="13" t="inlineStr">
        <is>
          <t>Valor Total - R$ 4.142,00 Compra de Créditos na Plataforma Flash - R$ 4.142,00 Valor total de serviços Flash - R$ 0,00 Data da Compra: 25/09/2026 Compra de benefícios - Premiação no Cartão: R$ 4.142,0</t>
        </is>
      </c>
      <c r="K23" s="14" t="n">
        <v>4142</v>
      </c>
      <c r="L23" s="14" t="n">
        <v>0</v>
      </c>
      <c r="M23" s="13" t="n">
        <v>2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4142</v>
      </c>
      <c r="U23" s="13" t="inlineStr">
        <is>
          <t>Não</t>
        </is>
      </c>
      <c r="V23" s="13" t="inlineStr">
        <is>
          <t>-</t>
        </is>
      </c>
      <c r="W23" s="13" t="inlineStr">
        <is>
          <t>816</t>
        </is>
      </c>
      <c r="X23" s="13" t="inlineStr">
        <is>
          <t>D 364 / C 506</t>
        </is>
      </c>
      <c r="Y23" s="13" t="inlineStr">
        <is>
          <t>OK</t>
        </is>
      </c>
      <c r="Z23" s="13" t="inlineStr">
        <is>
          <t>35503081232223020000118000000566135126091580598802</t>
        </is>
      </c>
    </row>
    <row r="24">
      <c r="A24" s="18" t="inlineStr">
        <is>
          <t>Total (sem canceladas)</t>
        </is>
      </c>
      <c r="B24" s="19" t="n"/>
      <c r="C24" s="18">
        <f>COUNTA(C5:C23)&amp;" docs"</f>
        <v/>
      </c>
      <c r="D24" s="19" t="n"/>
      <c r="E24" s="19" t="n"/>
      <c r="F24" s="19" t="n"/>
      <c r="G24" s="19" t="n"/>
      <c r="H24" s="19" t="n"/>
      <c r="I24" s="19" t="n"/>
      <c r="J24" s="19" t="n"/>
      <c r="K24" s="20">
        <f>SUMPRODUCT((D5:D23&lt;&gt;"Cancelada")*(D5:D23&lt;&gt;"Cancelado")*K5:K23)</f>
        <v/>
      </c>
      <c r="L24" s="20">
        <f>SUMPRODUCT((D5:D23&lt;&gt;"Cancelada")*(D5:D23&lt;&gt;"Cancelado")*L5:L23)</f>
        <v/>
      </c>
      <c r="M24" s="19" t="n"/>
      <c r="N24" s="20">
        <f>SUMPRODUCT((D5:D23&lt;&gt;"Cancelada")*(D5:D23&lt;&gt;"Cancelado")*N5:N23)</f>
        <v/>
      </c>
      <c r="O24" s="20">
        <f>SUMPRODUCT((D5:D23&lt;&gt;"Cancelada")*(D5:D23&lt;&gt;"Cancelado")*O5:O23)</f>
        <v/>
      </c>
      <c r="P24" s="20">
        <f>SUMPRODUCT((D5:D23&lt;&gt;"Cancelada")*(D5:D23&lt;&gt;"Cancelado")*P5:P23)</f>
        <v/>
      </c>
      <c r="Q24" s="20">
        <f>SUMPRODUCT((D5:D23&lt;&gt;"Cancelada")*(D5:D23&lt;&gt;"Cancelado")*Q5:Q23)</f>
        <v/>
      </c>
      <c r="R24" s="20">
        <f>SUMPRODUCT((D5:D23&lt;&gt;"Cancelada")*(D5:D23&lt;&gt;"Cancelado")*R5:R23)</f>
        <v/>
      </c>
      <c r="S24" s="20">
        <f>SUMPRODUCT((D5:D23&lt;&gt;"Cancelada")*(D5:D23&lt;&gt;"Cancelado")*S5:S23)</f>
        <v/>
      </c>
      <c r="T24" s="20">
        <f>SUMPRODUCT((D5:D23&lt;&gt;"Cancelada")*(D5:D23&lt;&gt;"Cancelado")*T5:T23)</f>
        <v/>
      </c>
      <c r="U24" s="19" t="n"/>
      <c r="V24" s="19" t="n"/>
      <c r="W24" s="19" t="n"/>
      <c r="X24" s="19" t="n"/>
      <c r="Y24" s="19" t="n"/>
      <c r="Z24" s="19" t="n"/>
    </row>
  </sheetData>
  <autoFilter ref="A4:Z23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0" customWidth="1" min="4" max="4"/>
    <col width="32" customWidth="1" min="5" max="5"/>
    <col width="15" customWidth="1" min="6" max="6"/>
    <col width="7" customWidth="1" min="7" max="7"/>
    <col width="12" customWidth="1" min="8" max="8"/>
    <col width="8" customWidth="1" min="9" max="9"/>
    <col width="40" customWidth="1" min="10" max="10"/>
    <col width="12" customWidth="1" min="11" max="11"/>
    <col width="10" customWidth="1" min="12" max="12"/>
    <col width="6" customWidth="1" min="13" max="13"/>
    <col width="10" customWidth="1" min="14" max="14"/>
    <col width="9" customWidth="1" min="15" max="15"/>
    <col width="9" customWidth="1" min="16" max="16"/>
    <col width="12" customWidth="1" min="17" max="17"/>
    <col width="9" customWidth="1" min="18" max="18"/>
    <col width="11" customWidth="1" min="19" max="19"/>
    <col width="12" customWidth="1" min="20" max="20"/>
    <col width="20" customWidth="1" min="21" max="21"/>
    <col width="22" customWidth="1" min="22" max="22"/>
    <col width="10" customWidth="1" min="23" max="23"/>
    <col width="14" customWidth="1" min="24" max="24"/>
    <col width="26" customWidth="1" min="25" max="25"/>
    <col width="50" customWidth="1" min="26" max="26"/>
  </cols>
  <sheetData>
    <row r="1">
      <c r="A1" s="1" t="inlineStr">
        <is>
          <t>Com retenção</t>
        </is>
      </c>
    </row>
    <row r="2">
      <c r="A2" s="2" t="inlineStr">
        <is>
          <t>NFS-e com retenção no XML - 09/2026. O tomador (Cosmetici) recolhe o valor retido; paga ao prestador o líquido.</t>
        </is>
      </c>
    </row>
    <row r="4" ht="30" customHeight="1">
      <c r="A4" s="11" t="inlineStr">
        <is>
          <t>Emissão</t>
        </is>
      </c>
      <c r="B4" s="11" t="inlineStr">
        <is>
          <t>Competência</t>
        </is>
      </c>
      <c r="C4" s="11" t="inlineStr">
        <is>
          <t>NFS-e</t>
        </is>
      </c>
      <c r="D4" s="11" t="inlineStr">
        <is>
          <t>Situação</t>
        </is>
      </c>
      <c r="E4" s="11" t="inlineStr">
        <is>
          <t>Prestador</t>
        </is>
      </c>
      <c r="F4" s="11" t="inlineStr">
        <is>
          <t>CNPJ</t>
        </is>
      </c>
      <c r="G4" s="11" t="inlineStr">
        <is>
          <t>Simples</t>
        </is>
      </c>
      <c r="H4" s="11" t="inlineStr">
        <is>
          <t>Município incidência</t>
        </is>
      </c>
      <c r="I4" s="11" t="inlineStr">
        <is>
          <t>Cód. serviço</t>
        </is>
      </c>
      <c r="J4" s="11" t="inlineStr">
        <is>
          <t>Descrição do serviço</t>
        </is>
      </c>
      <c r="K4" s="11" t="inlineStr">
        <is>
          <t>Valor do serviço</t>
        </is>
      </c>
      <c r="L4" s="11" t="inlineStr">
        <is>
          <t>Base ISS</t>
        </is>
      </c>
      <c r="M4" s="11" t="inlineStr">
        <is>
          <t>% ISS</t>
        </is>
      </c>
      <c r="N4" s="11" t="inlineStr">
        <is>
          <t>ISS do prestador</t>
        </is>
      </c>
      <c r="O4" s="11" t="inlineStr">
        <is>
          <t>ISS retido</t>
        </is>
      </c>
      <c r="P4" s="11" t="inlineStr">
        <is>
          <t>IRRF retido</t>
        </is>
      </c>
      <c r="Q4" s="11" t="inlineStr">
        <is>
          <t>PIS/COFINS/CSLL retidos (vRetCSLL)</t>
        </is>
      </c>
      <c r="R4" s="11" t="inlineStr">
        <is>
          <t>INSS retido</t>
        </is>
      </c>
      <c r="S4" s="11" t="inlineStr">
        <is>
          <t>Total retido (vTotalRet)</t>
        </is>
      </c>
      <c r="T4" s="11" t="inlineStr">
        <is>
          <t>Líquido a pagar ao prestador</t>
        </is>
      </c>
      <c r="U4" s="11" t="inlineStr">
        <is>
          <t>Retenção</t>
        </is>
      </c>
      <c r="V4" s="11" t="inlineStr">
        <is>
          <t>Retenção PIS/COFINS (XML)</t>
        </is>
      </c>
      <c r="W4" s="11" t="inlineStr">
        <is>
          <t>Acumulador (Domínio)</t>
        </is>
      </c>
      <c r="X4" s="11" t="inlineStr">
        <is>
          <t>Conta contábil (Domínio)</t>
        </is>
      </c>
      <c r="Y4" s="11" t="inlineStr">
        <is>
          <t>Conferência XML x relatório ABRASF</t>
        </is>
      </c>
      <c r="Z4" s="11" t="inlineStr">
        <is>
          <t>Chave</t>
        </is>
      </c>
    </row>
    <row r="5">
      <c r="A5" s="15" t="n">
        <v>46266</v>
      </c>
      <c r="B5" s="15" t="n">
        <v>46266</v>
      </c>
      <c r="C5" s="16" t="n">
        <v>18</v>
      </c>
      <c r="D5" s="16" t="inlineStr">
        <is>
          <t>Autorizada</t>
        </is>
      </c>
      <c r="E5" s="16" t="inlineStr">
        <is>
          <t>GENESIS ALIANCA SERVICOS MEDICOS LTDA.</t>
        </is>
      </c>
      <c r="F5" s="16" t="inlineStr">
        <is>
          <t>67742984000157</t>
        </is>
      </c>
      <c r="G5" s="16" t="inlineStr">
        <is>
          <t>Não</t>
        </is>
      </c>
      <c r="H5" s="16" t="inlineStr">
        <is>
          <t>Curitiba</t>
        </is>
      </c>
      <c r="I5" s="16" t="inlineStr">
        <is>
          <t>040102</t>
        </is>
      </c>
      <c r="J5" s="16" t="inlineStr">
        <is>
          <t>SERVIÇOS DE MED. OCUPACIONAL E SEG. DO TRABALHO - PARCELA(S): 1/1 - 10/09/2026 R$ 717,22</t>
        </is>
      </c>
      <c r="K5" s="17" t="n">
        <v>728.14</v>
      </c>
      <c r="L5" s="17" t="n">
        <v>728.14</v>
      </c>
      <c r="M5" s="16" t="n">
        <v>5</v>
      </c>
      <c r="N5" s="17" t="n">
        <v>36.41</v>
      </c>
      <c r="O5" s="17" t="n">
        <v>0</v>
      </c>
      <c r="P5" s="17" t="n">
        <v>10.92</v>
      </c>
      <c r="Q5" s="17" t="n">
        <v>0</v>
      </c>
      <c r="R5" s="17" t="n">
        <v>0</v>
      </c>
      <c r="S5" s="17" t="n">
        <v>10.92</v>
      </c>
      <c r="T5" s="17" t="n">
        <v>717.22</v>
      </c>
      <c r="U5" s="16" t="inlineStr">
        <is>
          <t>SIM - IRRF</t>
        </is>
      </c>
      <c r="V5" s="16" t="inlineStr">
        <is>
          <t>PIS/COFINS/CSLL não retidos</t>
        </is>
      </c>
      <c r="W5" s="16" t="inlineStr">
        <is>
          <t>definir</t>
        </is>
      </c>
      <c r="X5" s="16" t="inlineStr">
        <is>
          <t>definir: prestador sem acumulador e sem histórico no Domínio</t>
        </is>
      </c>
      <c r="Y5" s="16" t="inlineStr">
        <is>
          <t>OK</t>
        </is>
      </c>
      <c r="Z5" s="16" t="inlineStr">
        <is>
          <t>41069022267742984000157000000000001826091655988219</t>
        </is>
      </c>
    </row>
    <row r="6">
      <c r="A6" s="15" t="n">
        <v>46290</v>
      </c>
      <c r="B6" s="15" t="n">
        <v>46290</v>
      </c>
      <c r="C6" s="16" t="n">
        <v>43</v>
      </c>
      <c r="D6" s="16" t="inlineStr">
        <is>
          <t>Autorizada</t>
        </is>
      </c>
      <c r="E6" s="16" t="inlineStr">
        <is>
          <t>EXTRALAB BRASIL - COMERCIO E MANUTENCAO DE EQUIPAMENTOS PARA LABORATORIO LTDA</t>
        </is>
      </c>
      <c r="F6" s="16" t="inlineStr">
        <is>
          <t>04665405000108</t>
        </is>
      </c>
      <c r="G6" s="16" t="inlineStr">
        <is>
          <t>Não</t>
        </is>
      </c>
      <c r="H6" s="16" t="inlineStr">
        <is>
          <t>Itatiba</t>
        </is>
      </c>
      <c r="I6" s="16" t="inlineStr">
        <is>
          <t>140101</t>
        </is>
      </c>
      <c r="J6" s="16" t="inlineStr">
        <is>
          <t>SERVIÇO DE CALIBRAÇÃO PIS RETIDO 0,65% R$ 11,93 COFINS RETIIDO 3% R$ 55,07 CSLL RETIDO 1% R$ 18,36</t>
        </is>
      </c>
      <c r="K6" s="17" t="n">
        <v>1835.5</v>
      </c>
      <c r="L6" s="17" t="n">
        <v>1835.5</v>
      </c>
      <c r="M6" s="16" t="n">
        <v>2</v>
      </c>
      <c r="N6" s="17" t="n">
        <v>36.71</v>
      </c>
      <c r="O6" s="17" t="n">
        <v>0</v>
      </c>
      <c r="P6" s="17" t="n">
        <v>0</v>
      </c>
      <c r="Q6" s="17" t="n">
        <v>85.34999999999999</v>
      </c>
      <c r="R6" s="17" t="n">
        <v>0</v>
      </c>
      <c r="S6" s="17" t="n">
        <v>85.34999999999999</v>
      </c>
      <c r="T6" s="17" t="n">
        <v>1750.15</v>
      </c>
      <c r="U6" s="16" t="inlineStr">
        <is>
          <t>SIM - PIS/COFINS/CSLL</t>
        </is>
      </c>
      <c r="V6" s="16" t="inlineStr">
        <is>
          <t>PIS/COFINS/CSLL retidos</t>
        </is>
      </c>
      <c r="W6" s="16" t="inlineStr">
        <is>
          <t>definir</t>
        </is>
      </c>
      <c r="X6" s="16" t="inlineStr">
        <is>
          <t>definir: prestador sem acumulador e sem histórico no Domínio</t>
        </is>
      </c>
      <c r="Y6" s="16" t="inlineStr">
        <is>
          <t>OK</t>
        </is>
      </c>
      <c r="Z6" s="16" t="inlineStr">
        <is>
          <t>35234042204665405000108000000000004326090442626218</t>
        </is>
      </c>
    </row>
    <row r="7">
      <c r="A7" s="18" t="inlineStr">
        <is>
          <t>Total (sem canceladas)</t>
        </is>
      </c>
      <c r="B7" s="19" t="n"/>
      <c r="C7" s="18">
        <f>COUNTA(C5:C6)&amp;" docs"</f>
        <v/>
      </c>
      <c r="D7" s="19" t="n"/>
      <c r="E7" s="19" t="n"/>
      <c r="F7" s="19" t="n"/>
      <c r="G7" s="19" t="n"/>
      <c r="H7" s="19" t="n"/>
      <c r="I7" s="19" t="n"/>
      <c r="J7" s="19" t="n"/>
      <c r="K7" s="20">
        <f>SUMPRODUCT((D5:D6&lt;&gt;"Cancelada")*(D5:D6&lt;&gt;"Cancelado")*K5:K6)</f>
        <v/>
      </c>
      <c r="L7" s="20">
        <f>SUMPRODUCT((D5:D6&lt;&gt;"Cancelada")*(D5:D6&lt;&gt;"Cancelado")*L5:L6)</f>
        <v/>
      </c>
      <c r="M7" s="19" t="n"/>
      <c r="N7" s="20">
        <f>SUMPRODUCT((D5:D6&lt;&gt;"Cancelada")*(D5:D6&lt;&gt;"Cancelado")*N5:N6)</f>
        <v/>
      </c>
      <c r="O7" s="20">
        <f>SUMPRODUCT((D5:D6&lt;&gt;"Cancelada")*(D5:D6&lt;&gt;"Cancelado")*O5:O6)</f>
        <v/>
      </c>
      <c r="P7" s="20">
        <f>SUMPRODUCT((D5:D6&lt;&gt;"Cancelada")*(D5:D6&lt;&gt;"Cancelado")*P5:P6)</f>
        <v/>
      </c>
      <c r="Q7" s="20">
        <f>SUMPRODUCT((D5:D6&lt;&gt;"Cancelada")*(D5:D6&lt;&gt;"Cancelado")*Q5:Q6)</f>
        <v/>
      </c>
      <c r="R7" s="20">
        <f>SUMPRODUCT((D5:D6&lt;&gt;"Cancelada")*(D5:D6&lt;&gt;"Cancelado")*R5:R6)</f>
        <v/>
      </c>
      <c r="S7" s="20">
        <f>SUMPRODUCT((D5:D6&lt;&gt;"Cancelada")*(D5:D6&lt;&gt;"Cancelado")*S5:S6)</f>
        <v/>
      </c>
      <c r="T7" s="20">
        <f>SUMPRODUCT((D5:D6&lt;&gt;"Cancelada")*(D5:D6&lt;&gt;"Cancelado")*T5:T6)</f>
        <v/>
      </c>
      <c r="U7" s="19" t="n"/>
      <c r="V7" s="19" t="n"/>
      <c r="W7" s="19" t="n"/>
      <c r="X7" s="19" t="n"/>
      <c r="Y7" s="19" t="n"/>
      <c r="Z7" s="19" t="n"/>
    </row>
  </sheetData>
  <autoFilter ref="A4:Z6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2026-10-12T16:30:01Z</dcterms:created>
  <dcterms:modified xmlns:dcterms="http://purl.org/dc/terms/" xmlns:xsi="http://www.w3.org/2001/XMLSchema-instance" xsi:type="dcterms:W3CDTF">2026-10-12T16:30:01Z</dcterms:modified>
</cp:coreProperties>
</file>