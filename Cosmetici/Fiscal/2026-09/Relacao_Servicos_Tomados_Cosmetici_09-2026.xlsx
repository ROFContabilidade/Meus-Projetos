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das as notas" sheetId="1" state="visible" r:id="rId1"/>
    <sheet xmlns:r="http://schemas.openxmlformats.org/officeDocument/2006/relationships" name="Com retenção" sheetId="2" state="visible" r:id="rId2"/>
    <sheet xmlns:r="http://schemas.openxmlformats.org/officeDocument/2006/relationships" name="Sem retenção" sheetId="3" state="visible" r:id="rId3"/>
  </sheets>
  <definedNames>
    <definedName name="_xlnm._FilterDatabase" localSheetId="0" hidden="1">'Todas as notas'!$A$4:$Q$25</definedName>
    <definedName name="_xlnm._FilterDatabase" localSheetId="1" hidden="1">'Com retenção'!$A$4:$Q$6</definedName>
    <definedName name="_xlnm._FilterDatabase" localSheetId="2" hidden="1">'Sem retenção'!$A$4:$Q$23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-#,##0.00;-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69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5" fontId="4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5" fontId="4" fillId="3" borderId="1" pivotButton="0" quotePrefix="0" xfId="0"/>
    <xf numFmtId="0" fontId="4" fillId="3" borderId="1" pivotButton="0" quotePrefix="0" xfId="0"/>
    <xf numFmtId="166" fontId="4" fillId="3" borderId="1" pivotButton="0" quotePrefix="0" xfId="0"/>
    <xf numFmtId="0" fontId="5" fillId="4" borderId="0" pivotButton="0" quotePrefix="0" xfId="0"/>
    <xf numFmtId="0" fontId="0" fillId="4" borderId="0" pivotButton="0" quotePrefix="0" xfId="0"/>
    <xf numFmtId="166" fontId="5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9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38" customWidth="1" min="3" max="3"/>
    <col width="19" customWidth="1" min="4" max="4"/>
    <col width="50" customWidth="1" min="5" max="5"/>
    <col width="9" customWidth="1" min="6" max="6"/>
    <col width="13" customWidth="1" min="7" max="7"/>
    <col width="11" customWidth="1" min="8" max="8"/>
    <col width="11" customWidth="1" min="9" max="9"/>
    <col width="11" customWidth="1" min="10" max="10"/>
    <col width="12" customWidth="1" min="11" max="11"/>
    <col width="11" customWidth="1" min="12" max="12"/>
    <col width="12" customWidth="1" min="13" max="13"/>
    <col width="13" customWidth="1" min="14" max="14"/>
    <col width="22" customWidth="1" min="15" max="15"/>
    <col width="11" customWidth="1" min="16" max="16"/>
    <col width="10" customWidth="1" min="17" max="17"/>
  </cols>
  <sheetData>
    <row r="1">
      <c r="A1" s="1" t="inlineStr">
        <is>
          <t>Todas as notas</t>
        </is>
      </c>
    </row>
    <row r="2">
      <c r="A2" s="2" t="inlineStr">
        <is>
          <t>COSMETICI INDUSTRIA E COMERCIO DE COSMETICOS LTDA - serviços tomados 09/2026: todas as NFS-e, por data. Amarelo = nota com retenção. Valores exatamente como no XML.</t>
        </is>
      </c>
    </row>
    <row r="4" ht="30" customHeight="1">
      <c r="A4" s="3" t="inlineStr">
        <is>
          <t>Emissão</t>
        </is>
      </c>
      <c r="B4" s="3" t="inlineStr">
        <is>
          <t>Nº NFS-e</t>
        </is>
      </c>
      <c r="C4" s="3" t="inlineStr">
        <is>
          <t>Prestador</t>
        </is>
      </c>
      <c r="D4" s="3" t="inlineStr">
        <is>
          <t>CNPJ</t>
        </is>
      </c>
      <c r="E4" s="3" t="inlineStr">
        <is>
          <t>Serviço (resumo da descrição do XML)</t>
        </is>
      </c>
      <c r="F4" s="3" t="inlineStr">
        <is>
          <t>Simples Nacional</t>
        </is>
      </c>
      <c r="G4" s="3" t="inlineStr">
        <is>
          <t>Valor do serviço</t>
        </is>
      </c>
      <c r="H4" s="3" t="inlineStr">
        <is>
          <t>ISS da nota</t>
        </is>
      </c>
      <c r="I4" s="3" t="inlineStr">
        <is>
          <t>ISS retido</t>
        </is>
      </c>
      <c r="J4" s="3" t="inlineStr">
        <is>
          <t>IRRF retido</t>
        </is>
      </c>
      <c r="K4" s="3" t="inlineStr">
        <is>
          <t>PIS/COFINS/CSLL retidos</t>
        </is>
      </c>
      <c r="L4" s="3" t="inlineStr">
        <is>
          <t>INSS retido</t>
        </is>
      </c>
      <c r="M4" s="3" t="inlineStr">
        <is>
          <t>Total retido</t>
        </is>
      </c>
      <c r="N4" s="3" t="inlineStr">
        <is>
          <t>Líquido a pagar</t>
        </is>
      </c>
      <c r="O4" s="3" t="inlineStr">
        <is>
          <t>Retenção</t>
        </is>
      </c>
      <c r="P4" s="3" t="inlineStr">
        <is>
          <t>Acumulador</t>
        </is>
      </c>
      <c r="Q4" s="3" t="inlineStr">
        <is>
          <t>Situação</t>
        </is>
      </c>
    </row>
    <row r="5">
      <c r="A5" s="4" t="n">
        <v>46266</v>
      </c>
      <c r="B5" s="5" t="n">
        <v>1547</v>
      </c>
      <c r="C5" s="5" t="inlineStr">
        <is>
          <t>PENSU EXACTU COMERCIO E SERVICOS DE EQUIPAMENTOS METROLOGICOS LTDA</t>
        </is>
      </c>
      <c r="D5" s="5" t="inlineStr">
        <is>
          <t>07.768.652/0001-10</t>
        </is>
      </c>
      <c r="E5" s="5" t="inlineStr">
        <is>
          <t>Balanca entre 20 e 150 kg nao acreditado Calibracao por comparacao direta com Pesos Padrao (9 pontos) Balanca ate 5 k...</t>
        </is>
      </c>
      <c r="F5" s="5" t="inlineStr">
        <is>
          <t>Sim</t>
        </is>
      </c>
      <c r="G5" s="6" t="n">
        <v>612.25</v>
      </c>
      <c r="H5" s="6" t="n">
        <v>0</v>
      </c>
      <c r="I5" s="6" t="n">
        <v>0</v>
      </c>
      <c r="J5" s="6" t="n">
        <v>0</v>
      </c>
      <c r="K5" s="6" t="n">
        <v>0</v>
      </c>
      <c r="L5" s="6" t="n">
        <v>0</v>
      </c>
      <c r="M5" s="6" t="n">
        <v>0</v>
      </c>
      <c r="N5" s="6" t="n">
        <v>612.25</v>
      </c>
      <c r="O5" s="5" t="inlineStr">
        <is>
          <t>Não</t>
        </is>
      </c>
      <c r="P5" s="5" t="inlineStr">
        <is>
          <t>803</t>
        </is>
      </c>
      <c r="Q5" s="5" t="inlineStr">
        <is>
          <t>Autorizada</t>
        </is>
      </c>
    </row>
    <row r="6">
      <c r="A6" s="7" t="n">
        <v>46266</v>
      </c>
      <c r="B6" s="8" t="n">
        <v>18</v>
      </c>
      <c r="C6" s="8" t="inlineStr">
        <is>
          <t>GENESIS ALIANCA SERVICOS MEDICOS LTDA.</t>
        </is>
      </c>
      <c r="D6" s="8" t="inlineStr">
        <is>
          <t>67.742.984/0001-57</t>
        </is>
      </c>
      <c r="E6" s="8" t="inlineStr">
        <is>
          <t>SERVIÇOS DE MED. OCUPACIONAL E SEG. DO TRABALHO - PARCELA(S): 1/1 - 10/09/2026 R$ 717,22</t>
        </is>
      </c>
      <c r="F6" s="8" t="inlineStr">
        <is>
          <t>Não</t>
        </is>
      </c>
      <c r="G6" s="9" t="n">
        <v>728.14</v>
      </c>
      <c r="H6" s="9" t="n">
        <v>36.41</v>
      </c>
      <c r="I6" s="9" t="n">
        <v>0</v>
      </c>
      <c r="J6" s="9" t="n">
        <v>10.92</v>
      </c>
      <c r="K6" s="9" t="n">
        <v>0</v>
      </c>
      <c r="L6" s="9" t="n">
        <v>0</v>
      </c>
      <c r="M6" s="9" t="n">
        <v>10.92</v>
      </c>
      <c r="N6" s="9" t="n">
        <v>717.22</v>
      </c>
      <c r="O6" s="8" t="inlineStr">
        <is>
          <t>Sim - IRRF</t>
        </is>
      </c>
      <c r="P6" s="8" t="inlineStr">
        <is>
          <t>definir</t>
        </is>
      </c>
      <c r="Q6" s="8" t="inlineStr">
        <is>
          <t>Autorizada</t>
        </is>
      </c>
    </row>
    <row r="7">
      <c r="A7" s="4" t="n">
        <v>46266</v>
      </c>
      <c r="B7" s="5" t="n">
        <v>2709747</v>
      </c>
      <c r="C7" s="5" t="inlineStr">
        <is>
          <t>LIGGA SERVICOS EM TELECOM S.A.</t>
        </is>
      </c>
      <c r="D7" s="5" t="inlineStr">
        <is>
          <t>65.649.511/0001-84</t>
        </is>
      </c>
      <c r="E7" s="5" t="inlineStr">
        <is>
          <t>Servicos Tecnicos B2B - R$ 83,99 ** Periodo de Apuracao: 30/07/2026 a 29/08/2026 Vencimento: 15/09/2026 ** VALORES DO...</t>
        </is>
      </c>
      <c r="F7" s="5" t="inlineStr">
        <is>
          <t>Não</t>
        </is>
      </c>
      <c r="G7" s="6" t="n">
        <v>83.98999999999999</v>
      </c>
      <c r="H7" s="6" t="n">
        <v>4.2</v>
      </c>
      <c r="I7" s="6" t="n">
        <v>0</v>
      </c>
      <c r="J7" s="6" t="n">
        <v>0</v>
      </c>
      <c r="K7" s="6" t="n">
        <v>0</v>
      </c>
      <c r="L7" s="6" t="n">
        <v>0</v>
      </c>
      <c r="M7" s="6" t="n">
        <v>0</v>
      </c>
      <c r="N7" s="6" t="n">
        <v>83.98999999999999</v>
      </c>
      <c r="O7" s="5" t="inlineStr">
        <is>
          <t>Não</t>
        </is>
      </c>
      <c r="P7" s="5" t="inlineStr">
        <is>
          <t>819</t>
        </is>
      </c>
      <c r="Q7" s="5" t="inlineStr">
        <is>
          <t>Autorizada</t>
        </is>
      </c>
    </row>
    <row r="8">
      <c r="A8" s="4" t="n">
        <v>46266</v>
      </c>
      <c r="B8" s="5" t="n">
        <v>2709751</v>
      </c>
      <c r="C8" s="5" t="inlineStr">
        <is>
          <t>LIGGA SERVICOS EM TELECOM S.A.</t>
        </is>
      </c>
      <c r="D8" s="5" t="inlineStr">
        <is>
          <t>65.649.511/0001-84</t>
        </is>
      </c>
      <c r="E8" s="5" t="inlineStr">
        <is>
          <t>Biblioteca Virtual Ligga B2B - R$ 195,97 ** Periodo de Apuracao: 30/07/2026 a 29/08/2026 Vencimento: 15/09/2026 ** VA...</t>
        </is>
      </c>
      <c r="F8" s="5" t="inlineStr">
        <is>
          <t>Não</t>
        </is>
      </c>
      <c r="G8" s="6" t="n">
        <v>195.97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6" t="n">
        <v>0</v>
      </c>
      <c r="N8" s="6" t="n">
        <v>195.97</v>
      </c>
      <c r="O8" s="5" t="inlineStr">
        <is>
          <t>Não</t>
        </is>
      </c>
      <c r="P8" s="5" t="inlineStr">
        <is>
          <t>820</t>
        </is>
      </c>
      <c r="Q8" s="5" t="inlineStr">
        <is>
          <t>Autorizada</t>
        </is>
      </c>
    </row>
    <row r="9">
      <c r="A9" s="4" t="n">
        <v>46266</v>
      </c>
      <c r="B9" s="5" t="n">
        <v>507</v>
      </c>
      <c r="C9" s="5" t="inlineStr">
        <is>
          <t>ANDRADE ENGENHARIA LTDA.</t>
        </is>
      </c>
      <c r="D9" s="5" t="inlineStr">
        <is>
          <t>80.402.860/0001-90</t>
        </is>
      </c>
      <c r="E9" s="5" t="inlineStr">
        <is>
          <t>CONSULTORIA AMBIENTAL VCTO 05/10/2026</t>
        </is>
      </c>
      <c r="F9" s="5" t="inlineStr">
        <is>
          <t>Sim</t>
        </is>
      </c>
      <c r="G9" s="6" t="n">
        <v>1124.56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6" t="n">
        <v>1124.56</v>
      </c>
      <c r="O9" s="5" t="inlineStr">
        <is>
          <t>Não</t>
        </is>
      </c>
      <c r="P9" s="5" t="inlineStr">
        <is>
          <t>825</t>
        </is>
      </c>
      <c r="Q9" s="5" t="inlineStr">
        <is>
          <t>Autorizada</t>
        </is>
      </c>
    </row>
    <row r="10">
      <c r="A10" s="4" t="n">
        <v>46266</v>
      </c>
      <c r="B10" s="5" t="n">
        <v>817660</v>
      </c>
      <c r="C10" s="5" t="inlineStr">
        <is>
          <t>DENTAL UNI - COOPERATIVA ODONTOLOGICA</t>
        </is>
      </c>
      <c r="D10" s="5" t="inlineStr">
        <is>
          <t>78.738.101/0001-51</t>
        </is>
      </c>
      <c r="E10" s="5" t="inlineStr">
        <is>
          <t>(QUANT. 2 - VAL.UNIT. R$26.89 - MENSALIDADE DE TITULARES - TOTAL R$53.78) (QUANT. 2 - VAL.UNIT. R$26.89 - MENSALIDADE...</t>
        </is>
      </c>
      <c r="F10" s="5" t="inlineStr">
        <is>
          <t>Não</t>
        </is>
      </c>
      <c r="G10" s="6" t="n">
        <v>107.56</v>
      </c>
      <c r="H10" s="6" t="n">
        <v>0.73</v>
      </c>
      <c r="I10" s="6" t="n">
        <v>0</v>
      </c>
      <c r="J10" s="6" t="n">
        <v>0</v>
      </c>
      <c r="K10" s="6" t="n">
        <v>0</v>
      </c>
      <c r="L10" s="6" t="n">
        <v>0</v>
      </c>
      <c r="M10" s="6" t="n">
        <v>0</v>
      </c>
      <c r="N10" s="6" t="n">
        <v>107.56</v>
      </c>
      <c r="O10" s="5" t="inlineStr">
        <is>
          <t>Não</t>
        </is>
      </c>
      <c r="P10" s="5" t="inlineStr">
        <is>
          <t>824</t>
        </is>
      </c>
      <c r="Q10" s="5" t="inlineStr">
        <is>
          <t>Autorizada</t>
        </is>
      </c>
    </row>
    <row r="11">
      <c r="A11" s="4" t="n">
        <v>46266</v>
      </c>
      <c r="B11" s="5" t="n">
        <v>974</v>
      </c>
      <c r="C11" s="5" t="inlineStr">
        <is>
          <t>TIPOGRAFIA IGUACU LTDA</t>
        </is>
      </c>
      <c r="D11" s="5" t="inlineStr">
        <is>
          <t>75.114.363/0001-57</t>
        </is>
      </c>
      <c r="E11" s="5" t="inlineStr">
        <is>
          <t>1 Banner Fosco; 80x120 cm; Bastao de Madeira; Ponteira; Barbante; Lona Front 340g; 4x0 cores; Colorido Vlr.Unt 72,600...</t>
        </is>
      </c>
      <c r="F11" s="5" t="inlineStr">
        <is>
          <t>Sim</t>
        </is>
      </c>
      <c r="G11" s="6" t="n">
        <v>72.59999999999999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0</v>
      </c>
      <c r="M11" s="6" t="n">
        <v>0</v>
      </c>
      <c r="N11" s="6" t="n">
        <v>72.59999999999999</v>
      </c>
      <c r="O11" s="5" t="inlineStr">
        <is>
          <t>Não</t>
        </is>
      </c>
      <c r="P11" s="5" t="inlineStr">
        <is>
          <t>830</t>
        </is>
      </c>
      <c r="Q11" s="5" t="inlineStr">
        <is>
          <t>Autorizada</t>
        </is>
      </c>
    </row>
    <row r="12">
      <c r="A12" s="4" t="n">
        <v>46268</v>
      </c>
      <c r="B12" s="5" t="n">
        <v>469</v>
      </c>
      <c r="C12" s="5" t="inlineStr">
        <is>
          <t>OFICINA DO IMPRESSO GRAFICA E EDITORA LTDA.</t>
        </is>
      </c>
      <c r="D12" s="5" t="inlineStr">
        <is>
          <t>00.495.545/0001-16</t>
        </is>
      </c>
      <c r="E12" s="5" t="inlineStr">
        <is>
          <t>3.000 Laminas - Oleos ALL Nature. 210x297mm, 4x4 cores, Tinta Escala em Couche Brilho 115g. Saida em CTP. / 3.000 Lam...</t>
        </is>
      </c>
      <c r="F12" s="5" t="inlineStr">
        <is>
          <t>Não</t>
        </is>
      </c>
      <c r="G12" s="6" t="n">
        <v>1998</v>
      </c>
      <c r="H12" s="6" t="n">
        <v>49.95</v>
      </c>
      <c r="I12" s="6" t="n">
        <v>0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1998</v>
      </c>
      <c r="O12" s="5" t="inlineStr">
        <is>
          <t>Não</t>
        </is>
      </c>
      <c r="P12" s="5" t="inlineStr">
        <is>
          <t>830</t>
        </is>
      </c>
      <c r="Q12" s="5" t="inlineStr">
        <is>
          <t>Autorizada</t>
        </is>
      </c>
    </row>
    <row r="13">
      <c r="A13" s="4" t="n">
        <v>46268</v>
      </c>
      <c r="B13" s="5" t="n">
        <v>8798</v>
      </c>
      <c r="C13" s="5" t="inlineStr">
        <is>
          <t>DOM RICARDO HOTEL LTDA</t>
        </is>
      </c>
      <c r="D13" s="5" t="inlineStr">
        <is>
          <t>01.790.040/0001-47</t>
        </is>
      </c>
      <c r="E13" s="5" t="inlineStr">
        <is>
          <t>DIÁRIAS: 3.343,68 ISS: 167,20 RPS 419615 UH 207 (6326927), 215 (6326935), 219 (6326951) e 515 (6326943)</t>
        </is>
      </c>
      <c r="F13" s="5" t="inlineStr">
        <is>
          <t>Não</t>
        </is>
      </c>
      <c r="G13" s="6" t="n">
        <v>3510.88</v>
      </c>
      <c r="H13" s="6" t="n">
        <v>175.54</v>
      </c>
      <c r="I13" s="6" t="n">
        <v>0</v>
      </c>
      <c r="J13" s="6" t="n">
        <v>0</v>
      </c>
      <c r="K13" s="6" t="n">
        <v>0</v>
      </c>
      <c r="L13" s="6" t="n">
        <v>0</v>
      </c>
      <c r="M13" s="6" t="n">
        <v>0</v>
      </c>
      <c r="N13" s="6" t="n">
        <v>3510.88</v>
      </c>
      <c r="O13" s="5" t="inlineStr">
        <is>
          <t>Não</t>
        </is>
      </c>
      <c r="P13" s="5" t="inlineStr">
        <is>
          <t>definir</t>
        </is>
      </c>
      <c r="Q13" s="5" t="inlineStr">
        <is>
          <t>Autorizada</t>
        </is>
      </c>
    </row>
    <row r="14">
      <c r="A14" s="4" t="n">
        <v>46273</v>
      </c>
      <c r="B14" s="5" t="n">
        <v>45454</v>
      </c>
      <c r="C14" s="5" t="inlineStr">
        <is>
          <t>GL HOTEIS LTDA</t>
        </is>
      </c>
      <c r="D14" s="5" t="inlineStr">
        <is>
          <t>48.395.289/0001-11</t>
        </is>
      </c>
      <c r="E14" s="5" t="inlineStr">
        <is>
          <t>Diaria HOSPEDAGEM REFERENTE A FEIRA BEAUTY FAIR. CHECK IN 04-09-2026 CHECK OUT 08-09-2026 SENDO QUE DOIS APARTAMENTOS...</t>
        </is>
      </c>
      <c r="F14" s="5" t="inlineStr">
        <is>
          <t>Não</t>
        </is>
      </c>
      <c r="G14" s="6" t="n">
        <v>12980</v>
      </c>
      <c r="H14" s="6" t="n">
        <v>649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12980</v>
      </c>
      <c r="O14" s="5" t="inlineStr">
        <is>
          <t>Não</t>
        </is>
      </c>
      <c r="P14" s="5" t="inlineStr">
        <is>
          <t>definir</t>
        </is>
      </c>
      <c r="Q14" s="5" t="inlineStr">
        <is>
          <t>Autorizada</t>
        </is>
      </c>
    </row>
    <row r="15">
      <c r="A15" s="4" t="n">
        <v>46275</v>
      </c>
      <c r="B15" s="5" t="n">
        <v>908</v>
      </c>
      <c r="C15" s="5" t="inlineStr">
        <is>
          <t>CRM TECNOLOGIA EM SISTEMAS DE INFORMACAO LTDA</t>
        </is>
      </c>
      <c r="D15" s="5" t="inlineStr">
        <is>
          <t>24.891.333/0001-16</t>
        </is>
      </c>
      <c r="E15" s="5" t="inlineStr">
        <is>
          <t>Referente a Manutenção CosmosERP.</t>
        </is>
      </c>
      <c r="F15" s="5" t="inlineStr">
        <is>
          <t>Sim</t>
        </is>
      </c>
      <c r="G15" s="6" t="n">
        <v>2859.58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2859.58</v>
      </c>
      <c r="O15" s="5" t="inlineStr">
        <is>
          <t>Não</t>
        </is>
      </c>
      <c r="P15" s="5" t="inlineStr">
        <is>
          <t>811</t>
        </is>
      </c>
      <c r="Q15" s="5" t="inlineStr">
        <is>
          <t>Autorizada</t>
        </is>
      </c>
    </row>
    <row r="16">
      <c r="A16" s="4" t="n">
        <v>46276</v>
      </c>
      <c r="B16" s="5" t="n">
        <v>5588821</v>
      </c>
      <c r="C16" s="5" t="inlineStr">
        <is>
          <t>FLASH TECNOLOGIA E  INSTITUICAO DE PAGAMENTO LTDA</t>
        </is>
      </c>
      <c r="D16" s="5" t="inlineStr">
        <is>
          <t>32.223.020/0001-18</t>
        </is>
      </c>
      <c r="E16" s="5" t="inlineStr">
        <is>
          <t>Valor Total - R$ 6.105,00 Compra de Créditos na Plataforma Flash - R$ 6.105,00 Valor total de serviços Flash - R$ 0,0...</t>
        </is>
      </c>
      <c r="F16" s="5" t="inlineStr">
        <is>
          <t>Não</t>
        </is>
      </c>
      <c r="G16" s="6" t="n">
        <v>6105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6" t="n">
        <v>0</v>
      </c>
      <c r="N16" s="6" t="n">
        <v>6105</v>
      </c>
      <c r="O16" s="5" t="inlineStr">
        <is>
          <t>Não</t>
        </is>
      </c>
      <c r="P16" s="5" t="inlineStr">
        <is>
          <t>816</t>
        </is>
      </c>
      <c r="Q16" s="5" t="inlineStr">
        <is>
          <t>Autorizada (cStat 102)</t>
        </is>
      </c>
    </row>
    <row r="17">
      <c r="A17" s="4" t="n">
        <v>46281</v>
      </c>
      <c r="B17" s="5" t="n">
        <v>10</v>
      </c>
      <c r="C17" s="5" t="inlineStr">
        <is>
          <t>BIOACTIVE - BIOTECNOLOGIA E DESENVOLVIMENTO DE COSMETICOS LTDA</t>
        </is>
      </c>
      <c r="D17" s="5" t="inlineStr">
        <is>
          <t>59.684.382/0001-62</t>
        </is>
      </c>
      <c r="E17" s="5" t="inlineStr">
        <is>
          <t>Serviços prestados</t>
        </is>
      </c>
      <c r="F17" s="5" t="inlineStr">
        <is>
          <t>Sim</t>
        </is>
      </c>
      <c r="G17" s="6" t="n">
        <v>1000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0</v>
      </c>
      <c r="M17" s="6" t="n">
        <v>0</v>
      </c>
      <c r="N17" s="6" t="n">
        <v>1000</v>
      </c>
      <c r="O17" s="5" t="inlineStr">
        <is>
          <t>Não</t>
        </is>
      </c>
      <c r="P17" s="5" t="inlineStr">
        <is>
          <t>810</t>
        </is>
      </c>
      <c r="Q17" s="5" t="inlineStr">
        <is>
          <t>Autorizada</t>
        </is>
      </c>
    </row>
    <row r="18">
      <c r="A18" s="4" t="n">
        <v>46281</v>
      </c>
      <c r="B18" s="5" t="n">
        <v>11</v>
      </c>
      <c r="C18" s="5" t="inlineStr">
        <is>
          <t>BIOACTIVE - BIOTECNOLOGIA E DESENVOLVIMENTO DE COSMETICOS LTDA</t>
        </is>
      </c>
      <c r="D18" s="5" t="inlineStr">
        <is>
          <t>59.684.382/0001-62</t>
        </is>
      </c>
      <c r="E18" s="5" t="inlineStr">
        <is>
          <t>Serviços prestados</t>
        </is>
      </c>
      <c r="F18" s="5" t="inlineStr">
        <is>
          <t>Sim</t>
        </is>
      </c>
      <c r="G18" s="6" t="n">
        <v>7456.04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6" t="n">
        <v>0</v>
      </c>
      <c r="N18" s="6" t="n">
        <v>7456.04</v>
      </c>
      <c r="O18" s="5" t="inlineStr">
        <is>
          <t>Não</t>
        </is>
      </c>
      <c r="P18" s="5" t="inlineStr">
        <is>
          <t>810</t>
        </is>
      </c>
      <c r="Q18" s="5" t="inlineStr">
        <is>
          <t>Autorizada</t>
        </is>
      </c>
    </row>
    <row r="19">
      <c r="A19" s="4" t="n">
        <v>46281</v>
      </c>
      <c r="B19" s="5" t="n">
        <v>9530</v>
      </c>
      <c r="C19" s="5" t="inlineStr">
        <is>
          <t>INSETCONTROL CONTROLE DE PRAGAS LTDA</t>
        </is>
      </c>
      <c r="D19" s="5" t="inlineStr">
        <is>
          <t>14.309.879/0001-62</t>
        </is>
      </c>
      <c r="E19" s="5" t="inlineStr">
        <is>
          <t>PREST SERV DESIN DESRAT REF SETEMBRO26</t>
        </is>
      </c>
      <c r="F19" s="5" t="inlineStr">
        <is>
          <t>Sim</t>
        </is>
      </c>
      <c r="G19" s="6" t="n">
        <v>730</v>
      </c>
      <c r="H19" s="6" t="n">
        <v>36.5</v>
      </c>
      <c r="I19" s="6" t="n">
        <v>0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730</v>
      </c>
      <c r="O19" s="5" t="inlineStr">
        <is>
          <t>Não</t>
        </is>
      </c>
      <c r="P19" s="5" t="inlineStr">
        <is>
          <t>826</t>
        </is>
      </c>
      <c r="Q19" s="5" t="inlineStr">
        <is>
          <t>Autorizada</t>
        </is>
      </c>
    </row>
    <row r="20">
      <c r="A20" s="4" t="n">
        <v>46282</v>
      </c>
      <c r="B20" s="5" t="n">
        <v>72</v>
      </c>
      <c r="C20" s="5" t="inlineStr">
        <is>
          <t>SAVATEC COMERCIO E SERVIÇOS LTDA</t>
        </is>
      </c>
      <c r="D20" s="5" t="inlineStr">
        <is>
          <t>59.087.034/0001-08</t>
        </is>
      </c>
      <c r="E20" s="5" t="inlineStr">
        <is>
          <t>MANUTENCAO EM EQUIPAMENTO INKJET+ 03 HORAS TECNICAS(R$ 1.440,00)+ DESLOCAMENTO(R$ 100,00) R$ 1.540,00-- DESCONTO POR ...</t>
        </is>
      </c>
      <c r="F20" s="5" t="inlineStr">
        <is>
          <t>Sim</t>
        </is>
      </c>
      <c r="G20" s="6" t="n">
        <v>1090</v>
      </c>
      <c r="H20" s="6" t="n">
        <v>21.91</v>
      </c>
      <c r="I20" s="6" t="n">
        <v>0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1090</v>
      </c>
      <c r="O20" s="5" t="inlineStr">
        <is>
          <t>Não</t>
        </is>
      </c>
      <c r="P20" s="5" t="inlineStr">
        <is>
          <t>definir</t>
        </is>
      </c>
      <c r="Q20" s="5" t="inlineStr">
        <is>
          <t>Autorizada</t>
        </is>
      </c>
    </row>
    <row r="21">
      <c r="A21" s="4" t="n">
        <v>46285</v>
      </c>
      <c r="B21" s="5" t="n">
        <v>173228</v>
      </c>
      <c r="C21" s="5" t="inlineStr">
        <is>
          <t>TECNOPONTO TECNOLOGIA AVANCADA EM CONTROLE DE PONTO E ACESSO LTDA</t>
        </is>
      </c>
      <c r="D21" s="5" t="inlineStr">
        <is>
          <t>77.800.407/0001-28</t>
        </is>
      </c>
      <c r="E21" s="5" t="inlineStr">
        <is>
          <t>1 - SOFTWARE TECNOPONTO PLUS PARA 20 FUNCIONARIOS 1 - SUPORTE TECNICO PARA SOFTWARE Nao sujeita a retencao da Fonte d...</t>
        </is>
      </c>
      <c r="F21" s="5" t="inlineStr">
        <is>
          <t>Não</t>
        </is>
      </c>
      <c r="G21" s="6" t="n">
        <v>74.90000000000001</v>
      </c>
      <c r="H21" s="6" t="n">
        <v>1.5</v>
      </c>
      <c r="I21" s="6" t="n">
        <v>0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74.90000000000001</v>
      </c>
      <c r="O21" s="5" t="inlineStr">
        <is>
          <t>Não</t>
        </is>
      </c>
      <c r="P21" s="5" t="inlineStr">
        <is>
          <t>823</t>
        </is>
      </c>
      <c r="Q21" s="5" t="inlineStr">
        <is>
          <t>Autorizada</t>
        </is>
      </c>
    </row>
    <row r="22">
      <c r="A22" s="4" t="n">
        <v>46287</v>
      </c>
      <c r="B22" s="5" t="n">
        <v>243079</v>
      </c>
      <c r="C22" s="5" t="inlineStr">
        <is>
          <t>NEXTAR TECNOLOGIA DE SOFTWARE LTDA</t>
        </is>
      </c>
      <c r="D22" s="5" t="inlineStr">
        <is>
          <t>04.580.911/0001-96</t>
        </is>
      </c>
      <c r="E22" s="5" t="inlineStr">
        <is>
          <t>Assinatura Nex e Suporte Técnico - Serviço referente a SET / 2026</t>
        </is>
      </c>
      <c r="F22" s="5" t="inlineStr">
        <is>
          <t>Não</t>
        </is>
      </c>
      <c r="G22" s="6" t="n">
        <v>119</v>
      </c>
      <c r="H22" s="6" t="n">
        <v>2.38</v>
      </c>
      <c r="I22" s="6" t="n">
        <v>0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119</v>
      </c>
      <c r="O22" s="5" t="inlineStr">
        <is>
          <t>Não</t>
        </is>
      </c>
      <c r="P22" s="5" t="inlineStr">
        <is>
          <t>818</t>
        </is>
      </c>
      <c r="Q22" s="5" t="inlineStr">
        <is>
          <t>Autorizada</t>
        </is>
      </c>
    </row>
    <row r="23">
      <c r="A23" s="4" t="n">
        <v>46287</v>
      </c>
      <c r="B23" s="5" t="n">
        <v>9227</v>
      </c>
      <c r="C23" s="5" t="inlineStr">
        <is>
          <t>PLUS SANTE EMERGENCIAS MEDICAS S.A.</t>
        </is>
      </c>
      <c r="D23" s="5" t="inlineStr">
        <is>
          <t>04.523.560/0001-81</t>
        </is>
      </c>
      <c r="E23" s="5" t="inlineStr">
        <is>
          <t>UNIDADE DE ATENDIMENTO ASSISTENCIA OU TRATAMENTO MOVEL</t>
        </is>
      </c>
      <c r="F23" s="5" t="inlineStr">
        <is>
          <t>Não</t>
        </is>
      </c>
      <c r="G23" s="6" t="n">
        <v>342.3</v>
      </c>
      <c r="H23" s="6" t="n">
        <v>17.12</v>
      </c>
      <c r="I23" s="6" t="n">
        <v>0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342.3</v>
      </c>
      <c r="O23" s="5" t="inlineStr">
        <is>
          <t>Não</t>
        </is>
      </c>
      <c r="P23" s="5" t="inlineStr">
        <is>
          <t>821</t>
        </is>
      </c>
      <c r="Q23" s="5" t="inlineStr">
        <is>
          <t>Autorizada</t>
        </is>
      </c>
    </row>
    <row r="24">
      <c r="A24" s="7" t="n">
        <v>46290</v>
      </c>
      <c r="B24" s="8" t="n">
        <v>43</v>
      </c>
      <c r="C24" s="8" t="inlineStr">
        <is>
          <t>EXTRALAB BRASIL - COMERCIO E MANUTENCAO DE EQUIPAMENTOS PARA LABORATORIO LTDA</t>
        </is>
      </c>
      <c r="D24" s="8" t="inlineStr">
        <is>
          <t>04.665.405/0001-08</t>
        </is>
      </c>
      <c r="E24" s="8" t="inlineStr">
        <is>
          <t>SERVIÇO DE CALIBRAÇÃO PIS RETIDO 0,65% R$ 11,93 COFINS RETIIDO 3% R$ 55,07 CSLL RETIDO 1% R$ 18,36</t>
        </is>
      </c>
      <c r="F24" s="8" t="inlineStr">
        <is>
          <t>Não</t>
        </is>
      </c>
      <c r="G24" s="9" t="n">
        <v>1835.5</v>
      </c>
      <c r="H24" s="9" t="n">
        <v>36.71</v>
      </c>
      <c r="I24" s="9" t="n">
        <v>0</v>
      </c>
      <c r="J24" s="9" t="n">
        <v>0</v>
      </c>
      <c r="K24" s="9" t="n">
        <v>85.34999999999999</v>
      </c>
      <c r="L24" s="9" t="n">
        <v>0</v>
      </c>
      <c r="M24" s="9" t="n">
        <v>85.34999999999999</v>
      </c>
      <c r="N24" s="9" t="n">
        <v>1750.15</v>
      </c>
      <c r="O24" s="8" t="inlineStr">
        <is>
          <t>Sim - PIS/COFINS/CSLL</t>
        </is>
      </c>
      <c r="P24" s="8" t="inlineStr">
        <is>
          <t>definir</t>
        </is>
      </c>
      <c r="Q24" s="8" t="inlineStr">
        <is>
          <t>Autorizada</t>
        </is>
      </c>
    </row>
    <row r="25">
      <c r="A25" s="4" t="n">
        <v>46290</v>
      </c>
      <c r="B25" s="5" t="n">
        <v>5661351</v>
      </c>
      <c r="C25" s="5" t="inlineStr">
        <is>
          <t>FLASH TECNOLOGIA E  INSTITUICAO DE PAGAMENTO LTDA</t>
        </is>
      </c>
      <c r="D25" s="5" t="inlineStr">
        <is>
          <t>32.223.020/0001-18</t>
        </is>
      </c>
      <c r="E25" s="5" t="inlineStr">
        <is>
          <t>Valor Total - R$ 4.142,00 Compra de Créditos na Plataforma Flash - R$ 4.142,00 Valor total de serviços Flash - R$ 0,0...</t>
        </is>
      </c>
      <c r="F25" s="5" t="inlineStr">
        <is>
          <t>Não</t>
        </is>
      </c>
      <c r="G25" s="6" t="n">
        <v>4142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4142</v>
      </c>
      <c r="O25" s="5" t="inlineStr">
        <is>
          <t>Não</t>
        </is>
      </c>
      <c r="P25" s="5" t="inlineStr">
        <is>
          <t>816</t>
        </is>
      </c>
      <c r="Q25" s="5" t="inlineStr">
        <is>
          <t>Autorizada (cStat 102)</t>
        </is>
      </c>
    </row>
    <row r="26">
      <c r="A26" s="10" t="inlineStr">
        <is>
          <t>Total (sem canceladas)</t>
        </is>
      </c>
      <c r="B26" s="11" t="n"/>
      <c r="C26" s="10">
        <f>COUNTA(C5:C25)&amp;" docs"</f>
        <v/>
      </c>
      <c r="D26" s="11" t="n"/>
      <c r="E26" s="11" t="n"/>
      <c r="F26" s="11" t="n"/>
      <c r="G26" s="12">
        <f>SUMPRODUCT((Q5:Q25&lt;&gt;"Cancelada")*(Q5:Q25&lt;&gt;"Cancelado")*G5:G25)</f>
        <v/>
      </c>
      <c r="H26" s="12">
        <f>SUMPRODUCT((Q5:Q25&lt;&gt;"Cancelada")*(Q5:Q25&lt;&gt;"Cancelado")*H5:H25)</f>
        <v/>
      </c>
      <c r="I26" s="12">
        <f>SUMPRODUCT((Q5:Q25&lt;&gt;"Cancelada")*(Q5:Q25&lt;&gt;"Cancelado")*I5:I25)</f>
        <v/>
      </c>
      <c r="J26" s="12">
        <f>SUMPRODUCT((Q5:Q25&lt;&gt;"Cancelada")*(Q5:Q25&lt;&gt;"Cancelado")*J5:J25)</f>
        <v/>
      </c>
      <c r="K26" s="12">
        <f>SUMPRODUCT((Q5:Q25&lt;&gt;"Cancelada")*(Q5:Q25&lt;&gt;"Cancelado")*K5:K25)</f>
        <v/>
      </c>
      <c r="L26" s="12">
        <f>SUMPRODUCT((Q5:Q25&lt;&gt;"Cancelada")*(Q5:Q25&lt;&gt;"Cancelado")*L5:L25)</f>
        <v/>
      </c>
      <c r="M26" s="12">
        <f>SUMPRODUCT((Q5:Q25&lt;&gt;"Cancelada")*(Q5:Q25&lt;&gt;"Cancelado")*M5:M25)</f>
        <v/>
      </c>
      <c r="N26" s="12">
        <f>SUMPRODUCT((Q5:Q25&lt;&gt;"Cancelada")*(Q5:Q25&lt;&gt;"Cancelado")*N5:N25)</f>
        <v/>
      </c>
      <c r="O26" s="11" t="n"/>
      <c r="P26" s="11" t="n"/>
      <c r="Q26" s="11" t="n"/>
    </row>
    <row r="28">
      <c r="A28" s="13" t="inlineStr">
        <is>
          <t>Notas com retenção</t>
        </is>
      </c>
      <c r="D28" s="13">
        <f>COUNTIF(O5:O25,"Sim*")</f>
        <v/>
      </c>
    </row>
    <row r="29">
      <c r="A29" s="13" t="inlineStr">
        <is>
          <t>Notas sem retenção</t>
        </is>
      </c>
      <c r="D29" s="13">
        <f>COUNTIF(O5:O25,"Não")</f>
        <v/>
      </c>
    </row>
  </sheetData>
  <autoFilter ref="A4:Q25"/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2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38" customWidth="1" min="3" max="3"/>
    <col width="19" customWidth="1" min="4" max="4"/>
    <col width="50" customWidth="1" min="5" max="5"/>
    <col width="9" customWidth="1" min="6" max="6"/>
    <col width="13" customWidth="1" min="7" max="7"/>
    <col width="11" customWidth="1" min="8" max="8"/>
    <col width="11" customWidth="1" min="9" max="9"/>
    <col width="11" customWidth="1" min="10" max="10"/>
    <col width="12" customWidth="1" min="11" max="11"/>
    <col width="11" customWidth="1" min="12" max="12"/>
    <col width="12" customWidth="1" min="13" max="13"/>
    <col width="13" customWidth="1" min="14" max="14"/>
    <col width="22" customWidth="1" min="15" max="15"/>
    <col width="11" customWidth="1" min="16" max="16"/>
    <col width="10" customWidth="1" min="17" max="17"/>
  </cols>
  <sheetData>
    <row r="1">
      <c r="A1" s="1" t="inlineStr">
        <is>
          <t>Com retenção</t>
        </is>
      </c>
    </row>
    <row r="2">
      <c r="A2" s="2" t="inlineStr">
        <is>
          <t>NFS-e com retenção - 09/2026. A Cosmetici recolhe o valor retido e paga ao prestador o líquido.</t>
        </is>
      </c>
    </row>
    <row r="4" ht="30" customHeight="1">
      <c r="A4" s="3" t="inlineStr">
        <is>
          <t>Emissão</t>
        </is>
      </c>
      <c r="B4" s="3" t="inlineStr">
        <is>
          <t>Nº NFS-e</t>
        </is>
      </c>
      <c r="C4" s="3" t="inlineStr">
        <is>
          <t>Prestador</t>
        </is>
      </c>
      <c r="D4" s="3" t="inlineStr">
        <is>
          <t>CNPJ</t>
        </is>
      </c>
      <c r="E4" s="3" t="inlineStr">
        <is>
          <t>Serviço (resumo da descrição do XML)</t>
        </is>
      </c>
      <c r="F4" s="3" t="inlineStr">
        <is>
          <t>Simples Nacional</t>
        </is>
      </c>
      <c r="G4" s="3" t="inlineStr">
        <is>
          <t>Valor do serviço</t>
        </is>
      </c>
      <c r="H4" s="3" t="inlineStr">
        <is>
          <t>ISS da nota</t>
        </is>
      </c>
      <c r="I4" s="3" t="inlineStr">
        <is>
          <t>ISS retido</t>
        </is>
      </c>
      <c r="J4" s="3" t="inlineStr">
        <is>
          <t>IRRF retido</t>
        </is>
      </c>
      <c r="K4" s="3" t="inlineStr">
        <is>
          <t>PIS/COFINS/CSLL retidos</t>
        </is>
      </c>
      <c r="L4" s="3" t="inlineStr">
        <is>
          <t>INSS retido</t>
        </is>
      </c>
      <c r="M4" s="3" t="inlineStr">
        <is>
          <t>Total retido</t>
        </is>
      </c>
      <c r="N4" s="3" t="inlineStr">
        <is>
          <t>Líquido a pagar</t>
        </is>
      </c>
      <c r="O4" s="3" t="inlineStr">
        <is>
          <t>Retenção</t>
        </is>
      </c>
      <c r="P4" s="3" t="inlineStr">
        <is>
          <t>Acumulador</t>
        </is>
      </c>
      <c r="Q4" s="3" t="inlineStr">
        <is>
          <t>Situação</t>
        </is>
      </c>
    </row>
    <row r="5">
      <c r="A5" s="7" t="n">
        <v>46266</v>
      </c>
      <c r="B5" s="8" t="n">
        <v>18</v>
      </c>
      <c r="C5" s="8" t="inlineStr">
        <is>
          <t>GENESIS ALIANCA SERVICOS MEDICOS LTDA.</t>
        </is>
      </c>
      <c r="D5" s="8" t="inlineStr">
        <is>
          <t>67.742.984/0001-57</t>
        </is>
      </c>
      <c r="E5" s="8" t="inlineStr">
        <is>
          <t>SERVIÇOS DE MED. OCUPACIONAL E SEG. DO TRABALHO - PARCELA(S): 1/1 - 10/09/2026 R$ 717,22</t>
        </is>
      </c>
      <c r="F5" s="8" t="inlineStr">
        <is>
          <t>Não</t>
        </is>
      </c>
      <c r="G5" s="9" t="n">
        <v>728.14</v>
      </c>
      <c r="H5" s="9" t="n">
        <v>36.41</v>
      </c>
      <c r="I5" s="9" t="n">
        <v>0</v>
      </c>
      <c r="J5" s="9" t="n">
        <v>10.92</v>
      </c>
      <c r="K5" s="9" t="n">
        <v>0</v>
      </c>
      <c r="L5" s="9" t="n">
        <v>0</v>
      </c>
      <c r="M5" s="9" t="n">
        <v>10.92</v>
      </c>
      <c r="N5" s="9" t="n">
        <v>717.22</v>
      </c>
      <c r="O5" s="8" t="inlineStr">
        <is>
          <t>Sim - IRRF</t>
        </is>
      </c>
      <c r="P5" s="8" t="inlineStr">
        <is>
          <t>definir</t>
        </is>
      </c>
      <c r="Q5" s="8" t="inlineStr">
        <is>
          <t>Autorizada</t>
        </is>
      </c>
    </row>
    <row r="6">
      <c r="A6" s="7" t="n">
        <v>46290</v>
      </c>
      <c r="B6" s="8" t="n">
        <v>43</v>
      </c>
      <c r="C6" s="8" t="inlineStr">
        <is>
          <t>EXTRALAB BRASIL - COMERCIO E MANUTENCAO DE EQUIPAMENTOS PARA LABORATORIO LTDA</t>
        </is>
      </c>
      <c r="D6" s="8" t="inlineStr">
        <is>
          <t>04.665.405/0001-08</t>
        </is>
      </c>
      <c r="E6" s="8" t="inlineStr">
        <is>
          <t>SERVIÇO DE CALIBRAÇÃO PIS RETIDO 0,65% R$ 11,93 COFINS RETIIDO 3% R$ 55,07 CSLL RETIDO 1% R$ 18,36</t>
        </is>
      </c>
      <c r="F6" s="8" t="inlineStr">
        <is>
          <t>Não</t>
        </is>
      </c>
      <c r="G6" s="9" t="n">
        <v>1835.5</v>
      </c>
      <c r="H6" s="9" t="n">
        <v>36.71</v>
      </c>
      <c r="I6" s="9" t="n">
        <v>0</v>
      </c>
      <c r="J6" s="9" t="n">
        <v>0</v>
      </c>
      <c r="K6" s="9" t="n">
        <v>85.34999999999999</v>
      </c>
      <c r="L6" s="9" t="n">
        <v>0</v>
      </c>
      <c r="M6" s="9" t="n">
        <v>85.34999999999999</v>
      </c>
      <c r="N6" s="9" t="n">
        <v>1750.15</v>
      </c>
      <c r="O6" s="8" t="inlineStr">
        <is>
          <t>Sim - PIS/COFINS/CSLL</t>
        </is>
      </c>
      <c r="P6" s="8" t="inlineStr">
        <is>
          <t>definir</t>
        </is>
      </c>
      <c r="Q6" s="8" t="inlineStr">
        <is>
          <t>Autorizada</t>
        </is>
      </c>
    </row>
    <row r="7">
      <c r="A7" s="10" t="inlineStr">
        <is>
          <t>Total (sem canceladas)</t>
        </is>
      </c>
      <c r="B7" s="11" t="n"/>
      <c r="C7" s="10">
        <f>COUNTA(C5:C6)&amp;" docs"</f>
        <v/>
      </c>
      <c r="D7" s="11" t="n"/>
      <c r="E7" s="11" t="n"/>
      <c r="F7" s="11" t="n"/>
      <c r="G7" s="12">
        <f>SUMPRODUCT((Q5:Q6&lt;&gt;"Cancelada")*(Q5:Q6&lt;&gt;"Cancelado")*G5:G6)</f>
        <v/>
      </c>
      <c r="H7" s="12">
        <f>SUMPRODUCT((Q5:Q6&lt;&gt;"Cancelada")*(Q5:Q6&lt;&gt;"Cancelado")*H5:H6)</f>
        <v/>
      </c>
      <c r="I7" s="12">
        <f>SUMPRODUCT((Q5:Q6&lt;&gt;"Cancelada")*(Q5:Q6&lt;&gt;"Cancelado")*I5:I6)</f>
        <v/>
      </c>
      <c r="J7" s="12">
        <f>SUMPRODUCT((Q5:Q6&lt;&gt;"Cancelada")*(Q5:Q6&lt;&gt;"Cancelado")*J5:J6)</f>
        <v/>
      </c>
      <c r="K7" s="12">
        <f>SUMPRODUCT((Q5:Q6&lt;&gt;"Cancelada")*(Q5:Q6&lt;&gt;"Cancelado")*K5:K6)</f>
        <v/>
      </c>
      <c r="L7" s="12">
        <f>SUMPRODUCT((Q5:Q6&lt;&gt;"Cancelada")*(Q5:Q6&lt;&gt;"Cancelado")*L5:L6)</f>
        <v/>
      </c>
      <c r="M7" s="12">
        <f>SUMPRODUCT((Q5:Q6&lt;&gt;"Cancelada")*(Q5:Q6&lt;&gt;"Cancelado")*M5:M6)</f>
        <v/>
      </c>
      <c r="N7" s="12">
        <f>SUMPRODUCT((Q5:Q6&lt;&gt;"Cancelada")*(Q5:Q6&lt;&gt;"Cancelado")*N5:N6)</f>
        <v/>
      </c>
      <c r="O7" s="11" t="n"/>
      <c r="P7" s="11" t="n"/>
      <c r="Q7" s="11" t="n"/>
    </row>
    <row r="9">
      <c r="A9" s="13" t="inlineStr">
        <is>
          <t>ISS retido: guia do ISS retido do município</t>
        </is>
      </c>
      <c r="D9" s="13">
        <f>SUM(I5:I6)</f>
        <v/>
      </c>
    </row>
    <row r="10">
      <c r="A10" s="13" t="inlineStr">
        <is>
          <t>IRRF: DARF 1708 - até o dia 20 do mês seguinte</t>
        </is>
      </c>
      <c r="D10" s="13">
        <f>SUM(J5:J6)</f>
        <v/>
      </c>
    </row>
    <row r="11">
      <c r="A11" s="13" t="inlineStr">
        <is>
          <t>PIS/COFINS/CSLL: DARF 5952 - até o dia 20 do mês seguinte</t>
        </is>
      </c>
      <c r="D11" s="13">
        <f>SUM(K5:K6)</f>
        <v/>
      </c>
    </row>
    <row r="12">
      <c r="A12" s="13" t="inlineStr">
        <is>
          <t>INSS: DCTFWeb - até o dia 20</t>
        </is>
      </c>
      <c r="D12" s="13">
        <f>SUM(L5:L6)</f>
        <v/>
      </c>
    </row>
  </sheetData>
  <autoFilter ref="A4:Q6"/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4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38" customWidth="1" min="3" max="3"/>
    <col width="19" customWidth="1" min="4" max="4"/>
    <col width="50" customWidth="1" min="5" max="5"/>
    <col width="9" customWidth="1" min="6" max="6"/>
    <col width="13" customWidth="1" min="7" max="7"/>
    <col width="11" customWidth="1" min="8" max="8"/>
    <col width="11" customWidth="1" min="9" max="9"/>
    <col width="11" customWidth="1" min="10" max="10"/>
    <col width="12" customWidth="1" min="11" max="11"/>
    <col width="11" customWidth="1" min="12" max="12"/>
    <col width="12" customWidth="1" min="13" max="13"/>
    <col width="13" customWidth="1" min="14" max="14"/>
    <col width="22" customWidth="1" min="15" max="15"/>
    <col width="11" customWidth="1" min="16" max="16"/>
    <col width="10" customWidth="1" min="17" max="17"/>
  </cols>
  <sheetData>
    <row r="1">
      <c r="A1" s="1" t="inlineStr">
        <is>
          <t>Sem retenção</t>
        </is>
      </c>
    </row>
    <row r="2">
      <c r="A2" s="2" t="inlineStr">
        <is>
          <t>NFS-e sem retenção - 09/2026. O valor integral é pago ao prestador.</t>
        </is>
      </c>
    </row>
    <row r="4" ht="30" customHeight="1">
      <c r="A4" s="3" t="inlineStr">
        <is>
          <t>Emissão</t>
        </is>
      </c>
      <c r="B4" s="3" t="inlineStr">
        <is>
          <t>Nº NFS-e</t>
        </is>
      </c>
      <c r="C4" s="3" t="inlineStr">
        <is>
          <t>Prestador</t>
        </is>
      </c>
      <c r="D4" s="3" t="inlineStr">
        <is>
          <t>CNPJ</t>
        </is>
      </c>
      <c r="E4" s="3" t="inlineStr">
        <is>
          <t>Serviço (resumo da descrição do XML)</t>
        </is>
      </c>
      <c r="F4" s="3" t="inlineStr">
        <is>
          <t>Simples Nacional</t>
        </is>
      </c>
      <c r="G4" s="3" t="inlineStr">
        <is>
          <t>Valor do serviço</t>
        </is>
      </c>
      <c r="H4" s="3" t="inlineStr">
        <is>
          <t>ISS da nota</t>
        </is>
      </c>
      <c r="I4" s="3" t="inlineStr">
        <is>
          <t>ISS retido</t>
        </is>
      </c>
      <c r="J4" s="3" t="inlineStr">
        <is>
          <t>IRRF retido</t>
        </is>
      </c>
      <c r="K4" s="3" t="inlineStr">
        <is>
          <t>PIS/COFINS/CSLL retidos</t>
        </is>
      </c>
      <c r="L4" s="3" t="inlineStr">
        <is>
          <t>INSS retido</t>
        </is>
      </c>
      <c r="M4" s="3" t="inlineStr">
        <is>
          <t>Total retido</t>
        </is>
      </c>
      <c r="N4" s="3" t="inlineStr">
        <is>
          <t>Líquido a pagar</t>
        </is>
      </c>
      <c r="O4" s="3" t="inlineStr">
        <is>
          <t>Retenção</t>
        </is>
      </c>
      <c r="P4" s="3" t="inlineStr">
        <is>
          <t>Acumulador</t>
        </is>
      </c>
      <c r="Q4" s="3" t="inlineStr">
        <is>
          <t>Situação</t>
        </is>
      </c>
    </row>
    <row r="5">
      <c r="A5" s="4" t="n">
        <v>46266</v>
      </c>
      <c r="B5" s="5" t="n">
        <v>1547</v>
      </c>
      <c r="C5" s="5" t="inlineStr">
        <is>
          <t>PENSU EXACTU COMERCIO E SERVICOS DE EQUIPAMENTOS METROLOGICOS LTDA</t>
        </is>
      </c>
      <c r="D5" s="5" t="inlineStr">
        <is>
          <t>07.768.652/0001-10</t>
        </is>
      </c>
      <c r="E5" s="5" t="inlineStr">
        <is>
          <t>Balanca entre 20 e 150 kg nao acreditado Calibracao por comparacao direta com Pesos Padrao (9 pontos) Balanca ate 5 k...</t>
        </is>
      </c>
      <c r="F5" s="5" t="inlineStr">
        <is>
          <t>Sim</t>
        </is>
      </c>
      <c r="G5" s="6" t="n">
        <v>612.25</v>
      </c>
      <c r="H5" s="6" t="n">
        <v>0</v>
      </c>
      <c r="I5" s="6" t="n">
        <v>0</v>
      </c>
      <c r="J5" s="6" t="n">
        <v>0</v>
      </c>
      <c r="K5" s="6" t="n">
        <v>0</v>
      </c>
      <c r="L5" s="6" t="n">
        <v>0</v>
      </c>
      <c r="M5" s="6" t="n">
        <v>0</v>
      </c>
      <c r="N5" s="6" t="n">
        <v>612.25</v>
      </c>
      <c r="O5" s="5" t="inlineStr">
        <is>
          <t>Não</t>
        </is>
      </c>
      <c r="P5" s="5" t="inlineStr">
        <is>
          <t>803</t>
        </is>
      </c>
      <c r="Q5" s="5" t="inlineStr">
        <is>
          <t>Autorizada</t>
        </is>
      </c>
    </row>
    <row r="6">
      <c r="A6" s="4" t="n">
        <v>46266</v>
      </c>
      <c r="B6" s="5" t="n">
        <v>2709747</v>
      </c>
      <c r="C6" s="5" t="inlineStr">
        <is>
          <t>LIGGA SERVICOS EM TELECOM S.A.</t>
        </is>
      </c>
      <c r="D6" s="5" t="inlineStr">
        <is>
          <t>65.649.511/0001-84</t>
        </is>
      </c>
      <c r="E6" s="5" t="inlineStr">
        <is>
          <t>Servicos Tecnicos B2B - R$ 83,99 ** Periodo de Apuracao: 30/07/2026 a 29/08/2026 Vencimento: 15/09/2026 ** VALORES DO...</t>
        </is>
      </c>
      <c r="F6" s="5" t="inlineStr">
        <is>
          <t>Não</t>
        </is>
      </c>
      <c r="G6" s="6" t="n">
        <v>83.98999999999999</v>
      </c>
      <c r="H6" s="6" t="n">
        <v>4.2</v>
      </c>
      <c r="I6" s="6" t="n">
        <v>0</v>
      </c>
      <c r="J6" s="6" t="n">
        <v>0</v>
      </c>
      <c r="K6" s="6" t="n">
        <v>0</v>
      </c>
      <c r="L6" s="6" t="n">
        <v>0</v>
      </c>
      <c r="M6" s="6" t="n">
        <v>0</v>
      </c>
      <c r="N6" s="6" t="n">
        <v>83.98999999999999</v>
      </c>
      <c r="O6" s="5" t="inlineStr">
        <is>
          <t>Não</t>
        </is>
      </c>
      <c r="P6" s="5" t="inlineStr">
        <is>
          <t>819</t>
        </is>
      </c>
      <c r="Q6" s="5" t="inlineStr">
        <is>
          <t>Autorizada</t>
        </is>
      </c>
    </row>
    <row r="7">
      <c r="A7" s="4" t="n">
        <v>46266</v>
      </c>
      <c r="B7" s="5" t="n">
        <v>2709751</v>
      </c>
      <c r="C7" s="5" t="inlineStr">
        <is>
          <t>LIGGA SERVICOS EM TELECOM S.A.</t>
        </is>
      </c>
      <c r="D7" s="5" t="inlineStr">
        <is>
          <t>65.649.511/0001-84</t>
        </is>
      </c>
      <c r="E7" s="5" t="inlineStr">
        <is>
          <t>Biblioteca Virtual Ligga B2B - R$ 195,97 ** Periodo de Apuracao: 30/07/2026 a 29/08/2026 Vencimento: 15/09/2026 ** VA...</t>
        </is>
      </c>
      <c r="F7" s="5" t="inlineStr">
        <is>
          <t>Não</t>
        </is>
      </c>
      <c r="G7" s="6" t="n">
        <v>195.97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0</v>
      </c>
      <c r="M7" s="6" t="n">
        <v>0</v>
      </c>
      <c r="N7" s="6" t="n">
        <v>195.97</v>
      </c>
      <c r="O7" s="5" t="inlineStr">
        <is>
          <t>Não</t>
        </is>
      </c>
      <c r="P7" s="5" t="inlineStr">
        <is>
          <t>820</t>
        </is>
      </c>
      <c r="Q7" s="5" t="inlineStr">
        <is>
          <t>Autorizada</t>
        </is>
      </c>
    </row>
    <row r="8">
      <c r="A8" s="4" t="n">
        <v>46266</v>
      </c>
      <c r="B8" s="5" t="n">
        <v>507</v>
      </c>
      <c r="C8" s="5" t="inlineStr">
        <is>
          <t>ANDRADE ENGENHARIA LTDA.</t>
        </is>
      </c>
      <c r="D8" s="5" t="inlineStr">
        <is>
          <t>80.402.860/0001-90</t>
        </is>
      </c>
      <c r="E8" s="5" t="inlineStr">
        <is>
          <t>CONSULTORIA AMBIENTAL VCTO 05/10/2026</t>
        </is>
      </c>
      <c r="F8" s="5" t="inlineStr">
        <is>
          <t>Sim</t>
        </is>
      </c>
      <c r="G8" s="6" t="n">
        <v>1124.56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6" t="n">
        <v>0</v>
      </c>
      <c r="N8" s="6" t="n">
        <v>1124.56</v>
      </c>
      <c r="O8" s="5" t="inlineStr">
        <is>
          <t>Não</t>
        </is>
      </c>
      <c r="P8" s="5" t="inlineStr">
        <is>
          <t>825</t>
        </is>
      </c>
      <c r="Q8" s="5" t="inlineStr">
        <is>
          <t>Autorizada</t>
        </is>
      </c>
    </row>
    <row r="9">
      <c r="A9" s="4" t="n">
        <v>46266</v>
      </c>
      <c r="B9" s="5" t="n">
        <v>817660</v>
      </c>
      <c r="C9" s="5" t="inlineStr">
        <is>
          <t>DENTAL UNI - COOPERATIVA ODONTOLOGICA</t>
        </is>
      </c>
      <c r="D9" s="5" t="inlineStr">
        <is>
          <t>78.738.101/0001-51</t>
        </is>
      </c>
      <c r="E9" s="5" t="inlineStr">
        <is>
          <t>(QUANT. 2 - VAL.UNIT. R$26.89 - MENSALIDADE DE TITULARES - TOTAL R$53.78) (QUANT. 2 - VAL.UNIT. R$26.89 - MENSALIDADE...</t>
        </is>
      </c>
      <c r="F9" s="5" t="inlineStr">
        <is>
          <t>Não</t>
        </is>
      </c>
      <c r="G9" s="6" t="n">
        <v>107.56</v>
      </c>
      <c r="H9" s="6" t="n">
        <v>0.73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6" t="n">
        <v>107.56</v>
      </c>
      <c r="O9" s="5" t="inlineStr">
        <is>
          <t>Não</t>
        </is>
      </c>
      <c r="P9" s="5" t="inlineStr">
        <is>
          <t>824</t>
        </is>
      </c>
      <c r="Q9" s="5" t="inlineStr">
        <is>
          <t>Autorizada</t>
        </is>
      </c>
    </row>
    <row r="10">
      <c r="A10" s="4" t="n">
        <v>46266</v>
      </c>
      <c r="B10" s="5" t="n">
        <v>974</v>
      </c>
      <c r="C10" s="5" t="inlineStr">
        <is>
          <t>TIPOGRAFIA IGUACU LTDA</t>
        </is>
      </c>
      <c r="D10" s="5" t="inlineStr">
        <is>
          <t>75.114.363/0001-57</t>
        </is>
      </c>
      <c r="E10" s="5" t="inlineStr">
        <is>
          <t>1 Banner Fosco; 80x120 cm; Bastao de Madeira; Ponteira; Barbante; Lona Front 340g; 4x0 cores; Colorido Vlr.Unt 72,600...</t>
        </is>
      </c>
      <c r="F10" s="5" t="inlineStr">
        <is>
          <t>Sim</t>
        </is>
      </c>
      <c r="G10" s="6" t="n">
        <v>72.59999999999999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0</v>
      </c>
      <c r="M10" s="6" t="n">
        <v>0</v>
      </c>
      <c r="N10" s="6" t="n">
        <v>72.59999999999999</v>
      </c>
      <c r="O10" s="5" t="inlineStr">
        <is>
          <t>Não</t>
        </is>
      </c>
      <c r="P10" s="5" t="inlineStr">
        <is>
          <t>830</t>
        </is>
      </c>
      <c r="Q10" s="5" t="inlineStr">
        <is>
          <t>Autorizada</t>
        </is>
      </c>
    </row>
    <row r="11">
      <c r="A11" s="4" t="n">
        <v>46268</v>
      </c>
      <c r="B11" s="5" t="n">
        <v>469</v>
      </c>
      <c r="C11" s="5" t="inlineStr">
        <is>
          <t>OFICINA DO IMPRESSO GRAFICA E EDITORA LTDA.</t>
        </is>
      </c>
      <c r="D11" s="5" t="inlineStr">
        <is>
          <t>00.495.545/0001-16</t>
        </is>
      </c>
      <c r="E11" s="5" t="inlineStr">
        <is>
          <t>3.000 Laminas - Oleos ALL Nature. 210x297mm, 4x4 cores, Tinta Escala em Couche Brilho 115g. Saida em CTP. / 3.000 Lam...</t>
        </is>
      </c>
      <c r="F11" s="5" t="inlineStr">
        <is>
          <t>Não</t>
        </is>
      </c>
      <c r="G11" s="6" t="n">
        <v>1998</v>
      </c>
      <c r="H11" s="6" t="n">
        <v>49.95</v>
      </c>
      <c r="I11" s="6" t="n">
        <v>0</v>
      </c>
      <c r="J11" s="6" t="n">
        <v>0</v>
      </c>
      <c r="K11" s="6" t="n">
        <v>0</v>
      </c>
      <c r="L11" s="6" t="n">
        <v>0</v>
      </c>
      <c r="M11" s="6" t="n">
        <v>0</v>
      </c>
      <c r="N11" s="6" t="n">
        <v>1998</v>
      </c>
      <c r="O11" s="5" t="inlineStr">
        <is>
          <t>Não</t>
        </is>
      </c>
      <c r="P11" s="5" t="inlineStr">
        <is>
          <t>830</t>
        </is>
      </c>
      <c r="Q11" s="5" t="inlineStr">
        <is>
          <t>Autorizada</t>
        </is>
      </c>
    </row>
    <row r="12">
      <c r="A12" s="4" t="n">
        <v>46268</v>
      </c>
      <c r="B12" s="5" t="n">
        <v>8798</v>
      </c>
      <c r="C12" s="5" t="inlineStr">
        <is>
          <t>DOM RICARDO HOTEL LTDA</t>
        </is>
      </c>
      <c r="D12" s="5" t="inlineStr">
        <is>
          <t>01.790.040/0001-47</t>
        </is>
      </c>
      <c r="E12" s="5" t="inlineStr">
        <is>
          <t>DIÁRIAS: 3.343,68 ISS: 167,20 RPS 419615 UH 207 (6326927), 215 (6326935), 219 (6326951) e 515 (6326943)</t>
        </is>
      </c>
      <c r="F12" s="5" t="inlineStr">
        <is>
          <t>Não</t>
        </is>
      </c>
      <c r="G12" s="6" t="n">
        <v>3510.88</v>
      </c>
      <c r="H12" s="6" t="n">
        <v>175.54</v>
      </c>
      <c r="I12" s="6" t="n">
        <v>0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3510.88</v>
      </c>
      <c r="O12" s="5" t="inlineStr">
        <is>
          <t>Não</t>
        </is>
      </c>
      <c r="P12" s="5" t="inlineStr">
        <is>
          <t>definir</t>
        </is>
      </c>
      <c r="Q12" s="5" t="inlineStr">
        <is>
          <t>Autorizada</t>
        </is>
      </c>
    </row>
    <row r="13">
      <c r="A13" s="4" t="n">
        <v>46273</v>
      </c>
      <c r="B13" s="5" t="n">
        <v>45454</v>
      </c>
      <c r="C13" s="5" t="inlineStr">
        <is>
          <t>GL HOTEIS LTDA</t>
        </is>
      </c>
      <c r="D13" s="5" t="inlineStr">
        <is>
          <t>48.395.289/0001-11</t>
        </is>
      </c>
      <c r="E13" s="5" t="inlineStr">
        <is>
          <t>Diaria HOSPEDAGEM REFERENTE A FEIRA BEAUTY FAIR. CHECK IN 04-09-2026 CHECK OUT 08-09-2026 SENDO QUE DOIS APARTAMENTOS...</t>
        </is>
      </c>
      <c r="F13" s="5" t="inlineStr">
        <is>
          <t>Não</t>
        </is>
      </c>
      <c r="G13" s="6" t="n">
        <v>12980</v>
      </c>
      <c r="H13" s="6" t="n">
        <v>649</v>
      </c>
      <c r="I13" s="6" t="n">
        <v>0</v>
      </c>
      <c r="J13" s="6" t="n">
        <v>0</v>
      </c>
      <c r="K13" s="6" t="n">
        <v>0</v>
      </c>
      <c r="L13" s="6" t="n">
        <v>0</v>
      </c>
      <c r="M13" s="6" t="n">
        <v>0</v>
      </c>
      <c r="N13" s="6" t="n">
        <v>12980</v>
      </c>
      <c r="O13" s="5" t="inlineStr">
        <is>
          <t>Não</t>
        </is>
      </c>
      <c r="P13" s="5" t="inlineStr">
        <is>
          <t>definir</t>
        </is>
      </c>
      <c r="Q13" s="5" t="inlineStr">
        <is>
          <t>Autorizada</t>
        </is>
      </c>
    </row>
    <row r="14">
      <c r="A14" s="4" t="n">
        <v>46275</v>
      </c>
      <c r="B14" s="5" t="n">
        <v>908</v>
      </c>
      <c r="C14" s="5" t="inlineStr">
        <is>
          <t>CRM TECNOLOGIA EM SISTEMAS DE INFORMACAO LTDA</t>
        </is>
      </c>
      <c r="D14" s="5" t="inlineStr">
        <is>
          <t>24.891.333/0001-16</t>
        </is>
      </c>
      <c r="E14" s="5" t="inlineStr">
        <is>
          <t>Referente a Manutenção CosmosERP.</t>
        </is>
      </c>
      <c r="F14" s="5" t="inlineStr">
        <is>
          <t>Sim</t>
        </is>
      </c>
      <c r="G14" s="6" t="n">
        <v>2859.58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2859.58</v>
      </c>
      <c r="O14" s="5" t="inlineStr">
        <is>
          <t>Não</t>
        </is>
      </c>
      <c r="P14" s="5" t="inlineStr">
        <is>
          <t>811</t>
        </is>
      </c>
      <c r="Q14" s="5" t="inlineStr">
        <is>
          <t>Autorizada</t>
        </is>
      </c>
    </row>
    <row r="15">
      <c r="A15" s="4" t="n">
        <v>46276</v>
      </c>
      <c r="B15" s="5" t="n">
        <v>5588821</v>
      </c>
      <c r="C15" s="5" t="inlineStr">
        <is>
          <t>FLASH TECNOLOGIA E  INSTITUICAO DE PAGAMENTO LTDA</t>
        </is>
      </c>
      <c r="D15" s="5" t="inlineStr">
        <is>
          <t>32.223.020/0001-18</t>
        </is>
      </c>
      <c r="E15" s="5" t="inlineStr">
        <is>
          <t>Valor Total - R$ 6.105,00 Compra de Créditos na Plataforma Flash - R$ 6.105,00 Valor total de serviços Flash - R$ 0,0...</t>
        </is>
      </c>
      <c r="F15" s="5" t="inlineStr">
        <is>
          <t>Não</t>
        </is>
      </c>
      <c r="G15" s="6" t="n">
        <v>6105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6105</v>
      </c>
      <c r="O15" s="5" t="inlineStr">
        <is>
          <t>Não</t>
        </is>
      </c>
      <c r="P15" s="5" t="inlineStr">
        <is>
          <t>816</t>
        </is>
      </c>
      <c r="Q15" s="5" t="inlineStr">
        <is>
          <t>Autorizada (cStat 102)</t>
        </is>
      </c>
    </row>
    <row r="16">
      <c r="A16" s="4" t="n">
        <v>46281</v>
      </c>
      <c r="B16" s="5" t="n">
        <v>10</v>
      </c>
      <c r="C16" s="5" t="inlineStr">
        <is>
          <t>BIOACTIVE - BIOTECNOLOGIA E DESENVOLVIMENTO DE COSMETICOS LTDA</t>
        </is>
      </c>
      <c r="D16" s="5" t="inlineStr">
        <is>
          <t>59.684.382/0001-62</t>
        </is>
      </c>
      <c r="E16" s="5" t="inlineStr">
        <is>
          <t>Serviços prestados</t>
        </is>
      </c>
      <c r="F16" s="5" t="inlineStr">
        <is>
          <t>Sim</t>
        </is>
      </c>
      <c r="G16" s="6" t="n">
        <v>1000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6" t="n">
        <v>0</v>
      </c>
      <c r="N16" s="6" t="n">
        <v>1000</v>
      </c>
      <c r="O16" s="5" t="inlineStr">
        <is>
          <t>Não</t>
        </is>
      </c>
      <c r="P16" s="5" t="inlineStr">
        <is>
          <t>810</t>
        </is>
      </c>
      <c r="Q16" s="5" t="inlineStr">
        <is>
          <t>Autorizada</t>
        </is>
      </c>
    </row>
    <row r="17">
      <c r="A17" s="4" t="n">
        <v>46281</v>
      </c>
      <c r="B17" s="5" t="n">
        <v>11</v>
      </c>
      <c r="C17" s="5" t="inlineStr">
        <is>
          <t>BIOACTIVE - BIOTECNOLOGIA E DESENVOLVIMENTO DE COSMETICOS LTDA</t>
        </is>
      </c>
      <c r="D17" s="5" t="inlineStr">
        <is>
          <t>59.684.382/0001-62</t>
        </is>
      </c>
      <c r="E17" s="5" t="inlineStr">
        <is>
          <t>Serviços prestados</t>
        </is>
      </c>
      <c r="F17" s="5" t="inlineStr">
        <is>
          <t>Sim</t>
        </is>
      </c>
      <c r="G17" s="6" t="n">
        <v>7456.04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0</v>
      </c>
      <c r="M17" s="6" t="n">
        <v>0</v>
      </c>
      <c r="N17" s="6" t="n">
        <v>7456.04</v>
      </c>
      <c r="O17" s="5" t="inlineStr">
        <is>
          <t>Não</t>
        </is>
      </c>
      <c r="P17" s="5" t="inlineStr">
        <is>
          <t>810</t>
        </is>
      </c>
      <c r="Q17" s="5" t="inlineStr">
        <is>
          <t>Autorizada</t>
        </is>
      </c>
    </row>
    <row r="18">
      <c r="A18" s="4" t="n">
        <v>46281</v>
      </c>
      <c r="B18" s="5" t="n">
        <v>9530</v>
      </c>
      <c r="C18" s="5" t="inlineStr">
        <is>
          <t>INSETCONTROL CONTROLE DE PRAGAS LTDA</t>
        </is>
      </c>
      <c r="D18" s="5" t="inlineStr">
        <is>
          <t>14.309.879/0001-62</t>
        </is>
      </c>
      <c r="E18" s="5" t="inlineStr">
        <is>
          <t>PREST SERV DESIN DESRAT REF SETEMBRO26</t>
        </is>
      </c>
      <c r="F18" s="5" t="inlineStr">
        <is>
          <t>Sim</t>
        </is>
      </c>
      <c r="G18" s="6" t="n">
        <v>730</v>
      </c>
      <c r="H18" s="6" t="n">
        <v>36.5</v>
      </c>
      <c r="I18" s="6" t="n">
        <v>0</v>
      </c>
      <c r="J18" s="6" t="n">
        <v>0</v>
      </c>
      <c r="K18" s="6" t="n">
        <v>0</v>
      </c>
      <c r="L18" s="6" t="n">
        <v>0</v>
      </c>
      <c r="M18" s="6" t="n">
        <v>0</v>
      </c>
      <c r="N18" s="6" t="n">
        <v>730</v>
      </c>
      <c r="O18" s="5" t="inlineStr">
        <is>
          <t>Não</t>
        </is>
      </c>
      <c r="P18" s="5" t="inlineStr">
        <is>
          <t>826</t>
        </is>
      </c>
      <c r="Q18" s="5" t="inlineStr">
        <is>
          <t>Autorizada</t>
        </is>
      </c>
    </row>
    <row r="19">
      <c r="A19" s="4" t="n">
        <v>46282</v>
      </c>
      <c r="B19" s="5" t="n">
        <v>72</v>
      </c>
      <c r="C19" s="5" t="inlineStr">
        <is>
          <t>SAVATEC COMERCIO E SERVIÇOS LTDA</t>
        </is>
      </c>
      <c r="D19" s="5" t="inlineStr">
        <is>
          <t>59.087.034/0001-08</t>
        </is>
      </c>
      <c r="E19" s="5" t="inlineStr">
        <is>
          <t>MANUTENCAO EM EQUIPAMENTO INKJET+ 03 HORAS TECNICAS(R$ 1.440,00)+ DESLOCAMENTO(R$ 100,00) R$ 1.540,00-- DESCONTO POR ...</t>
        </is>
      </c>
      <c r="F19" s="5" t="inlineStr">
        <is>
          <t>Sim</t>
        </is>
      </c>
      <c r="G19" s="6" t="n">
        <v>1090</v>
      </c>
      <c r="H19" s="6" t="n">
        <v>21.91</v>
      </c>
      <c r="I19" s="6" t="n">
        <v>0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1090</v>
      </c>
      <c r="O19" s="5" t="inlineStr">
        <is>
          <t>Não</t>
        </is>
      </c>
      <c r="P19" s="5" t="inlineStr">
        <is>
          <t>definir</t>
        </is>
      </c>
      <c r="Q19" s="5" t="inlineStr">
        <is>
          <t>Autorizada</t>
        </is>
      </c>
    </row>
    <row r="20">
      <c r="A20" s="4" t="n">
        <v>46285</v>
      </c>
      <c r="B20" s="5" t="n">
        <v>173228</v>
      </c>
      <c r="C20" s="5" t="inlineStr">
        <is>
          <t>TECNOPONTO TECNOLOGIA AVANCADA EM CONTROLE DE PONTO E ACESSO LTDA</t>
        </is>
      </c>
      <c r="D20" s="5" t="inlineStr">
        <is>
          <t>77.800.407/0001-28</t>
        </is>
      </c>
      <c r="E20" s="5" t="inlineStr">
        <is>
          <t>1 - SOFTWARE TECNOPONTO PLUS PARA 20 FUNCIONARIOS 1 - SUPORTE TECNICO PARA SOFTWARE Nao sujeita a retencao da Fonte d...</t>
        </is>
      </c>
      <c r="F20" s="5" t="inlineStr">
        <is>
          <t>Não</t>
        </is>
      </c>
      <c r="G20" s="6" t="n">
        <v>74.90000000000001</v>
      </c>
      <c r="H20" s="6" t="n">
        <v>1.5</v>
      </c>
      <c r="I20" s="6" t="n">
        <v>0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74.90000000000001</v>
      </c>
      <c r="O20" s="5" t="inlineStr">
        <is>
          <t>Não</t>
        </is>
      </c>
      <c r="P20" s="5" t="inlineStr">
        <is>
          <t>823</t>
        </is>
      </c>
      <c r="Q20" s="5" t="inlineStr">
        <is>
          <t>Autorizada</t>
        </is>
      </c>
    </row>
    <row r="21">
      <c r="A21" s="4" t="n">
        <v>46287</v>
      </c>
      <c r="B21" s="5" t="n">
        <v>243079</v>
      </c>
      <c r="C21" s="5" t="inlineStr">
        <is>
          <t>NEXTAR TECNOLOGIA DE SOFTWARE LTDA</t>
        </is>
      </c>
      <c r="D21" s="5" t="inlineStr">
        <is>
          <t>04.580.911/0001-96</t>
        </is>
      </c>
      <c r="E21" s="5" t="inlineStr">
        <is>
          <t>Assinatura Nex e Suporte Técnico - Serviço referente a SET / 2026</t>
        </is>
      </c>
      <c r="F21" s="5" t="inlineStr">
        <is>
          <t>Não</t>
        </is>
      </c>
      <c r="G21" s="6" t="n">
        <v>119</v>
      </c>
      <c r="H21" s="6" t="n">
        <v>2.38</v>
      </c>
      <c r="I21" s="6" t="n">
        <v>0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119</v>
      </c>
      <c r="O21" s="5" t="inlineStr">
        <is>
          <t>Não</t>
        </is>
      </c>
      <c r="P21" s="5" t="inlineStr">
        <is>
          <t>818</t>
        </is>
      </c>
      <c r="Q21" s="5" t="inlineStr">
        <is>
          <t>Autorizada</t>
        </is>
      </c>
    </row>
    <row r="22">
      <c r="A22" s="4" t="n">
        <v>46287</v>
      </c>
      <c r="B22" s="5" t="n">
        <v>9227</v>
      </c>
      <c r="C22" s="5" t="inlineStr">
        <is>
          <t>PLUS SANTE EMERGENCIAS MEDICAS S.A.</t>
        </is>
      </c>
      <c r="D22" s="5" t="inlineStr">
        <is>
          <t>04.523.560/0001-81</t>
        </is>
      </c>
      <c r="E22" s="5" t="inlineStr">
        <is>
          <t>UNIDADE DE ATENDIMENTO ASSISTENCIA OU TRATAMENTO MOVEL</t>
        </is>
      </c>
      <c r="F22" s="5" t="inlineStr">
        <is>
          <t>Não</t>
        </is>
      </c>
      <c r="G22" s="6" t="n">
        <v>342.3</v>
      </c>
      <c r="H22" s="6" t="n">
        <v>17.12</v>
      </c>
      <c r="I22" s="6" t="n">
        <v>0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342.3</v>
      </c>
      <c r="O22" s="5" t="inlineStr">
        <is>
          <t>Não</t>
        </is>
      </c>
      <c r="P22" s="5" t="inlineStr">
        <is>
          <t>821</t>
        </is>
      </c>
      <c r="Q22" s="5" t="inlineStr">
        <is>
          <t>Autorizada</t>
        </is>
      </c>
    </row>
    <row r="23">
      <c r="A23" s="4" t="n">
        <v>46290</v>
      </c>
      <c r="B23" s="5" t="n">
        <v>5661351</v>
      </c>
      <c r="C23" s="5" t="inlineStr">
        <is>
          <t>FLASH TECNOLOGIA E  INSTITUICAO DE PAGAMENTO LTDA</t>
        </is>
      </c>
      <c r="D23" s="5" t="inlineStr">
        <is>
          <t>32.223.020/0001-18</t>
        </is>
      </c>
      <c r="E23" s="5" t="inlineStr">
        <is>
          <t>Valor Total - R$ 4.142,00 Compra de Créditos na Plataforma Flash - R$ 4.142,00 Valor total de serviços Flash - R$ 0,0...</t>
        </is>
      </c>
      <c r="F23" s="5" t="inlineStr">
        <is>
          <t>Não</t>
        </is>
      </c>
      <c r="G23" s="6" t="n">
        <v>4142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4142</v>
      </c>
      <c r="O23" s="5" t="inlineStr">
        <is>
          <t>Não</t>
        </is>
      </c>
      <c r="P23" s="5" t="inlineStr">
        <is>
          <t>816</t>
        </is>
      </c>
      <c r="Q23" s="5" t="inlineStr">
        <is>
          <t>Autorizada (cStat 102)</t>
        </is>
      </c>
    </row>
    <row r="24">
      <c r="A24" s="10" t="inlineStr">
        <is>
          <t>Total (sem canceladas)</t>
        </is>
      </c>
      <c r="B24" s="11" t="n"/>
      <c r="C24" s="10">
        <f>COUNTA(C5:C23)&amp;" docs"</f>
        <v/>
      </c>
      <c r="D24" s="11" t="n"/>
      <c r="E24" s="11" t="n"/>
      <c r="F24" s="11" t="n"/>
      <c r="G24" s="12">
        <f>SUMPRODUCT((Q5:Q23&lt;&gt;"Cancelada")*(Q5:Q23&lt;&gt;"Cancelado")*G5:G23)</f>
        <v/>
      </c>
      <c r="H24" s="12">
        <f>SUMPRODUCT((Q5:Q23&lt;&gt;"Cancelada")*(Q5:Q23&lt;&gt;"Cancelado")*H5:H23)</f>
        <v/>
      </c>
      <c r="I24" s="12">
        <f>SUMPRODUCT((Q5:Q23&lt;&gt;"Cancelada")*(Q5:Q23&lt;&gt;"Cancelado")*I5:I23)</f>
        <v/>
      </c>
      <c r="J24" s="12">
        <f>SUMPRODUCT((Q5:Q23&lt;&gt;"Cancelada")*(Q5:Q23&lt;&gt;"Cancelado")*J5:J23)</f>
        <v/>
      </c>
      <c r="K24" s="12">
        <f>SUMPRODUCT((Q5:Q23&lt;&gt;"Cancelada")*(Q5:Q23&lt;&gt;"Cancelado")*K5:K23)</f>
        <v/>
      </c>
      <c r="L24" s="12">
        <f>SUMPRODUCT((Q5:Q23&lt;&gt;"Cancelada")*(Q5:Q23&lt;&gt;"Cancelado")*L5:L23)</f>
        <v/>
      </c>
      <c r="M24" s="12">
        <f>SUMPRODUCT((Q5:Q23&lt;&gt;"Cancelada")*(Q5:Q23&lt;&gt;"Cancelado")*M5:M23)</f>
        <v/>
      </c>
      <c r="N24" s="12">
        <f>SUMPRODUCT((Q5:Q23&lt;&gt;"Cancelada")*(Q5:Q23&lt;&gt;"Cancelado")*N5:N23)</f>
        <v/>
      </c>
      <c r="O24" s="11" t="n"/>
      <c r="P24" s="11" t="n"/>
      <c r="Q24" s="11" t="n"/>
    </row>
  </sheetData>
  <autoFilter ref="A4:Q23"/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2026-10-12T18:32:26Z</dcterms:created>
  <dcterms:modified xmlns:dcterms="http://purl.org/dc/terms/" xmlns:xsi="http://www.w3.org/2001/XMLSchema-instance" xsi:type="dcterms:W3CDTF">2026-10-12T18:32:26Z</dcterms:modified>
</cp:coreProperties>
</file>