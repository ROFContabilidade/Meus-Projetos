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tradas - crédito item a item" sheetId="2" state="visible" r:id="rId2"/>
    <sheet xmlns:r="http://schemas.openxmlformats.org/officeDocument/2006/relationships" name="Simples Nacional" sheetId="3" state="visible" r:id="rId3"/>
    <sheet xmlns:r="http://schemas.openxmlformats.org/officeDocument/2006/relationships" name="CT-e (frete)" sheetId="4" state="visible" r:id="rId4"/>
    <sheet xmlns:r="http://schemas.openxmlformats.org/officeDocument/2006/relationships" name="Escrituração entradas" sheetId="5" state="visible" r:id="rId5"/>
    <sheet xmlns:r="http://schemas.openxmlformats.org/officeDocument/2006/relationships" name="NFS-e tomadas" sheetId="6" state="visible" r:id="rId6"/>
    <sheet xmlns:r="http://schemas.openxmlformats.org/officeDocument/2006/relationships" name="Conferência saídas" sheetId="7" state="visible" r:id="rId7"/>
    <sheet xmlns:r="http://schemas.openxmlformats.org/officeDocument/2006/relationships" name="Conferência entradas" sheetId="8" state="visible" r:id="rId8"/>
    <sheet xmlns:r="http://schemas.openxmlformats.org/officeDocument/2006/relationships" name="Base legal" sheetId="9" state="visible" r:id="rId9"/>
  </sheets>
  <definedNames>
    <definedName name="_xlnm._FilterDatabase" localSheetId="1" hidden="1">'Entradas - crédito item a item'!$A$4:$Z$85</definedName>
    <definedName name="_xlnm._FilterDatabase" localSheetId="4" hidden="1">'Escrituração entradas'!$A$3:$S$88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;-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" fontId="5" fillId="3" borderId="1" pivotButton="0" quotePrefix="0" xfId="0"/>
    <xf numFmtId="0" fontId="5" fillId="0" borderId="1" pivotButton="0" quotePrefix="0" xfId="0"/>
    <xf numFmtId="1" fontId="5" fillId="0" borderId="1" pivotButton="0" quotePrefix="0" xfId="0"/>
    <xf numFmtId="164" fontId="5" fillId="0" borderId="1" pivotButton="0" quotePrefix="0" xfId="0"/>
    <xf numFmtId="166" fontId="5" fillId="3" borderId="1" pivotButton="0" quotePrefix="0" xfId="0"/>
    <xf numFmtId="0" fontId="5" fillId="5" borderId="1" pivotButton="0" quotePrefix="0" xfId="0"/>
    <xf numFmtId="166" fontId="5" fillId="0" borderId="1" pivotButton="0" quotePrefix="0" xfId="0"/>
    <xf numFmtId="166" fontId="5" fillId="4" borderId="1" pivotButton="0" quotePrefix="0" xfId="0"/>
    <xf numFmtId="166" fontId="5" fillId="5" borderId="1" pivotButton="0" quotePrefix="0" xfId="0"/>
    <xf numFmtId="164" fontId="5" fillId="5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8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COSMETICI - créditos das entradas e conferência 09/2026</t>
        </is>
      </c>
    </row>
    <row r="2">
      <c r="A2" s="2" t="inlineStr">
        <is>
          <t>Indústria de cosméticos, Lucro Presumido (PIS/COFINS cumulativo: sem crédito de entradas). Base legal na última aba.</t>
        </is>
      </c>
    </row>
    <row r="4">
      <c r="A4" s="3" t="inlineStr">
        <is>
          <t>Créditos de ICMS do mês</t>
        </is>
      </c>
    </row>
    <row r="5">
      <c r="A5" s="4" t="inlineStr">
        <is>
          <t>Origem</t>
        </is>
      </c>
      <c r="B5" s="4" t="inlineStr">
        <is>
          <t>Valor</t>
        </is>
      </c>
      <c r="C5" s="4" t="inlineStr">
        <is>
          <t>Observação</t>
        </is>
      </c>
    </row>
    <row r="6">
      <c r="A6" s="5" t="inlineStr">
        <is>
          <t>NF-e de fornecedor do regime normal (insumo/embalagem)</t>
        </is>
      </c>
      <c r="B6" s="6" t="n">
        <v>6198.78</v>
      </c>
      <c r="C6" s="5" t="inlineStr">
        <is>
          <t>ICMS destacado - entra na apuração</t>
        </is>
      </c>
    </row>
    <row r="7">
      <c r="A7" s="5" t="inlineStr">
        <is>
          <t>NF-e de fornecedor do Simples Nacional (vCredICMSSN)</t>
        </is>
      </c>
      <c r="B7" s="6" t="n">
        <v>98.95</v>
      </c>
      <c r="C7" s="5" t="inlineStr">
        <is>
          <t>CSOSN 101/201/900 com valor informado - entra na apuração</t>
        </is>
      </c>
    </row>
    <row r="8">
      <c r="A8" s="5" t="inlineStr">
        <is>
          <t>CT-e com XML (frete tomado)</t>
        </is>
      </c>
      <c r="B8" s="6" t="n">
        <v>149.14</v>
      </c>
      <c r="C8" s="5" t="inlineStr">
        <is>
          <t>Entra na apuração</t>
        </is>
      </c>
    </row>
    <row r="9">
      <c r="A9" s="7" t="inlineStr">
        <is>
          <t>CT-e só no relatório SIEG (sem XML na pasta)</t>
        </is>
      </c>
      <c r="B9" s="8" t="n">
        <v>379.86</v>
      </c>
      <c r="C9" s="7" t="inlineStr">
        <is>
          <t>Baixar os XML para poder creditar</t>
        </is>
      </c>
    </row>
    <row r="10">
      <c r="A10" s="7" t="inlineStr">
        <is>
          <t>Simples com % informado mas valor zerado (potencial)</t>
        </is>
      </c>
      <c r="B10" s="8" t="n">
        <v>0</v>
      </c>
      <c r="C10" s="7" t="inlineStr">
        <is>
          <t>NÃO creditar sem nota complementar do fornecedor</t>
        </is>
      </c>
    </row>
    <row r="11">
      <c r="A11" s="7" t="inlineStr">
        <is>
          <t>Natureza a confirmar (ICMS destacado)</t>
        </is>
      </c>
      <c r="B11" s="8" t="n">
        <v>0</v>
      </c>
      <c r="C11" s="7" t="inlineStr">
        <is>
          <t>Confirmar se é insumo</t>
        </is>
      </c>
    </row>
    <row r="12">
      <c r="A12" s="9" t="inlineStr">
        <is>
          <t>Total aproveitável agora</t>
        </is>
      </c>
      <c r="B12" s="10" t="n">
        <v>6446.87</v>
      </c>
      <c r="C12" s="9" t="inlineStr">
        <is>
          <t>NF-e normal + Simples + CT-e com XML</t>
        </is>
      </c>
    </row>
    <row r="13">
      <c r="A13" s="9" t="inlineStr">
        <is>
          <t>Crédito de IPI (insumos de contribuinte do IPI)</t>
        </is>
      </c>
      <c r="B13" s="10" t="n">
        <v>2337.69</v>
      </c>
      <c r="C13" s="9" t="inlineStr">
        <is>
          <t>Simples não gera crédito de IPI</t>
        </is>
      </c>
    </row>
    <row r="14">
      <c r="A14" s="7" t="inlineStr">
        <is>
          <t>DIFAL estimado (uso e consumo/ativo de outra UF)</t>
        </is>
      </c>
      <c r="B14" s="8" t="n">
        <v>86.09</v>
      </c>
      <c r="C14" s="7" t="inlineStr">
        <is>
          <t>Débito a recolher/apurar - conferir</t>
        </is>
      </c>
    </row>
    <row r="16">
      <c r="A16" s="3" t="inlineStr">
        <is>
          <t>Entradas por natureza</t>
        </is>
      </c>
    </row>
    <row r="17">
      <c r="A17" s="4" t="inlineStr">
        <is>
          <t>Natureza</t>
        </is>
      </c>
      <c r="B17" s="4" t="inlineStr">
        <is>
          <t>Itens</t>
        </is>
      </c>
      <c r="C17" s="4" t="inlineStr">
        <is>
          <t>Vlr contábil</t>
        </is>
      </c>
      <c r="D17" s="4" t="inlineStr">
        <is>
          <t>ICMS destacado</t>
        </is>
      </c>
      <c r="E17" s="4" t="inlineStr">
        <is>
          <t>Crédito ICMS</t>
        </is>
      </c>
      <c r="F17" s="4" t="inlineStr">
        <is>
          <t>Crédito Simples</t>
        </is>
      </c>
      <c r="G17" s="4" t="inlineStr">
        <is>
          <t>Crédito IPI</t>
        </is>
      </c>
    </row>
    <row r="18">
      <c r="A18" s="5" t="inlineStr">
        <is>
          <t>Insumo / embalagem / rótulo</t>
        </is>
      </c>
      <c r="B18" s="11" t="n">
        <v>26</v>
      </c>
      <c r="C18" s="6" t="n">
        <v>77815.00999999999</v>
      </c>
      <c r="D18" s="6" t="n">
        <v>6198.78</v>
      </c>
      <c r="E18" s="6" t="n">
        <v>6198.78</v>
      </c>
      <c r="F18" s="6" t="n">
        <v>98.95</v>
      </c>
      <c r="G18" s="6" t="n">
        <v>2337.69</v>
      </c>
    </row>
    <row r="19">
      <c r="A19" s="12" t="inlineStr">
        <is>
          <t>Remessa de terceiro (industrialização/conta e ordem)</t>
        </is>
      </c>
      <c r="B19" s="13" t="n">
        <v>22</v>
      </c>
      <c r="C19" s="14" t="n">
        <v>28968.86</v>
      </c>
      <c r="D19" s="14" t="n">
        <v>0</v>
      </c>
      <c r="E19" s="14" t="n">
        <v>0</v>
      </c>
      <c r="F19" s="14" t="n">
        <v>0</v>
      </c>
      <c r="G19" s="14" t="n">
        <v>0</v>
      </c>
    </row>
    <row r="20">
      <c r="A20" s="12" t="inlineStr">
        <is>
          <t>Uso e consumo</t>
        </is>
      </c>
      <c r="B20" s="13" t="n">
        <v>27</v>
      </c>
      <c r="C20" s="14" t="n">
        <v>13727.3</v>
      </c>
      <c r="D20" s="14" t="n">
        <v>546.58</v>
      </c>
      <c r="E20" s="14" t="n">
        <v>0</v>
      </c>
      <c r="F20" s="14" t="n">
        <v>0</v>
      </c>
      <c r="G20" s="14" t="n">
        <v>0</v>
      </c>
    </row>
    <row r="21">
      <c r="A21" s="12" t="inlineStr">
        <is>
          <t>Nota financeira (antecipação)</t>
        </is>
      </c>
      <c r="B21" s="13" t="n">
        <v>2</v>
      </c>
      <c r="C21" s="14" t="n">
        <v>8747.379999999999</v>
      </c>
      <c r="D21" s="14" t="n">
        <v>0</v>
      </c>
      <c r="E21" s="14" t="n">
        <v>0</v>
      </c>
      <c r="F21" s="14" t="n">
        <v>0</v>
      </c>
      <c r="G21" s="14" t="n">
        <v>0</v>
      </c>
    </row>
    <row r="22">
      <c r="A22" s="12" t="inlineStr">
        <is>
          <t>Outras saídas do fornecedor (amostra/brinde)</t>
        </is>
      </c>
      <c r="B22" s="13" t="n">
        <v>4</v>
      </c>
      <c r="C22" s="14" t="n">
        <v>1896</v>
      </c>
      <c r="D22" s="14" t="n">
        <v>0.6</v>
      </c>
      <c r="E22" s="14" t="n">
        <v>0</v>
      </c>
      <c r="F22" s="14" t="n">
        <v>0</v>
      </c>
      <c r="G22" s="14" t="n">
        <v>0</v>
      </c>
    </row>
    <row r="24">
      <c r="A24" s="3" t="inlineStr">
        <is>
          <t>Fornecedores do Simples Nacional</t>
        </is>
      </c>
    </row>
    <row r="25">
      <c r="A25" s="4" t="inlineStr">
        <is>
          <t>Situação</t>
        </is>
      </c>
      <c r="B25" s="4" t="inlineStr">
        <is>
          <t>Itens</t>
        </is>
      </c>
      <c r="C25" s="4" t="inlineStr">
        <is>
          <t>Vlr contábil</t>
        </is>
      </c>
      <c r="D25" s="4" t="inlineStr">
        <is>
          <t>Crédito</t>
        </is>
      </c>
    </row>
    <row r="26">
      <c r="A26" s="12" t="inlineStr">
        <is>
          <t>1. Com crédito informado (CSOSN 101/201) - aproveitar</t>
        </is>
      </c>
      <c r="B26" s="13" t="n">
        <v>2</v>
      </c>
      <c r="C26" s="14" t="n">
        <v>3460</v>
      </c>
      <c r="D26" s="14" t="n">
        <v>98.95</v>
      </c>
    </row>
    <row r="27">
      <c r="A27" s="12" t="inlineStr">
        <is>
          <t>3. CSOSN com crédito mas 0% no XML - sem crédito</t>
        </is>
      </c>
      <c r="B27" s="13" t="n">
        <v>1</v>
      </c>
      <c r="C27" s="14" t="n">
        <v>1180</v>
      </c>
      <c r="D27" s="14" t="n">
        <v>0</v>
      </c>
    </row>
    <row r="28">
      <c r="A28" s="12" t="inlineStr">
        <is>
          <t>4. CSOSN 102/103/300/400/500 - sem direito</t>
        </is>
      </c>
      <c r="B28" s="13" t="n">
        <v>14</v>
      </c>
      <c r="C28" s="14" t="n">
        <v>13920</v>
      </c>
      <c r="D28" s="14" t="n">
        <v>0</v>
      </c>
    </row>
    <row r="29">
      <c r="A29" s="12" t="inlineStr">
        <is>
          <t>5. Não é insumo/revenda (uso, remessa, outras) - sem crédito</t>
        </is>
      </c>
      <c r="B29" s="13" t="n">
        <v>22</v>
      </c>
      <c r="C29" s="14" t="n">
        <v>19890.13</v>
      </c>
      <c r="D29" s="14" t="n">
        <v>0</v>
      </c>
    </row>
    <row r="31">
      <c r="A31" s="3" t="inlineStr">
        <is>
          <t>Conferência XML x relatórios</t>
        </is>
      </c>
    </row>
    <row r="32">
      <c r="A32" s="12" t="inlineStr">
        <is>
          <t>Notas de saída conferidas (XML x ERP x SIEG)</t>
        </is>
      </c>
      <c r="B32" s="12" t="inlineStr">
        <is>
          <t>91 OK de 93</t>
        </is>
      </c>
    </row>
    <row r="33">
      <c r="A33" s="12" t="inlineStr">
        <is>
          <t>Notas de entrada conferidas (XML x SIEG)</t>
        </is>
      </c>
      <c r="B33" s="12" t="inlineStr">
        <is>
          <t>48 OK de 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30" customWidth="1" min="3" max="3"/>
    <col width="15" customWidth="1" min="4" max="4"/>
    <col width="4" customWidth="1" min="5" max="5"/>
    <col width="15" customWidth="1" min="6" max="6"/>
    <col width="7" customWidth="1" min="7" max="7"/>
    <col width="8" customWidth="1" min="8" max="8"/>
    <col width="10" customWidth="1" min="9" max="9"/>
    <col width="34" customWidth="1" min="10" max="10"/>
    <col width="12" customWidth="1" min="11" max="11"/>
    <col width="8" customWidth="1" min="12" max="12"/>
    <col width="11" customWidth="1" min="13" max="13"/>
    <col width="7" customWidth="1" min="14" max="14"/>
    <col width="10" customWidth="1" min="15" max="15"/>
    <col width="34" customWidth="1" min="16" max="16"/>
    <col width="22" customWidth="1" min="17" max="17"/>
    <col width="11" customWidth="1" min="18" max="18"/>
    <col width="11" customWidth="1" min="19" max="19"/>
    <col width="11" customWidth="1" min="20" max="20"/>
    <col width="10" customWidth="1" min="21" max="21"/>
    <col width="10" customWidth="1" min="22" max="22"/>
    <col width="60" customWidth="1" min="23" max="23"/>
    <col width="40" customWidth="1" min="24" max="24"/>
    <col width="9" customWidth="1" min="25" max="25"/>
    <col width="26" customWidth="1" min="26" max="26"/>
  </cols>
  <sheetData>
    <row r="1">
      <c r="A1" s="1" t="inlineStr">
        <is>
          <t>Cada item de NF-e de entrada com a natureza, o crédito e o motivo</t>
        </is>
      </c>
    </row>
    <row r="2">
      <c r="A2" s="2" t="inlineStr">
        <is>
          <t>Verde = gera crédito; laranja = conferir. Colunas amarelas para a contadora (Confere?/Observação).</t>
        </is>
      </c>
    </row>
    <row r="4">
      <c r="A4" s="4" t="inlineStr">
        <is>
          <t>Emissão</t>
        </is>
      </c>
      <c r="B4" s="4" t="inlineStr">
        <is>
          <t>NF</t>
        </is>
      </c>
      <c r="C4" s="4" t="inlineStr">
        <is>
          <t>Fornecedor</t>
        </is>
      </c>
      <c r="D4" s="4" t="inlineStr">
        <is>
          <t>CNPJ</t>
        </is>
      </c>
      <c r="E4" s="4" t="inlineStr">
        <is>
          <t>UF</t>
        </is>
      </c>
      <c r="F4" s="4" t="inlineStr">
        <is>
          <t>Regime</t>
        </is>
      </c>
      <c r="G4" s="4" t="inlineStr">
        <is>
          <t>CFOP forn.</t>
        </is>
      </c>
      <c r="H4" s="4" t="inlineStr">
        <is>
          <t>CFOP entrada</t>
        </is>
      </c>
      <c r="I4" s="4" t="inlineStr">
        <is>
          <t>NCM</t>
        </is>
      </c>
      <c r="J4" s="4" t="inlineStr">
        <is>
          <t>Produto</t>
        </is>
      </c>
      <c r="K4" s="4" t="inlineStr">
        <is>
          <t>Vlr contábil</t>
        </is>
      </c>
      <c r="L4" s="4" t="inlineStr">
        <is>
          <t>CST/CSOSN</t>
        </is>
      </c>
      <c r="M4" s="4" t="inlineStr">
        <is>
          <t>ICMS destacado</t>
        </is>
      </c>
      <c r="N4" s="4" t="inlineStr">
        <is>
          <t>% Cred. SN</t>
        </is>
      </c>
      <c r="O4" s="4" t="inlineStr">
        <is>
          <t>Cred. SN (nota)</t>
        </is>
      </c>
      <c r="P4" s="4" t="inlineStr">
        <is>
          <t>Natureza</t>
        </is>
      </c>
      <c r="Q4" s="4" t="inlineStr">
        <is>
          <t>Classificado por</t>
        </is>
      </c>
      <c r="R4" s="4" t="inlineStr">
        <is>
          <t>Crédito ICMS</t>
        </is>
      </c>
      <c r="S4" s="4" t="inlineStr">
        <is>
          <t>Crédito Simples</t>
        </is>
      </c>
      <c r="T4" s="4" t="inlineStr">
        <is>
          <t>Potencial Simples</t>
        </is>
      </c>
      <c r="U4" s="4" t="inlineStr">
        <is>
          <t>Crédito IPI</t>
        </is>
      </c>
      <c r="V4" s="4" t="inlineStr">
        <is>
          <t>DIFAL estimado</t>
        </is>
      </c>
      <c r="W4" s="4" t="inlineStr">
        <is>
          <t>Motivo</t>
        </is>
      </c>
      <c r="X4" s="4" t="inlineStr">
        <is>
          <t>Ação</t>
        </is>
      </c>
      <c r="Y4" s="4" t="inlineStr">
        <is>
          <t>Confere?</t>
        </is>
      </c>
      <c r="Z4" s="4" t="inlineStr">
        <is>
          <t>Observação</t>
        </is>
      </c>
    </row>
    <row r="5">
      <c r="A5" s="15" t="n">
        <v>46266</v>
      </c>
      <c r="B5" s="5" t="n">
        <v>41731</v>
      </c>
      <c r="C5" s="5" t="inlineStr">
        <is>
          <t>DISTRIBUIDORA INDUSTRIAL PARANAENSE LTDA</t>
        </is>
      </c>
      <c r="D5" s="5" t="inlineStr">
        <is>
          <t>04993269000177</t>
        </is>
      </c>
      <c r="E5" s="5" t="inlineStr">
        <is>
          <t>PR</t>
        </is>
      </c>
      <c r="F5" s="5" t="inlineStr">
        <is>
          <t>Normal</t>
        </is>
      </c>
      <c r="G5" s="5" t="inlineStr">
        <is>
          <t>5101</t>
        </is>
      </c>
      <c r="H5" s="5" t="inlineStr">
        <is>
          <t>1101</t>
        </is>
      </c>
      <c r="I5" s="5" t="inlineStr">
        <is>
          <t>22071010</t>
        </is>
      </c>
      <c r="J5" s="5" t="inlineStr">
        <is>
          <t>ALCOOL ETILICO 99 - ONU 1170 ETANOL (ALCOOL ETILICO) 3 GE II BOMBONA DIPANOL 99</t>
        </is>
      </c>
      <c r="K5" s="6" t="n">
        <v>1870</v>
      </c>
      <c r="L5" s="5" t="inlineStr">
        <is>
          <t>51</t>
        </is>
      </c>
      <c r="M5" s="6" t="n">
        <v>224.41</v>
      </c>
      <c r="N5" s="5" t="n"/>
      <c r="O5" s="6" t="n"/>
      <c r="P5" s="5" t="inlineStr">
        <is>
          <t>Insumo (classificação do SPED anterior)</t>
        </is>
      </c>
      <c r="Q5" s="5" t="inlineStr">
        <is>
          <t>SPED anterior: CFOP 1101</t>
        </is>
      </c>
      <c r="R5" s="6" t="n">
        <v>224.41</v>
      </c>
      <c r="S5" s="6" t="n">
        <v>0</v>
      </c>
      <c r="T5" s="6" t="n">
        <v>0</v>
      </c>
      <c r="U5" s="6" t="n">
        <v>0</v>
      </c>
      <c r="V5" s="6" t="n">
        <v>0</v>
      </c>
      <c r="W5" s="5" t="inlineStr">
        <is>
          <t>ICMS destacado (CST 51) em insumo (classificação do sped anterior)</t>
        </is>
      </c>
      <c r="X5" s="5" t="inlineStr"/>
      <c r="Y5" s="16" t="inlineStr"/>
      <c r="Z5" s="16" t="inlineStr"/>
    </row>
    <row r="6">
      <c r="A6" s="15" t="n">
        <v>46266</v>
      </c>
      <c r="B6" s="5" t="n">
        <v>3795</v>
      </c>
      <c r="C6" s="5" t="inlineStr">
        <is>
          <t>Lunaflexo Tecnologia Adesiva Eireli</t>
        </is>
      </c>
      <c r="D6" s="5" t="inlineStr">
        <is>
          <t>06015875000143</t>
        </is>
      </c>
      <c r="E6" s="5" t="inlineStr">
        <is>
          <t>PR</t>
        </is>
      </c>
      <c r="F6" s="5" t="inlineStr">
        <is>
          <t>Simples Nacional</t>
        </is>
      </c>
      <c r="G6" s="5" t="inlineStr">
        <is>
          <t>5101</t>
        </is>
      </c>
      <c r="H6" s="5" t="inlineStr">
        <is>
          <t>1101</t>
        </is>
      </c>
      <c r="I6" s="5" t="inlineStr">
        <is>
          <t>39191090</t>
        </is>
      </c>
      <c r="J6" s="5" t="inlineStr">
        <is>
          <t>Rotulos Adesivos - Creme Relaxante Afro Nature (Contra Rotulo). 65x160mm, 2x0 cores, Tinta UV Pantone em Bopp Fosco 20G</t>
        </is>
      </c>
      <c r="K6" s="6" t="n">
        <v>2740</v>
      </c>
      <c r="L6" s="5" t="inlineStr">
        <is>
          <t>101</t>
        </is>
      </c>
      <c r="M6" s="6" t="n">
        <v>0</v>
      </c>
      <c r="N6" s="5" t="n">
        <v>2.86</v>
      </c>
      <c r="O6" s="6" t="n">
        <v>78.36</v>
      </c>
      <c r="P6" s="5" t="inlineStr">
        <is>
          <t>Embalagem (rótulo adesivo)</t>
        </is>
      </c>
      <c r="Q6" s="5" t="inlineStr">
        <is>
          <t>NCM 39191090</t>
        </is>
      </c>
      <c r="R6" s="6" t="n">
        <v>0</v>
      </c>
      <c r="S6" s="6" t="n">
        <v>78.36</v>
      </c>
      <c r="T6" s="6" t="n">
        <v>0</v>
      </c>
      <c r="U6" s="6" t="n">
        <v>0</v>
      </c>
      <c r="V6" s="6" t="n">
        <v>0</v>
      </c>
      <c r="W6" s="5" t="inlineStr">
        <is>
          <t>Simples CSOSN 101: crédito de 2.86% informado na nota (LC 123/06 art. 23 §1º)</t>
        </is>
      </c>
      <c r="X6" s="5" t="inlineStr"/>
      <c r="Y6" s="16" t="inlineStr"/>
      <c r="Z6" s="16" t="inlineStr"/>
    </row>
    <row r="7">
      <c r="A7" s="15" t="n">
        <v>46266</v>
      </c>
      <c r="B7" s="5" t="n">
        <v>3795</v>
      </c>
      <c r="C7" s="5" t="inlineStr">
        <is>
          <t>Lunaflexo Tecnologia Adesiva Eireli</t>
        </is>
      </c>
      <c r="D7" s="5" t="inlineStr">
        <is>
          <t>06015875000143</t>
        </is>
      </c>
      <c r="E7" s="5" t="inlineStr">
        <is>
          <t>PR</t>
        </is>
      </c>
      <c r="F7" s="5" t="inlineStr">
        <is>
          <t>Simples Nacional</t>
        </is>
      </c>
      <c r="G7" s="5" t="inlineStr">
        <is>
          <t>5101</t>
        </is>
      </c>
      <c r="H7" s="5" t="inlineStr">
        <is>
          <t>1101</t>
        </is>
      </c>
      <c r="I7" s="5" t="inlineStr">
        <is>
          <t>39191090</t>
        </is>
      </c>
      <c r="J7" s="5" t="inlineStr">
        <is>
          <t>Rotulos Adesivos - Etiq. 20MM (Numero 1,2,3). 20x20mm, 2x0 cores, Tinta UV Pantone em Bopp Fosco 20G Borracha.</t>
        </is>
      </c>
      <c r="K7" s="6" t="n">
        <v>720</v>
      </c>
      <c r="L7" s="5" t="inlineStr">
        <is>
          <t>101</t>
        </is>
      </c>
      <c r="M7" s="6" t="n">
        <v>0</v>
      </c>
      <c r="N7" s="5" t="n">
        <v>2.86</v>
      </c>
      <c r="O7" s="6" t="n">
        <v>20.59</v>
      </c>
      <c r="P7" s="5" t="inlineStr">
        <is>
          <t>Embalagem (rótulo adesivo)</t>
        </is>
      </c>
      <c r="Q7" s="5" t="inlineStr">
        <is>
          <t>NCM 39191090</t>
        </is>
      </c>
      <c r="R7" s="6" t="n">
        <v>0</v>
      </c>
      <c r="S7" s="6" t="n">
        <v>20.59</v>
      </c>
      <c r="T7" s="6" t="n">
        <v>0</v>
      </c>
      <c r="U7" s="6" t="n">
        <v>0</v>
      </c>
      <c r="V7" s="6" t="n">
        <v>0</v>
      </c>
      <c r="W7" s="5" t="inlineStr">
        <is>
          <t>Simples CSOSN 101: crédito de 2.86% informado na nota (LC 123/06 art. 23 §1º)</t>
        </is>
      </c>
      <c r="X7" s="5" t="inlineStr"/>
      <c r="Y7" s="16" t="inlineStr"/>
      <c r="Z7" s="16" t="inlineStr"/>
    </row>
    <row r="8">
      <c r="A8" s="17" t="n">
        <v>46267</v>
      </c>
      <c r="B8" s="12" t="n">
        <v>22837</v>
      </c>
      <c r="C8" s="12" t="inlineStr">
        <is>
          <t>CARBON CIENTIFICA LTDA</t>
        </is>
      </c>
      <c r="D8" s="12" t="inlineStr">
        <is>
          <t>44114040000130</t>
        </is>
      </c>
      <c r="E8" s="12" t="inlineStr">
        <is>
          <t>PR</t>
        </is>
      </c>
      <c r="F8" s="12" t="inlineStr">
        <is>
          <t>Normal</t>
        </is>
      </c>
      <c r="G8" s="12" t="inlineStr">
        <is>
          <t>5949</t>
        </is>
      </c>
      <c r="H8" s="12" t="inlineStr">
        <is>
          <t>1949</t>
        </is>
      </c>
      <c r="I8" s="12" t="inlineStr">
        <is>
          <t>28321010</t>
        </is>
      </c>
      <c r="J8" s="12" t="inlineStr">
        <is>
          <t>SULFITO DE SODIO ANIDRO PA 1000G - CARBON</t>
        </is>
      </c>
      <c r="K8" s="14" t="n">
        <v>1</v>
      </c>
      <c r="L8" s="12" t="inlineStr">
        <is>
          <t>00</t>
        </is>
      </c>
      <c r="M8" s="14" t="n">
        <v>0.2</v>
      </c>
      <c r="N8" s="12" t="n"/>
      <c r="O8" s="14" t="n"/>
      <c r="P8" s="12" t="inlineStr">
        <is>
          <t>Matéria-prima (químico inorgânico) - mas CFOP 5949 (outras saídas: amostra/brinde/remessa)</t>
        </is>
      </c>
      <c r="Q8" s="12" t="inlineStr">
        <is>
          <t>CFOP 5949</t>
        </is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2" t="inlineStr">
        <is>
          <t>Matéria-prima (químico inorgânico) - mas CFOP 5949 (outras saídas: amostra/brinde/remessa): ICMS destacado R$ 0.20 não gera crédito</t>
        </is>
      </c>
      <c r="X8" s="12" t="inlineStr"/>
      <c r="Y8" s="16" t="inlineStr"/>
      <c r="Z8" s="16" t="inlineStr"/>
    </row>
    <row r="9">
      <c r="A9" s="17" t="n">
        <v>46267</v>
      </c>
      <c r="B9" s="12" t="n">
        <v>22837</v>
      </c>
      <c r="C9" s="12" t="inlineStr">
        <is>
          <t>CARBON CIENTIFICA LTDA</t>
        </is>
      </c>
      <c r="D9" s="12" t="inlineStr">
        <is>
          <t>44114040000130</t>
        </is>
      </c>
      <c r="E9" s="12" t="inlineStr">
        <is>
          <t>PR</t>
        </is>
      </c>
      <c r="F9" s="12" t="inlineStr">
        <is>
          <t>Normal</t>
        </is>
      </c>
      <c r="G9" s="12" t="inlineStr">
        <is>
          <t>5949</t>
        </is>
      </c>
      <c r="H9" s="12" t="inlineStr">
        <is>
          <t>1949</t>
        </is>
      </c>
      <c r="I9" s="12" t="inlineStr">
        <is>
          <t>28353920</t>
        </is>
      </c>
      <c r="J9" s="12" t="inlineStr">
        <is>
          <t>PIROFOSFATO DE SODIO (TETRABASICO) DECAHIDRATADO PA 1000G - CARBON</t>
        </is>
      </c>
      <c r="K9" s="14" t="n">
        <v>1</v>
      </c>
      <c r="L9" s="12" t="inlineStr">
        <is>
          <t>00</t>
        </is>
      </c>
      <c r="M9" s="14" t="n">
        <v>0.2</v>
      </c>
      <c r="N9" s="12" t="n"/>
      <c r="O9" s="14" t="n"/>
      <c r="P9" s="12" t="inlineStr">
        <is>
          <t>Matéria-prima (químico inorgânico) - mas CFOP 5949 (outras saídas: amostra/brinde/remessa)</t>
        </is>
      </c>
      <c r="Q9" s="12" t="inlineStr">
        <is>
          <t>CFOP 5949</t>
        </is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2" t="inlineStr">
        <is>
          <t>Matéria-prima (químico inorgânico) - mas CFOP 5949 (outras saídas: amostra/brinde/remessa): ICMS destacado R$ 0.20 não gera crédito</t>
        </is>
      </c>
      <c r="X9" s="12" t="inlineStr"/>
      <c r="Y9" s="16" t="inlineStr"/>
      <c r="Z9" s="16" t="inlineStr"/>
    </row>
    <row r="10">
      <c r="A10" s="17" t="n">
        <v>46267</v>
      </c>
      <c r="B10" s="12" t="n">
        <v>5027</v>
      </c>
      <c r="C10" s="12" t="inlineStr">
        <is>
          <t>JOSE DOMINGOS LINARES LTDA</t>
        </is>
      </c>
      <c r="D10" s="12" t="inlineStr">
        <is>
          <t>03839251000152</t>
        </is>
      </c>
      <c r="E10" s="12" t="inlineStr">
        <is>
          <t>PR</t>
        </is>
      </c>
      <c r="F10" s="12" t="inlineStr">
        <is>
          <t>Normal</t>
        </is>
      </c>
      <c r="G10" s="12" t="inlineStr">
        <is>
          <t>5923</t>
        </is>
      </c>
      <c r="H10" s="12" t="inlineStr">
        <is>
          <t>1923</t>
        </is>
      </c>
      <c r="I10" s="12" t="inlineStr">
        <is>
          <t>48211000</t>
        </is>
      </c>
      <c r="J10" s="12" t="inlineStr">
        <is>
          <t>ETIQUETAS - 3,5 X 1,3 CM, LOTE 166955-25075</t>
        </is>
      </c>
      <c r="K10" s="14" t="n">
        <v>600</v>
      </c>
      <c r="L10" s="12" t="inlineStr">
        <is>
          <t>41</t>
        </is>
      </c>
      <c r="M10" s="14" t="n">
        <v>0</v>
      </c>
      <c r="N10" s="12" t="n"/>
      <c r="O10" s="14" t="n"/>
      <c r="P10" s="12" t="inlineStr">
        <is>
          <t>Remessa por conta e ordem de terceiros em venda à ordem (a venda vem em outra nota)</t>
        </is>
      </c>
      <c r="Q10" s="12" t="inlineStr">
        <is>
          <t>CFOP 5923</t>
        </is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2" t="inlineStr">
        <is>
          <t>Remessa por conta e ordem de terceiros em venda à ordem (a venda vem em outra nota)</t>
        </is>
      </c>
      <c r="X10" s="12" t="inlineStr"/>
      <c r="Y10" s="16" t="inlineStr"/>
      <c r="Z10" s="16" t="inlineStr"/>
    </row>
    <row r="11">
      <c r="A11" s="17" t="n">
        <v>46267</v>
      </c>
      <c r="B11" s="12" t="n">
        <v>160326</v>
      </c>
      <c r="C11" s="12" t="inlineStr">
        <is>
          <t>NewProv - Produtos para Laboratório Ltda</t>
        </is>
      </c>
      <c r="D11" s="12" t="inlineStr">
        <is>
          <t>73636391000109</t>
        </is>
      </c>
      <c r="E11" s="12" t="inlineStr">
        <is>
          <t>PR</t>
        </is>
      </c>
      <c r="F11" s="12" t="inlineStr">
        <is>
          <t>Normal</t>
        </is>
      </c>
      <c r="G11" s="12" t="inlineStr">
        <is>
          <t>5101</t>
        </is>
      </c>
      <c r="H11" s="12" t="inlineStr">
        <is>
          <t>1556</t>
        </is>
      </c>
      <c r="I11" s="12" t="inlineStr">
        <is>
          <t>38221990</t>
        </is>
      </c>
      <c r="J11" s="12" t="inlineStr">
        <is>
          <t>Agar Triptico de soja (TSA) pcte c/ 10 placas 90x15mm</t>
        </is>
      </c>
      <c r="K11" s="14" t="n">
        <v>250.39</v>
      </c>
      <c r="L11" s="12" t="inlineStr">
        <is>
          <t>00</t>
        </is>
      </c>
      <c r="M11" s="14" t="n">
        <v>48.83</v>
      </c>
      <c r="N11" s="12" t="n"/>
      <c r="O11" s="14" t="n"/>
      <c r="P11" s="12" t="inlineStr">
        <is>
          <t>Uso e consumo (reagente de laboratório)</t>
        </is>
      </c>
      <c r="Q11" s="12" t="inlineStr">
        <is>
          <t>NCM 38221990</t>
        </is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2" t="inlineStr">
        <is>
          <t>Uso e consumo (reagente de laboratório): ICMS destacado R$ 48.83 não gera crédito</t>
        </is>
      </c>
      <c r="X11" s="12" t="inlineStr"/>
      <c r="Y11" s="16" t="inlineStr"/>
      <c r="Z11" s="16" t="inlineStr"/>
    </row>
    <row r="12">
      <c r="A12" s="17" t="n">
        <v>46267</v>
      </c>
      <c r="B12" s="12" t="n">
        <v>160326</v>
      </c>
      <c r="C12" s="12" t="inlineStr">
        <is>
          <t>NewProv - Produtos para Laboratório Ltda</t>
        </is>
      </c>
      <c r="D12" s="12" t="inlineStr">
        <is>
          <t>73636391000109</t>
        </is>
      </c>
      <c r="E12" s="12" t="inlineStr">
        <is>
          <t>PR</t>
        </is>
      </c>
      <c r="F12" s="12" t="inlineStr">
        <is>
          <t>Normal</t>
        </is>
      </c>
      <c r="G12" s="12" t="inlineStr">
        <is>
          <t>5101</t>
        </is>
      </c>
      <c r="H12" s="12" t="inlineStr">
        <is>
          <t>1556</t>
        </is>
      </c>
      <c r="I12" s="12" t="inlineStr">
        <is>
          <t>38221990</t>
        </is>
      </c>
      <c r="J12" s="12" t="inlineStr">
        <is>
          <t>Agar Sabouraud Dextrose pcte c/ 10 placas 90x15mm</t>
        </is>
      </c>
      <c r="K12" s="14" t="n">
        <v>222.56</v>
      </c>
      <c r="L12" s="12" t="inlineStr">
        <is>
          <t>00</t>
        </is>
      </c>
      <c r="M12" s="14" t="n">
        <v>43.4</v>
      </c>
      <c r="N12" s="12" t="n"/>
      <c r="O12" s="14" t="n"/>
      <c r="P12" s="12" t="inlineStr">
        <is>
          <t>Uso e consumo (reagente de laboratório)</t>
        </is>
      </c>
      <c r="Q12" s="12" t="inlineStr">
        <is>
          <t>NCM 38221990</t>
        </is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2" t="inlineStr">
        <is>
          <t>Uso e consumo (reagente de laboratório): ICMS destacado R$ 43.40 não gera crédito</t>
        </is>
      </c>
      <c r="X12" s="12" t="inlineStr"/>
      <c r="Y12" s="16" t="inlineStr"/>
      <c r="Z12" s="16" t="inlineStr"/>
    </row>
    <row r="13">
      <c r="A13" s="17" t="n">
        <v>46267</v>
      </c>
      <c r="B13" s="12" t="n">
        <v>160326</v>
      </c>
      <c r="C13" s="12" t="inlineStr">
        <is>
          <t>NewProv - Produtos para Laboratório Ltda</t>
        </is>
      </c>
      <c r="D13" s="12" t="inlineStr">
        <is>
          <t>73636391000109</t>
        </is>
      </c>
      <c r="E13" s="12" t="inlineStr">
        <is>
          <t>PR</t>
        </is>
      </c>
      <c r="F13" s="12" t="inlineStr">
        <is>
          <t>Normal</t>
        </is>
      </c>
      <c r="G13" s="12" t="inlineStr">
        <is>
          <t>5101</t>
        </is>
      </c>
      <c r="H13" s="12" t="inlineStr">
        <is>
          <t>1556</t>
        </is>
      </c>
      <c r="I13" s="12" t="inlineStr">
        <is>
          <t>38221990</t>
        </is>
      </c>
      <c r="J13" s="12" t="inlineStr">
        <is>
          <t>Agar PCA pcte c/ 10 placas 90x15mm</t>
        </is>
      </c>
      <c r="K13" s="14" t="n">
        <v>35.06</v>
      </c>
      <c r="L13" s="12" t="inlineStr">
        <is>
          <t>00</t>
        </is>
      </c>
      <c r="M13" s="14" t="n">
        <v>6.84</v>
      </c>
      <c r="N13" s="12" t="n"/>
      <c r="O13" s="14" t="n"/>
      <c r="P13" s="12" t="inlineStr">
        <is>
          <t>Uso e consumo (reagente de laboratório)</t>
        </is>
      </c>
      <c r="Q13" s="12" t="inlineStr">
        <is>
          <t>NCM 38221990</t>
        </is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2" t="inlineStr">
        <is>
          <t>Uso e consumo (reagente de laboratório): ICMS destacado R$ 6.84 não gera crédito</t>
        </is>
      </c>
      <c r="X13" s="12" t="inlineStr"/>
      <c r="Y13" s="16" t="inlineStr"/>
      <c r="Z13" s="16" t="inlineStr"/>
    </row>
    <row r="14">
      <c r="A14" s="17" t="n">
        <v>46267</v>
      </c>
      <c r="B14" s="12" t="n">
        <v>160326</v>
      </c>
      <c r="C14" s="12" t="inlineStr">
        <is>
          <t>NewProv - Produtos para Laboratório Ltda</t>
        </is>
      </c>
      <c r="D14" s="12" t="inlineStr">
        <is>
          <t>73636391000109</t>
        </is>
      </c>
      <c r="E14" s="12" t="inlineStr">
        <is>
          <t>PR</t>
        </is>
      </c>
      <c r="F14" s="12" t="inlineStr">
        <is>
          <t>Normal</t>
        </is>
      </c>
      <c r="G14" s="12" t="inlineStr">
        <is>
          <t>5101</t>
        </is>
      </c>
      <c r="H14" s="12" t="inlineStr">
        <is>
          <t>1556</t>
        </is>
      </c>
      <c r="I14" s="12" t="inlineStr">
        <is>
          <t>38221990</t>
        </is>
      </c>
      <c r="J14" s="12" t="inlineStr">
        <is>
          <t>Agar Mac Conkey pcte c/ 10 placas 90x15mm</t>
        </is>
      </c>
      <c r="K14" s="14" t="n">
        <v>35.15</v>
      </c>
      <c r="L14" s="12" t="inlineStr">
        <is>
          <t>00</t>
        </is>
      </c>
      <c r="M14" s="14" t="n">
        <v>6.85</v>
      </c>
      <c r="N14" s="12" t="n"/>
      <c r="O14" s="14" t="n"/>
      <c r="P14" s="12" t="inlineStr">
        <is>
          <t>Uso e consumo (reagente de laboratório)</t>
        </is>
      </c>
      <c r="Q14" s="12" t="inlineStr">
        <is>
          <t>NCM 38221990</t>
        </is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2" t="inlineStr">
        <is>
          <t>Uso e consumo (reagente de laboratório): ICMS destacado R$ 6.85 não gera crédito</t>
        </is>
      </c>
      <c r="X14" s="12" t="inlineStr"/>
      <c r="Y14" s="16" t="inlineStr"/>
      <c r="Z14" s="16" t="inlineStr"/>
    </row>
    <row r="15">
      <c r="A15" s="17" t="n">
        <v>46267</v>
      </c>
      <c r="B15" s="12" t="n">
        <v>160326</v>
      </c>
      <c r="C15" s="12" t="inlineStr">
        <is>
          <t>NewProv - Produtos para Laboratório Ltda</t>
        </is>
      </c>
      <c r="D15" s="12" t="inlineStr">
        <is>
          <t>73636391000109</t>
        </is>
      </c>
      <c r="E15" s="12" t="inlineStr">
        <is>
          <t>PR</t>
        </is>
      </c>
      <c r="F15" s="12" t="inlineStr">
        <is>
          <t>Normal</t>
        </is>
      </c>
      <c r="G15" s="12" t="inlineStr">
        <is>
          <t>5101</t>
        </is>
      </c>
      <c r="H15" s="12" t="inlineStr">
        <is>
          <t>1556</t>
        </is>
      </c>
      <c r="I15" s="12" t="inlineStr">
        <is>
          <t>38221990</t>
        </is>
      </c>
      <c r="J15" s="12" t="inlineStr">
        <is>
          <t>Agar Cetrimide pcte c/ 10 placas 90x15mm</t>
        </is>
      </c>
      <c r="K15" s="14" t="n">
        <v>226.01</v>
      </c>
      <c r="L15" s="12" t="inlineStr">
        <is>
          <t>00</t>
        </is>
      </c>
      <c r="M15" s="14" t="n">
        <v>44.07</v>
      </c>
      <c r="N15" s="12" t="n"/>
      <c r="O15" s="14" t="n"/>
      <c r="P15" s="12" t="inlineStr">
        <is>
          <t>Uso e consumo (reagente de laboratório)</t>
        </is>
      </c>
      <c r="Q15" s="12" t="inlineStr">
        <is>
          <t>NCM 38221990</t>
        </is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2" t="inlineStr">
        <is>
          <t>Uso e consumo (reagente de laboratório): ICMS destacado R$ 44.07 não gera crédito</t>
        </is>
      </c>
      <c r="X15" s="12" t="inlineStr"/>
      <c r="Y15" s="16" t="inlineStr"/>
      <c r="Z15" s="16" t="inlineStr"/>
    </row>
    <row r="16">
      <c r="A16" s="17" t="n">
        <v>46267</v>
      </c>
      <c r="B16" s="12" t="n">
        <v>160326</v>
      </c>
      <c r="C16" s="12" t="inlineStr">
        <is>
          <t>NewProv - Produtos para Laboratório Ltda</t>
        </is>
      </c>
      <c r="D16" s="12" t="inlineStr">
        <is>
          <t>73636391000109</t>
        </is>
      </c>
      <c r="E16" s="12" t="inlineStr">
        <is>
          <t>PR</t>
        </is>
      </c>
      <c r="F16" s="12" t="inlineStr">
        <is>
          <t>Normal</t>
        </is>
      </c>
      <c r="G16" s="12" t="inlineStr">
        <is>
          <t>5101</t>
        </is>
      </c>
      <c r="H16" s="12" t="inlineStr">
        <is>
          <t>1556</t>
        </is>
      </c>
      <c r="I16" s="12" t="inlineStr">
        <is>
          <t>38221990</t>
        </is>
      </c>
      <c r="J16" s="12" t="inlineStr">
        <is>
          <t>Agar Baird Parker pcte c/ 10 placas 90x15mm</t>
        </is>
      </c>
      <c r="K16" s="14" t="n">
        <v>317.89</v>
      </c>
      <c r="L16" s="12" t="inlineStr">
        <is>
          <t>00</t>
        </is>
      </c>
      <c r="M16" s="14" t="n">
        <v>61.99</v>
      </c>
      <c r="N16" s="12" t="n"/>
      <c r="O16" s="14" t="n"/>
      <c r="P16" s="12" t="inlineStr">
        <is>
          <t>Uso e consumo (reagente de laboratório)</t>
        </is>
      </c>
      <c r="Q16" s="12" t="inlineStr">
        <is>
          <t>NCM 38221990</t>
        </is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2" t="inlineStr">
        <is>
          <t>Uso e consumo (reagente de laboratório): ICMS destacado R$ 61.99 não gera crédito</t>
        </is>
      </c>
      <c r="X16" s="12" t="inlineStr"/>
      <c r="Y16" s="16" t="inlineStr"/>
      <c r="Z16" s="16" t="inlineStr"/>
    </row>
    <row r="17">
      <c r="A17" s="17" t="n">
        <v>46267</v>
      </c>
      <c r="B17" s="12" t="n">
        <v>160326</v>
      </c>
      <c r="C17" s="12" t="inlineStr">
        <is>
          <t>NewProv - Produtos para Laboratório Ltda</t>
        </is>
      </c>
      <c r="D17" s="12" t="inlineStr">
        <is>
          <t>73636391000109</t>
        </is>
      </c>
      <c r="E17" s="12" t="inlineStr">
        <is>
          <t>PR</t>
        </is>
      </c>
      <c r="F17" s="12" t="inlineStr">
        <is>
          <t>Normal</t>
        </is>
      </c>
      <c r="G17" s="12" t="inlineStr">
        <is>
          <t>5101</t>
        </is>
      </c>
      <c r="H17" s="12" t="inlineStr">
        <is>
          <t>1556</t>
        </is>
      </c>
      <c r="I17" s="12" t="inlineStr">
        <is>
          <t>38221990</t>
        </is>
      </c>
      <c r="J17" s="12" t="inlineStr">
        <is>
          <t>Acquaplus I sachê c/ 10 testes</t>
        </is>
      </c>
      <c r="K17" s="14" t="n">
        <v>915.08</v>
      </c>
      <c r="L17" s="12" t="inlineStr">
        <is>
          <t>00</t>
        </is>
      </c>
      <c r="M17" s="14" t="n">
        <v>178.44</v>
      </c>
      <c r="N17" s="12" t="n"/>
      <c r="O17" s="14" t="n"/>
      <c r="P17" s="12" t="inlineStr">
        <is>
          <t>Uso e consumo (reagente de laboratório)</t>
        </is>
      </c>
      <c r="Q17" s="12" t="inlineStr">
        <is>
          <t>NCM 38221990</t>
        </is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2" t="inlineStr">
        <is>
          <t>Uso e consumo (reagente de laboratório): ICMS destacado R$ 178.44 não gera crédito</t>
        </is>
      </c>
      <c r="X17" s="12" t="inlineStr"/>
      <c r="Y17" s="16" t="inlineStr"/>
      <c r="Z17" s="16" t="inlineStr"/>
    </row>
    <row r="18">
      <c r="A18" s="17" t="n">
        <v>46267</v>
      </c>
      <c r="B18" s="12" t="n">
        <v>160326</v>
      </c>
      <c r="C18" s="12" t="inlineStr">
        <is>
          <t>NewProv - Produtos para Laboratório Ltda</t>
        </is>
      </c>
      <c r="D18" s="12" t="inlineStr">
        <is>
          <t>73636391000109</t>
        </is>
      </c>
      <c r="E18" s="12" t="inlineStr">
        <is>
          <t>PR</t>
        </is>
      </c>
      <c r="F18" s="12" t="inlineStr">
        <is>
          <t>Normal</t>
        </is>
      </c>
      <c r="G18" s="12" t="inlineStr">
        <is>
          <t>5101</t>
        </is>
      </c>
      <c r="H18" s="12" t="inlineStr">
        <is>
          <t>1556</t>
        </is>
      </c>
      <c r="I18" s="12" t="inlineStr">
        <is>
          <t>38221990</t>
        </is>
      </c>
      <c r="J18" s="12" t="inlineStr">
        <is>
          <t>Caldo BHI cx c/ 10 tubos</t>
        </is>
      </c>
      <c r="K18" s="14" t="n">
        <v>246.51</v>
      </c>
      <c r="L18" s="12" t="inlineStr">
        <is>
          <t>00</t>
        </is>
      </c>
      <c r="M18" s="14" t="n">
        <v>48.07</v>
      </c>
      <c r="N18" s="12" t="n"/>
      <c r="O18" s="14" t="n"/>
      <c r="P18" s="12" t="inlineStr">
        <is>
          <t>Uso e consumo (reagente de laboratório)</t>
        </is>
      </c>
      <c r="Q18" s="12" t="inlineStr">
        <is>
          <t>NCM 38221990</t>
        </is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2" t="inlineStr">
        <is>
          <t>Uso e consumo (reagente de laboratório): ICMS destacado R$ 48.07 não gera crédito</t>
        </is>
      </c>
      <c r="X18" s="12" t="inlineStr"/>
      <c r="Y18" s="16" t="inlineStr"/>
      <c r="Z18" s="16" t="inlineStr"/>
    </row>
    <row r="19">
      <c r="A19" s="17" t="n">
        <v>46267</v>
      </c>
      <c r="B19" s="12" t="n">
        <v>695</v>
      </c>
      <c r="C19" s="12" t="inlineStr">
        <is>
          <t>REATEC DO BRASIL LTDA</t>
        </is>
      </c>
      <c r="D19" s="12" t="inlineStr">
        <is>
          <t>62341566000134</t>
        </is>
      </c>
      <c r="E19" s="12" t="inlineStr">
        <is>
          <t>PR</t>
        </is>
      </c>
      <c r="F19" s="12" t="inlineStr">
        <is>
          <t>Simples Nacional</t>
        </is>
      </c>
      <c r="G19" s="12" t="inlineStr">
        <is>
          <t>5102</t>
        </is>
      </c>
      <c r="H19" s="12" t="inlineStr">
        <is>
          <t>1556</t>
        </is>
      </c>
      <c r="I19" s="12" t="inlineStr">
        <is>
          <t>29221100</t>
        </is>
      </c>
      <c r="J19" s="12" t="inlineStr">
        <is>
          <t>ETANOLAMINA MONO PS 1000ml  (2-Aminoetanol) REATEC</t>
        </is>
      </c>
      <c r="K19" s="14" t="n">
        <v>3738</v>
      </c>
      <c r="L19" s="12" t="inlineStr">
        <is>
          <t>101</t>
        </is>
      </c>
      <c r="M19" s="14" t="n">
        <v>0</v>
      </c>
      <c r="N19" s="12" t="n"/>
      <c r="O19" s="14" t="n"/>
      <c r="P19" s="12" t="inlineStr">
        <is>
          <t>Uso e consumo (classificação do SPED anterior)</t>
        </is>
      </c>
      <c r="Q19" s="12" t="inlineStr">
        <is>
          <t>SPED anterior: CFOP 1556</t>
        </is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2" t="inlineStr">
        <is>
          <t>Simples (CSOSN 101) - Uso e consumo (classificação do SPED anterior): sem crédito (só mercadoria para industrialização/comercialização)</t>
        </is>
      </c>
      <c r="X19" s="12" t="inlineStr"/>
      <c r="Y19" s="16" t="inlineStr"/>
      <c r="Z19" s="16" t="inlineStr"/>
    </row>
    <row r="20">
      <c r="A20" s="17" t="n">
        <v>46267</v>
      </c>
      <c r="B20" s="12" t="n">
        <v>300</v>
      </c>
      <c r="C20" s="12" t="inlineStr">
        <is>
          <t>THERMOSUL RESISTENCIAS ELETRICAS LTDA</t>
        </is>
      </c>
      <c r="D20" s="12" t="inlineStr">
        <is>
          <t>66434370000145</t>
        </is>
      </c>
      <c r="E20" s="12" t="inlineStr">
        <is>
          <t>PR</t>
        </is>
      </c>
      <c r="F20" s="12" t="inlineStr">
        <is>
          <t>Simples Nacional</t>
        </is>
      </c>
      <c r="G20" s="12" t="inlineStr">
        <is>
          <t>5101</t>
        </is>
      </c>
      <c r="H20" s="12" t="inlineStr">
        <is>
          <t>1556</t>
        </is>
      </c>
      <c r="I20" s="12" t="inlineStr">
        <is>
          <t>85334099</t>
        </is>
      </c>
      <c r="J20" s="12" t="inlineStr">
        <is>
          <t>RESIST. MICA EM U D85X105X85X110MM 800WX220V C/8 FUROS D8MM CABO 200MM</t>
        </is>
      </c>
      <c r="K20" s="14" t="n">
        <v>1296</v>
      </c>
      <c r="L20" s="12" t="inlineStr">
        <is>
          <t>102</t>
        </is>
      </c>
      <c r="M20" s="14" t="n">
        <v>0</v>
      </c>
      <c r="N20" s="12" t="n"/>
      <c r="O20" s="14" t="n"/>
      <c r="P20" s="12" t="inlineStr">
        <is>
          <t>Uso e consumo (peça de manutenção)</t>
        </is>
      </c>
      <c r="Q20" s="12" t="inlineStr">
        <is>
          <t>NCM 85334099</t>
        </is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2" t="inlineStr">
        <is>
          <t>Simples (CSOSN 102) - Uso e consumo (peça de manutenção): sem crédito (só mercadoria para industrialização/comercialização)</t>
        </is>
      </c>
      <c r="X20" s="12" t="inlineStr"/>
      <c r="Y20" s="16" t="inlineStr"/>
      <c r="Z20" s="16" t="inlineStr"/>
    </row>
    <row r="21">
      <c r="A21" s="17" t="n">
        <v>46267</v>
      </c>
      <c r="B21" s="12" t="n">
        <v>300</v>
      </c>
      <c r="C21" s="12" t="inlineStr">
        <is>
          <t>THERMOSUL RESISTENCIAS ELETRICAS LTDA</t>
        </is>
      </c>
      <c r="D21" s="12" t="inlineStr">
        <is>
          <t>66434370000145</t>
        </is>
      </c>
      <c r="E21" s="12" t="inlineStr">
        <is>
          <t>PR</t>
        </is>
      </c>
      <c r="F21" s="12" t="inlineStr">
        <is>
          <t>Simples Nacional</t>
        </is>
      </c>
      <c r="G21" s="12" t="inlineStr">
        <is>
          <t>5101</t>
        </is>
      </c>
      <c r="H21" s="12" t="inlineStr">
        <is>
          <t>1556</t>
        </is>
      </c>
      <c r="I21" s="12" t="inlineStr">
        <is>
          <t>85334099</t>
        </is>
      </c>
      <c r="J21" s="12" t="inlineStr">
        <is>
          <t>RESIST. COL. EM U 80X105X80X109MM 800WX220V CABO 200MM C/8 FUROS D14MM 1 FURO D15 CABO 200MM</t>
        </is>
      </c>
      <c r="K21" s="14" t="n">
        <v>1296</v>
      </c>
      <c r="L21" s="12" t="inlineStr">
        <is>
          <t>102</t>
        </is>
      </c>
      <c r="M21" s="14" t="n">
        <v>0</v>
      </c>
      <c r="N21" s="12" t="n"/>
      <c r="O21" s="14" t="n"/>
      <c r="P21" s="12" t="inlineStr">
        <is>
          <t>Uso e consumo (peça de manutenção)</t>
        </is>
      </c>
      <c r="Q21" s="12" t="inlineStr">
        <is>
          <t>NCM 85334099</t>
        </is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2" t="inlineStr">
        <is>
          <t>Simples (CSOSN 102) - Uso e consumo (peça de manutenção): sem crédito (só mercadoria para industrialização/comercialização)</t>
        </is>
      </c>
      <c r="X21" s="12" t="inlineStr"/>
      <c r="Y21" s="16" t="inlineStr"/>
      <c r="Z21" s="16" t="inlineStr"/>
    </row>
    <row r="22">
      <c r="A22" s="17" t="n">
        <v>46267</v>
      </c>
      <c r="B22" s="12" t="n">
        <v>786</v>
      </c>
      <c r="C22" s="12" t="inlineStr">
        <is>
          <t>YAHWEH PRINT BRASIL LTDA</t>
        </is>
      </c>
      <c r="D22" s="12" t="inlineStr">
        <is>
          <t>52680145000184</t>
        </is>
      </c>
      <c r="E22" s="12" t="inlineStr">
        <is>
          <t>PR</t>
        </is>
      </c>
      <c r="F22" s="12" t="inlineStr">
        <is>
          <t>Simples Nacional</t>
        </is>
      </c>
      <c r="G22" s="12" t="inlineStr">
        <is>
          <t>5101</t>
        </is>
      </c>
      <c r="H22" s="12" t="inlineStr">
        <is>
          <t>1101</t>
        </is>
      </c>
      <c r="I22" s="12" t="inlineStr">
        <is>
          <t>48211000</t>
        </is>
      </c>
      <c r="J22" s="12" t="inlineStr">
        <is>
          <t>Etiqueta Cliche Personalizado</t>
        </is>
      </c>
      <c r="K22" s="14" t="n">
        <v>470.31</v>
      </c>
      <c r="L22" s="12" t="inlineStr">
        <is>
          <t>102</t>
        </is>
      </c>
      <c r="M22" s="14" t="n">
        <v>0</v>
      </c>
      <c r="N22" s="12" t="n"/>
      <c r="O22" s="14" t="n"/>
      <c r="P22" s="12" t="inlineStr">
        <is>
          <t>Insumo (classificação do SPED anterior)</t>
        </is>
      </c>
      <c r="Q22" s="12" t="inlineStr">
        <is>
          <t>SPED anterior: CFOP 1101</t>
        </is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2" t="inlineStr">
        <is>
          <t>Simples CSOSN 102 (tributada SEM permissão de crédito): sem direito a crédito</t>
        </is>
      </c>
      <c r="X22" s="12" t="inlineStr"/>
      <c r="Y22" s="16" t="inlineStr"/>
      <c r="Z22" s="16" t="inlineStr"/>
    </row>
    <row r="23">
      <c r="A23" s="17" t="n">
        <v>46267</v>
      </c>
      <c r="B23" s="12" t="n">
        <v>786</v>
      </c>
      <c r="C23" s="12" t="inlineStr">
        <is>
          <t>YAHWEH PRINT BRASIL LTDA</t>
        </is>
      </c>
      <c r="D23" s="12" t="inlineStr">
        <is>
          <t>52680145000184</t>
        </is>
      </c>
      <c r="E23" s="12" t="inlineStr">
        <is>
          <t>PR</t>
        </is>
      </c>
      <c r="F23" s="12" t="inlineStr">
        <is>
          <t>Simples Nacional</t>
        </is>
      </c>
      <c r="G23" s="12" t="inlineStr">
        <is>
          <t>5101</t>
        </is>
      </c>
      <c r="H23" s="12" t="inlineStr">
        <is>
          <t>1101</t>
        </is>
      </c>
      <c r="I23" s="12" t="inlineStr">
        <is>
          <t>48211000</t>
        </is>
      </c>
      <c r="J23" s="12" t="inlineStr">
        <is>
          <t>Etiqueta Rotulo Cosmetici - Oleo Vegetal Cartamo 50ml - 40x100 mm - Bopp Metalizado - Lam.</t>
        </is>
      </c>
      <c r="K23" s="14" t="n">
        <v>974.91</v>
      </c>
      <c r="L23" s="12" t="inlineStr">
        <is>
          <t>102</t>
        </is>
      </c>
      <c r="M23" s="14" t="n">
        <v>0</v>
      </c>
      <c r="N23" s="12" t="n"/>
      <c r="O23" s="14" t="n"/>
      <c r="P23" s="12" t="inlineStr">
        <is>
          <t>Insumo (classificação do SPED anterior)</t>
        </is>
      </c>
      <c r="Q23" s="12" t="inlineStr">
        <is>
          <t>SPED anterior: CFOP 1101</t>
        </is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2" t="inlineStr">
        <is>
          <t>Simples CSOSN 102 (tributada SEM permissão de crédito): sem direito a crédito</t>
        </is>
      </c>
      <c r="X23" s="12" t="inlineStr"/>
      <c r="Y23" s="16" t="inlineStr"/>
      <c r="Z23" s="16" t="inlineStr"/>
    </row>
    <row r="24">
      <c r="A24" s="17" t="n">
        <v>46267</v>
      </c>
      <c r="B24" s="12" t="n">
        <v>786</v>
      </c>
      <c r="C24" s="12" t="inlineStr">
        <is>
          <t>YAHWEH PRINT BRASIL LTDA</t>
        </is>
      </c>
      <c r="D24" s="12" t="inlineStr">
        <is>
          <t>52680145000184</t>
        </is>
      </c>
      <c r="E24" s="12" t="inlineStr">
        <is>
          <t>PR</t>
        </is>
      </c>
      <c r="F24" s="12" t="inlineStr">
        <is>
          <t>Simples Nacional</t>
        </is>
      </c>
      <c r="G24" s="12" t="inlineStr">
        <is>
          <t>5101</t>
        </is>
      </c>
      <c r="H24" s="12" t="inlineStr">
        <is>
          <t>1101</t>
        </is>
      </c>
      <c r="I24" s="12" t="inlineStr">
        <is>
          <t>48211000</t>
        </is>
      </c>
      <c r="J24" s="12" t="inlineStr">
        <is>
          <t>Etiqueta Rotulo Cosmetici - Oleo Vegetal Chia 50ml - 40x100 mm - Bopp Metalizado - Lam.</t>
        </is>
      </c>
      <c r="K24" s="14" t="n">
        <v>991.53</v>
      </c>
      <c r="L24" s="12" t="inlineStr">
        <is>
          <t>102</t>
        </is>
      </c>
      <c r="M24" s="14" t="n">
        <v>0</v>
      </c>
      <c r="N24" s="12" t="n"/>
      <c r="O24" s="14" t="n"/>
      <c r="P24" s="12" t="inlineStr">
        <is>
          <t>Insumo (classificação do SPED anterior)</t>
        </is>
      </c>
      <c r="Q24" s="12" t="inlineStr">
        <is>
          <t>SPED anterior: CFOP 1101</t>
        </is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2" t="inlineStr">
        <is>
          <t>Simples CSOSN 102 (tributada SEM permissão de crédito): sem direito a crédito</t>
        </is>
      </c>
      <c r="X24" s="12" t="inlineStr"/>
      <c r="Y24" s="16" t="inlineStr"/>
      <c r="Z24" s="16" t="inlineStr"/>
    </row>
    <row r="25">
      <c r="A25" s="17" t="n">
        <v>46267</v>
      </c>
      <c r="B25" s="12" t="n">
        <v>786</v>
      </c>
      <c r="C25" s="12" t="inlineStr">
        <is>
          <t>YAHWEH PRINT BRASIL LTDA</t>
        </is>
      </c>
      <c r="D25" s="12" t="inlineStr">
        <is>
          <t>52680145000184</t>
        </is>
      </c>
      <c r="E25" s="12" t="inlineStr">
        <is>
          <t>PR</t>
        </is>
      </c>
      <c r="F25" s="12" t="inlineStr">
        <is>
          <t>Simples Nacional</t>
        </is>
      </c>
      <c r="G25" s="12" t="inlineStr">
        <is>
          <t>5101</t>
        </is>
      </c>
      <c r="H25" s="12" t="inlineStr">
        <is>
          <t>1101</t>
        </is>
      </c>
      <c r="I25" s="12" t="inlineStr">
        <is>
          <t>48211000</t>
        </is>
      </c>
      <c r="J25" s="12" t="inlineStr">
        <is>
          <t>Etiqueta Rotulo Cosmetici - Oleo Vegetal Girassol 50ml - 40x100 mm - Bopp Metalizado - Lam.</t>
        </is>
      </c>
      <c r="K25" s="14" t="n">
        <v>979.34</v>
      </c>
      <c r="L25" s="12" t="inlineStr">
        <is>
          <t>102</t>
        </is>
      </c>
      <c r="M25" s="14" t="n">
        <v>0</v>
      </c>
      <c r="N25" s="12" t="n"/>
      <c r="O25" s="14" t="n"/>
      <c r="P25" s="12" t="inlineStr">
        <is>
          <t>Insumo (classificação do SPED anterior)</t>
        </is>
      </c>
      <c r="Q25" s="12" t="inlineStr">
        <is>
          <t>SPED anterior: CFOP 1101</t>
        </is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2" t="inlineStr">
        <is>
          <t>Simples CSOSN 102 (tributada SEM permissão de crédito): sem direito a crédito</t>
        </is>
      </c>
      <c r="X25" s="12" t="inlineStr"/>
      <c r="Y25" s="16" t="inlineStr"/>
      <c r="Z25" s="16" t="inlineStr"/>
    </row>
    <row r="26">
      <c r="A26" s="17" t="n">
        <v>46267</v>
      </c>
      <c r="B26" s="12" t="n">
        <v>786</v>
      </c>
      <c r="C26" s="12" t="inlineStr">
        <is>
          <t>YAHWEH PRINT BRASIL LTDA</t>
        </is>
      </c>
      <c r="D26" s="12" t="inlineStr">
        <is>
          <t>52680145000184</t>
        </is>
      </c>
      <c r="E26" s="12" t="inlineStr">
        <is>
          <t>PR</t>
        </is>
      </c>
      <c r="F26" s="12" t="inlineStr">
        <is>
          <t>Simples Nacional</t>
        </is>
      </c>
      <c r="G26" s="12" t="inlineStr">
        <is>
          <t>5101</t>
        </is>
      </c>
      <c r="H26" s="12" t="inlineStr">
        <is>
          <t>1101</t>
        </is>
      </c>
      <c r="I26" s="12" t="inlineStr">
        <is>
          <t>48211000</t>
        </is>
      </c>
      <c r="J26" s="12" t="inlineStr">
        <is>
          <t>Etiqueta Cliche Personalizado</t>
        </is>
      </c>
      <c r="K26" s="14" t="n">
        <v>546.26</v>
      </c>
      <c r="L26" s="12" t="inlineStr">
        <is>
          <t>102</t>
        </is>
      </c>
      <c r="M26" s="14" t="n">
        <v>0</v>
      </c>
      <c r="N26" s="12" t="n"/>
      <c r="O26" s="14" t="n"/>
      <c r="P26" s="12" t="inlineStr">
        <is>
          <t>Insumo (classificação do SPED anterior)</t>
        </is>
      </c>
      <c r="Q26" s="12" t="inlineStr">
        <is>
          <t>SPED anterior: CFOP 1101</t>
        </is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2" t="inlineStr">
        <is>
          <t>Simples CSOSN 102 (tributada SEM permissão de crédito): sem direito a crédito</t>
        </is>
      </c>
      <c r="X26" s="12" t="inlineStr"/>
      <c r="Y26" s="16" t="inlineStr"/>
      <c r="Z26" s="16" t="inlineStr"/>
    </row>
    <row r="27">
      <c r="A27" s="17" t="n">
        <v>46267</v>
      </c>
      <c r="B27" s="12" t="n">
        <v>786</v>
      </c>
      <c r="C27" s="12" t="inlineStr">
        <is>
          <t>YAHWEH PRINT BRASIL LTDA</t>
        </is>
      </c>
      <c r="D27" s="12" t="inlineStr">
        <is>
          <t>52680145000184</t>
        </is>
      </c>
      <c r="E27" s="12" t="inlineStr">
        <is>
          <t>PR</t>
        </is>
      </c>
      <c r="F27" s="12" t="inlineStr">
        <is>
          <t>Simples Nacional</t>
        </is>
      </c>
      <c r="G27" s="12" t="inlineStr">
        <is>
          <t>5101</t>
        </is>
      </c>
      <c r="H27" s="12" t="inlineStr">
        <is>
          <t>1101</t>
        </is>
      </c>
      <c r="I27" s="12" t="inlineStr">
        <is>
          <t>48211000</t>
        </is>
      </c>
      <c r="J27" s="12" t="inlineStr">
        <is>
          <t>Etiqueta Rotulo Cosmetici Desperta Cachos 300ml- 155x140 mm - Bopp Metalizado - Lam. Fosca.</t>
        </is>
      </c>
      <c r="K27" s="14" t="n">
        <v>3090.44</v>
      </c>
      <c r="L27" s="12" t="inlineStr">
        <is>
          <t>102</t>
        </is>
      </c>
      <c r="M27" s="14" t="n">
        <v>0</v>
      </c>
      <c r="N27" s="12" t="n"/>
      <c r="O27" s="14" t="n"/>
      <c r="P27" s="12" t="inlineStr">
        <is>
          <t>Insumo (classificação do SPED anterior)</t>
        </is>
      </c>
      <c r="Q27" s="12" t="inlineStr">
        <is>
          <t>SPED anterior: CFOP 1101</t>
        </is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2" t="inlineStr">
        <is>
          <t>Simples CSOSN 102 (tributada SEM permissão de crédito): sem direito a crédito</t>
        </is>
      </c>
      <c r="X27" s="12" t="inlineStr"/>
      <c r="Y27" s="16" t="inlineStr"/>
      <c r="Z27" s="16" t="inlineStr"/>
    </row>
    <row r="28">
      <c r="A28" s="17" t="n">
        <v>46268</v>
      </c>
      <c r="B28" s="12" t="n">
        <v>4920</v>
      </c>
      <c r="C28" s="12" t="inlineStr">
        <is>
          <t>DISPOLI COMERCIO DE COSMETICOS LTDA</t>
        </is>
      </c>
      <c r="D28" s="12" t="inlineStr">
        <is>
          <t>41726398000125</t>
        </is>
      </c>
      <c r="E28" s="12" t="inlineStr">
        <is>
          <t>PR</t>
        </is>
      </c>
      <c r="F28" s="12" t="inlineStr">
        <is>
          <t>Simples Nacional</t>
        </is>
      </c>
      <c r="G28" s="12" t="inlineStr">
        <is>
          <t>5102</t>
        </is>
      </c>
      <c r="H28" s="12" t="inlineStr">
        <is>
          <t>1556</t>
        </is>
      </c>
      <c r="I28" s="12" t="inlineStr">
        <is>
          <t>39262000</t>
        </is>
      </c>
      <c r="J28" s="12" t="inlineStr">
        <is>
          <t>LUVA DESCARTAVEL PLASTICA POLI C/100 UN</t>
        </is>
      </c>
      <c r="K28" s="14" t="n">
        <v>169.38</v>
      </c>
      <c r="L28" s="12" t="inlineStr">
        <is>
          <t>102</t>
        </is>
      </c>
      <c r="M28" s="14" t="n">
        <v>0</v>
      </c>
      <c r="N28" s="12" t="n"/>
      <c r="O28" s="14" t="n"/>
      <c r="P28" s="12" t="inlineStr">
        <is>
          <t>Uso e consumo (luva/artigo plástico)</t>
        </is>
      </c>
      <c r="Q28" s="12" t="inlineStr">
        <is>
          <t>NCM 39262000</t>
        </is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2" t="inlineStr">
        <is>
          <t>Simples (CSOSN 102) - Uso e consumo (luva/artigo plástico): sem crédito (só mercadoria para industrialização/comercialização)</t>
        </is>
      </c>
      <c r="X28" s="12" t="inlineStr"/>
      <c r="Y28" s="16" t="inlineStr"/>
      <c r="Z28" s="16" t="inlineStr"/>
    </row>
    <row r="29">
      <c r="A29" s="17" t="n">
        <v>46268</v>
      </c>
      <c r="B29" s="12" t="n">
        <v>5048</v>
      </c>
      <c r="C29" s="12" t="inlineStr">
        <is>
          <t>JOSE DOMINGOS LINARES LTDA</t>
        </is>
      </c>
      <c r="D29" s="12" t="inlineStr">
        <is>
          <t>03839251000152</t>
        </is>
      </c>
      <c r="E29" s="12" t="inlineStr">
        <is>
          <t>PR</t>
        </is>
      </c>
      <c r="F29" s="12" t="inlineStr">
        <is>
          <t>Normal</t>
        </is>
      </c>
      <c r="G29" s="12" t="inlineStr">
        <is>
          <t>5923</t>
        </is>
      </c>
      <c r="H29" s="12" t="inlineStr">
        <is>
          <t>1923</t>
        </is>
      </c>
      <c r="I29" s="12" t="inlineStr">
        <is>
          <t>49111090</t>
        </is>
      </c>
      <c r="J29" s="12" t="inlineStr">
        <is>
          <t>CARTUCHO COLA FUNDO AUTOMATICO - NATURA COLOR 60G - 367X30X160CM (CLA)</t>
        </is>
      </c>
      <c r="K29" s="14" t="n">
        <v>1964</v>
      </c>
      <c r="L29" s="12" t="inlineStr">
        <is>
          <t>41</t>
        </is>
      </c>
      <c r="M29" s="14" t="n">
        <v>0</v>
      </c>
      <c r="N29" s="12" t="n"/>
      <c r="O29" s="14" t="n"/>
      <c r="P29" s="12" t="inlineStr">
        <is>
          <t>Remessa por conta e ordem de terceiros em venda à ordem (a venda vem em outra nota)</t>
        </is>
      </c>
      <c r="Q29" s="12" t="inlineStr">
        <is>
          <t>CFOP 5923</t>
        </is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2" t="inlineStr">
        <is>
          <t>Remessa por conta e ordem de terceiros em venda à ordem (a venda vem em outra nota)</t>
        </is>
      </c>
      <c r="X29" s="12" t="inlineStr"/>
      <c r="Y29" s="16" t="inlineStr"/>
      <c r="Z29" s="16" t="inlineStr"/>
    </row>
    <row r="30">
      <c r="A30" s="18" t="n">
        <v>46269</v>
      </c>
      <c r="B30" s="7" t="n">
        <v>2564</v>
      </c>
      <c r="C30" s="7" t="inlineStr">
        <is>
          <t>AGATHA INDUSTRIA DE MANUFATURADOS LTDA</t>
        </is>
      </c>
      <c r="D30" s="7" t="inlineStr">
        <is>
          <t>54079636000108</t>
        </is>
      </c>
      <c r="E30" s="7" t="inlineStr">
        <is>
          <t>RS</t>
        </is>
      </c>
      <c r="F30" s="7" t="inlineStr">
        <is>
          <t>Simples Nacional</t>
        </is>
      </c>
      <c r="G30" s="7" t="inlineStr">
        <is>
          <t>6949</t>
        </is>
      </c>
      <c r="H30" s="7" t="inlineStr">
        <is>
          <t>2556</t>
        </is>
      </c>
      <c r="I30" s="7" t="inlineStr">
        <is>
          <t>96033000</t>
        </is>
      </c>
      <c r="J30" s="7" t="inlineStr">
        <is>
          <t>PINCEL TAM G PROFISSIONAL</t>
        </is>
      </c>
      <c r="K30" s="8" t="n">
        <v>924</v>
      </c>
      <c r="L30" s="7" t="inlineStr">
        <is>
          <t>201</t>
        </is>
      </c>
      <c r="M30" s="8" t="n">
        <v>0</v>
      </c>
      <c r="N30" s="7" t="n"/>
      <c r="O30" s="8" t="n"/>
      <c r="P30" s="7" t="inlineStr">
        <is>
          <t>Uso e consumo (classificação do SPED anterior)</t>
        </is>
      </c>
      <c r="Q30" s="7" t="inlineStr">
        <is>
          <t>SPED anterior: CFOP 2556</t>
        </is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86.09</v>
      </c>
      <c r="W30" s="7" t="inlineStr">
        <is>
          <t>Simples (CSOSN 201) - Uso e consumo (classificação do SPED anterior): sem crédito (só mercadoria para industrialização/comercialização)</t>
        </is>
      </c>
      <c r="X30" s="7" t="inlineStr">
        <is>
          <t>DIFAL R$ 86.09 (base dupla) - ajuste a débito PR000081</t>
        </is>
      </c>
      <c r="Y30" s="16" t="inlineStr"/>
      <c r="Z30" s="16" t="inlineStr"/>
    </row>
    <row r="31">
      <c r="A31" s="17" t="n">
        <v>46274</v>
      </c>
      <c r="B31" s="12" t="n">
        <v>5080</v>
      </c>
      <c r="C31" s="12" t="inlineStr">
        <is>
          <t>JOSE DOMINGOS LINARES LTDA</t>
        </is>
      </c>
      <c r="D31" s="12" t="inlineStr">
        <is>
          <t>03839251000152</t>
        </is>
      </c>
      <c r="E31" s="12" t="inlineStr">
        <is>
          <t>PR</t>
        </is>
      </c>
      <c r="F31" s="12" t="inlineStr">
        <is>
          <t>Normal</t>
        </is>
      </c>
      <c r="G31" s="12" t="inlineStr">
        <is>
          <t>5924</t>
        </is>
      </c>
      <c r="H31" s="12" t="inlineStr">
        <is>
          <t>1924</t>
        </is>
      </c>
      <c r="I31" s="12" t="inlineStr">
        <is>
          <t>49111090</t>
        </is>
      </c>
      <c r="J31" s="12" t="inlineStr">
        <is>
          <t>CAIXA - MODELO NATURA COLOR 60G - 1 MODELOS - 14,8X23CM</t>
        </is>
      </c>
      <c r="K31" s="14" t="n">
        <v>5670</v>
      </c>
      <c r="L31" s="12" t="inlineStr">
        <is>
          <t>00</t>
        </is>
      </c>
      <c r="M31" s="14" t="n">
        <v>0</v>
      </c>
      <c r="N31" s="12" t="n"/>
      <c r="O31" s="14" t="n"/>
      <c r="P31" s="12" t="inlineStr">
        <is>
          <t>Remessa para industrialização por conta e ordem do adquirente (insumo do cliente)</t>
        </is>
      </c>
      <c r="Q31" s="12" t="inlineStr">
        <is>
          <t>CFOP 5924</t>
        </is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2" t="inlineStr">
        <is>
          <t>Remessa para industrialização por conta e ordem do adquirente (insumo do cliente)</t>
        </is>
      </c>
      <c r="X31" s="12" t="inlineStr"/>
      <c r="Y31" s="16" t="inlineStr"/>
      <c r="Z31" s="16" t="inlineStr"/>
    </row>
    <row r="32">
      <c r="A32" s="17" t="n">
        <v>46274</v>
      </c>
      <c r="B32" s="12" t="n">
        <v>795</v>
      </c>
      <c r="C32" s="12" t="inlineStr">
        <is>
          <t>YAHWEH PRINT BRASIL LTDA</t>
        </is>
      </c>
      <c r="D32" s="12" t="inlineStr">
        <is>
          <t>52680145000184</t>
        </is>
      </c>
      <c r="E32" s="12" t="inlineStr">
        <is>
          <t>PR</t>
        </is>
      </c>
      <c r="F32" s="12" t="inlineStr">
        <is>
          <t>Simples Nacional</t>
        </is>
      </c>
      <c r="G32" s="12" t="inlineStr">
        <is>
          <t>5101</t>
        </is>
      </c>
      <c r="H32" s="12" t="inlineStr">
        <is>
          <t>1101</t>
        </is>
      </c>
      <c r="I32" s="12" t="inlineStr">
        <is>
          <t>48211000</t>
        </is>
      </c>
      <c r="J32" s="12" t="inlineStr">
        <is>
          <t>Etiqueta Rotulo Cosmetici Afronature Neutralizante - 211x127 mm - Bopp Transparente - Pantone</t>
        </is>
      </c>
      <c r="K32" s="14" t="n">
        <v>3890.5</v>
      </c>
      <c r="L32" s="12" t="inlineStr">
        <is>
          <t>102</t>
        </is>
      </c>
      <c r="M32" s="14" t="n">
        <v>0</v>
      </c>
      <c r="N32" s="12" t="n"/>
      <c r="O32" s="14" t="n"/>
      <c r="P32" s="12" t="inlineStr">
        <is>
          <t>Insumo (classificação do SPED anterior)</t>
        </is>
      </c>
      <c r="Q32" s="12" t="inlineStr">
        <is>
          <t>SPED anterior: CFOP 1101</t>
        </is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2" t="inlineStr">
        <is>
          <t>Simples CSOSN 102 (tributada SEM permissão de crédito): sem direito a crédito</t>
        </is>
      </c>
      <c r="X32" s="12" t="inlineStr"/>
      <c r="Y32" s="16" t="inlineStr"/>
      <c r="Z32" s="16" t="inlineStr"/>
    </row>
    <row r="33">
      <c r="A33" s="17" t="n">
        <v>46274</v>
      </c>
      <c r="B33" s="12" t="n">
        <v>795</v>
      </c>
      <c r="C33" s="12" t="inlineStr">
        <is>
          <t>YAHWEH PRINT BRASIL LTDA</t>
        </is>
      </c>
      <c r="D33" s="12" t="inlineStr">
        <is>
          <t>52680145000184</t>
        </is>
      </c>
      <c r="E33" s="12" t="inlineStr">
        <is>
          <t>PR</t>
        </is>
      </c>
      <c r="F33" s="12" t="inlineStr">
        <is>
          <t>Simples Nacional</t>
        </is>
      </c>
      <c r="G33" s="12" t="inlineStr">
        <is>
          <t>5101</t>
        </is>
      </c>
      <c r="H33" s="12" t="inlineStr">
        <is>
          <t>1101</t>
        </is>
      </c>
      <c r="I33" s="12" t="inlineStr">
        <is>
          <t>48211000</t>
        </is>
      </c>
      <c r="J33" s="12" t="inlineStr">
        <is>
          <t>Etiqueta Cliche Personalizado</t>
        </is>
      </c>
      <c r="K33" s="14" t="n">
        <v>216.39</v>
      </c>
      <c r="L33" s="12" t="inlineStr">
        <is>
          <t>102</t>
        </is>
      </c>
      <c r="M33" s="14" t="n">
        <v>0</v>
      </c>
      <c r="N33" s="12" t="n"/>
      <c r="O33" s="14" t="n"/>
      <c r="P33" s="12" t="inlineStr">
        <is>
          <t>Insumo (classificação do SPED anterior)</t>
        </is>
      </c>
      <c r="Q33" s="12" t="inlineStr">
        <is>
          <t>SPED anterior: CFOP 1101</t>
        </is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2" t="inlineStr">
        <is>
          <t>Simples CSOSN 102 (tributada SEM permissão de crédito): sem direito a crédito</t>
        </is>
      </c>
      <c r="X33" s="12" t="inlineStr"/>
      <c r="Y33" s="16" t="inlineStr"/>
      <c r="Z33" s="16" t="inlineStr"/>
    </row>
    <row r="34">
      <c r="A34" s="17" t="n">
        <v>46279</v>
      </c>
      <c r="B34" s="12" t="n">
        <v>8099</v>
      </c>
      <c r="C34" s="12" t="inlineStr">
        <is>
          <t>BEPUMP IMPORTACAO E EXPORTACAO LTDA</t>
        </is>
      </c>
      <c r="D34" s="12" t="inlineStr">
        <is>
          <t>39237959000180</t>
        </is>
      </c>
      <c r="E34" s="12" t="inlineStr">
        <is>
          <t>SP</t>
        </is>
      </c>
      <c r="F34" s="12" t="inlineStr">
        <is>
          <t>Simples Nacional</t>
        </is>
      </c>
      <c r="G34" s="12" t="inlineStr">
        <is>
          <t>6924</t>
        </is>
      </c>
      <c r="H34" s="12" t="inlineStr">
        <is>
          <t>2924</t>
        </is>
      </c>
      <c r="I34" s="12" t="inlineStr">
        <is>
          <t>84248990</t>
        </is>
      </c>
      <c r="J34" s="12" t="inlineStr">
        <is>
          <t>VALVULA MIST SPRAYER 24/410 PRATA</t>
        </is>
      </c>
      <c r="K34" s="14" t="n">
        <v>1408.12</v>
      </c>
      <c r="L34" s="12" t="inlineStr">
        <is>
          <t>101</t>
        </is>
      </c>
      <c r="M34" s="14" t="n">
        <v>0</v>
      </c>
      <c r="N34" s="12" t="n">
        <v>3.98</v>
      </c>
      <c r="O34" s="14" t="n"/>
      <c r="P34" s="12" t="inlineStr">
        <is>
          <t>Remessa para industrialização por conta e ordem do adquirente (insumo do cliente)</t>
        </is>
      </c>
      <c r="Q34" s="12" t="inlineStr">
        <is>
          <t>CFOP 6924</t>
        </is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2" t="inlineStr">
        <is>
          <t>Simples (CSOSN 101) - Remessa para industrialização por conta e ordem do adquirente (insumo do cliente): sem crédito (só mercadoria para industrialização/comercialização)</t>
        </is>
      </c>
      <c r="X34" s="12" t="inlineStr"/>
      <c r="Y34" s="16" t="inlineStr"/>
      <c r="Z34" s="16" t="inlineStr"/>
    </row>
    <row r="35">
      <c r="A35" s="17" t="n">
        <v>46279</v>
      </c>
      <c r="B35" s="12" t="n">
        <v>13721</v>
      </c>
      <c r="C35" s="12" t="inlineStr">
        <is>
          <t>CAETANO PLASTICOS EMBALAGENS LTDA</t>
        </is>
      </c>
      <c r="D35" s="12" t="inlineStr">
        <is>
          <t>37295717000118</t>
        </is>
      </c>
      <c r="E35" s="12" t="inlineStr">
        <is>
          <t>PR</t>
        </is>
      </c>
      <c r="F35" s="12" t="inlineStr">
        <is>
          <t>Simples Nacional</t>
        </is>
      </c>
      <c r="G35" s="12" t="inlineStr">
        <is>
          <t>5102</t>
        </is>
      </c>
      <c r="H35" s="12" t="inlineStr">
        <is>
          <t>1101</t>
        </is>
      </c>
      <c r="I35" s="12" t="inlineStr">
        <is>
          <t>39232110</t>
        </is>
      </c>
      <c r="J35" s="12" t="inlineStr">
        <is>
          <t>SACOS PLASTICOS 18X30X0,10 C/1000 UNID.</t>
        </is>
      </c>
      <c r="K35" s="14" t="n">
        <v>50.56</v>
      </c>
      <c r="L35" s="12" t="inlineStr">
        <is>
          <t>102</t>
        </is>
      </c>
      <c r="M35" s="14" t="n">
        <v>0</v>
      </c>
      <c r="N35" s="12" t="n"/>
      <c r="O35" s="14" t="n"/>
      <c r="P35" s="12" t="inlineStr">
        <is>
          <t>Insumo (classificação do SPED anterior)</t>
        </is>
      </c>
      <c r="Q35" s="12" t="inlineStr">
        <is>
          <t>SPED anterior: CFOP 1101</t>
        </is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2" t="inlineStr">
        <is>
          <t>Simples CSOSN 102 (tributada SEM permissão de crédito): sem direito a crédito</t>
        </is>
      </c>
      <c r="X35" s="12" t="inlineStr"/>
      <c r="Y35" s="16" t="inlineStr"/>
      <c r="Z35" s="16" t="inlineStr"/>
    </row>
    <row r="36">
      <c r="A36" s="17" t="n">
        <v>46279</v>
      </c>
      <c r="B36" s="12" t="n">
        <v>13721</v>
      </c>
      <c r="C36" s="12" t="inlineStr">
        <is>
          <t>CAETANO PLASTICOS EMBALAGENS LTDA</t>
        </is>
      </c>
      <c r="D36" s="12" t="inlineStr">
        <is>
          <t>37295717000118</t>
        </is>
      </c>
      <c r="E36" s="12" t="inlineStr">
        <is>
          <t>PR</t>
        </is>
      </c>
      <c r="F36" s="12" t="inlineStr">
        <is>
          <t>Simples Nacional</t>
        </is>
      </c>
      <c r="G36" s="12" t="inlineStr">
        <is>
          <t>5102</t>
        </is>
      </c>
      <c r="H36" s="12" t="inlineStr">
        <is>
          <t>1101</t>
        </is>
      </c>
      <c r="I36" s="12" t="inlineStr">
        <is>
          <t>39232190</t>
        </is>
      </c>
      <c r="J36" s="12" t="inlineStr">
        <is>
          <t>SACOS PLASTICOS 40X60X0,10 C/1000 UNID.</t>
        </is>
      </c>
      <c r="K36" s="14" t="n">
        <v>224.64</v>
      </c>
      <c r="L36" s="12" t="inlineStr">
        <is>
          <t>102</t>
        </is>
      </c>
      <c r="M36" s="14" t="n">
        <v>0</v>
      </c>
      <c r="N36" s="12" t="n"/>
      <c r="O36" s="14" t="n"/>
      <c r="P36" s="12" t="inlineStr">
        <is>
          <t>Insumo (classificação do SPED anterior)</t>
        </is>
      </c>
      <c r="Q36" s="12" t="inlineStr">
        <is>
          <t>SPED anterior: CFOP 1101</t>
        </is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2" t="inlineStr">
        <is>
          <t>Simples CSOSN 102 (tributada SEM permissão de crédito): sem direito a crédito</t>
        </is>
      </c>
      <c r="X36" s="12" t="inlineStr"/>
      <c r="Y36" s="16" t="inlineStr"/>
      <c r="Z36" s="16" t="inlineStr"/>
    </row>
    <row r="37">
      <c r="A37" s="17" t="n">
        <v>46279</v>
      </c>
      <c r="B37" s="12" t="n">
        <v>13721</v>
      </c>
      <c r="C37" s="12" t="inlineStr">
        <is>
          <t>CAETANO PLASTICOS EMBALAGENS LTDA</t>
        </is>
      </c>
      <c r="D37" s="12" t="inlineStr">
        <is>
          <t>37295717000118</t>
        </is>
      </c>
      <c r="E37" s="12" t="inlineStr">
        <is>
          <t>PR</t>
        </is>
      </c>
      <c r="F37" s="12" t="inlineStr">
        <is>
          <t>Simples Nacional</t>
        </is>
      </c>
      <c r="G37" s="12" t="inlineStr">
        <is>
          <t>5102</t>
        </is>
      </c>
      <c r="H37" s="12" t="inlineStr">
        <is>
          <t>1101</t>
        </is>
      </c>
      <c r="I37" s="12" t="inlineStr">
        <is>
          <t>39232190</t>
        </is>
      </c>
      <c r="J37" s="12" t="inlineStr">
        <is>
          <t>SACOS PLASTICOS 60X100X0,10 C/1000 UNID.</t>
        </is>
      </c>
      <c r="K37" s="14" t="n">
        <v>561.6</v>
      </c>
      <c r="L37" s="12" t="inlineStr">
        <is>
          <t>102</t>
        </is>
      </c>
      <c r="M37" s="14" t="n">
        <v>0</v>
      </c>
      <c r="N37" s="12" t="n"/>
      <c r="O37" s="14" t="n"/>
      <c r="P37" s="12" t="inlineStr">
        <is>
          <t>Insumo (classificação do SPED anterior)</t>
        </is>
      </c>
      <c r="Q37" s="12" t="inlineStr">
        <is>
          <t>SPED anterior: CFOP 1101</t>
        </is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2" t="inlineStr">
        <is>
          <t>Simples CSOSN 102 (tributada SEM permissão de crédito): sem direito a crédito</t>
        </is>
      </c>
      <c r="X37" s="12" t="inlineStr"/>
      <c r="Y37" s="16" t="inlineStr"/>
      <c r="Z37" s="16" t="inlineStr"/>
    </row>
    <row r="38">
      <c r="A38" s="17" t="n">
        <v>46279</v>
      </c>
      <c r="B38" s="12" t="n">
        <v>13721</v>
      </c>
      <c r="C38" s="12" t="inlineStr">
        <is>
          <t>CAETANO PLASTICOS EMBALAGENS LTDA</t>
        </is>
      </c>
      <c r="D38" s="12" t="inlineStr">
        <is>
          <t>37295717000118</t>
        </is>
      </c>
      <c r="E38" s="12" t="inlineStr">
        <is>
          <t>PR</t>
        </is>
      </c>
      <c r="F38" s="12" t="inlineStr">
        <is>
          <t>Simples Nacional</t>
        </is>
      </c>
      <c r="G38" s="12" t="inlineStr">
        <is>
          <t>5102</t>
        </is>
      </c>
      <c r="H38" s="12" t="inlineStr">
        <is>
          <t>1101</t>
        </is>
      </c>
      <c r="I38" s="12" t="inlineStr">
        <is>
          <t>39232190</t>
        </is>
      </c>
      <c r="J38" s="12" t="inlineStr">
        <is>
          <t>SACOS PLASTICOS 90X120X0,10 C/100 UNID.</t>
        </is>
      </c>
      <c r="K38" s="14" t="n">
        <v>1450.02</v>
      </c>
      <c r="L38" s="12" t="inlineStr">
        <is>
          <t>102</t>
        </is>
      </c>
      <c r="M38" s="14" t="n">
        <v>0</v>
      </c>
      <c r="N38" s="12" t="n"/>
      <c r="O38" s="14" t="n"/>
      <c r="P38" s="12" t="inlineStr">
        <is>
          <t>Insumo (classificação do SPED anterior)</t>
        </is>
      </c>
      <c r="Q38" s="12" t="inlineStr">
        <is>
          <t>SPED anterior: CFOP 1101</t>
        </is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2" t="inlineStr">
        <is>
          <t>Simples CSOSN 102 (tributada SEM permissão de crédito): sem direito a crédito</t>
        </is>
      </c>
      <c r="X38" s="12" t="inlineStr"/>
      <c r="Y38" s="16" t="inlineStr"/>
      <c r="Z38" s="16" t="inlineStr"/>
    </row>
    <row r="39">
      <c r="A39" s="17" t="n">
        <v>46279</v>
      </c>
      <c r="B39" s="12" t="n">
        <v>5133</v>
      </c>
      <c r="C39" s="12" t="inlineStr">
        <is>
          <t>JOSE DOMINGOS LINARES LTDA</t>
        </is>
      </c>
      <c r="D39" s="12" t="inlineStr">
        <is>
          <t>03839251000152</t>
        </is>
      </c>
      <c r="E39" s="12" t="inlineStr">
        <is>
          <t>PR</t>
        </is>
      </c>
      <c r="F39" s="12" t="inlineStr">
        <is>
          <t>Normal</t>
        </is>
      </c>
      <c r="G39" s="12" t="inlineStr">
        <is>
          <t>5924</t>
        </is>
      </c>
      <c r="H39" s="12" t="inlineStr">
        <is>
          <t>1924</t>
        </is>
      </c>
      <c r="I39" s="12" t="inlineStr">
        <is>
          <t>49111090</t>
        </is>
      </c>
      <c r="J39" s="12" t="inlineStr">
        <is>
          <t>ROTULO 03 MODELOS</t>
        </is>
      </c>
      <c r="K39" s="14" t="n">
        <v>2136</v>
      </c>
      <c r="L39" s="12" t="inlineStr">
        <is>
          <t>00</t>
        </is>
      </c>
      <c r="M39" s="14" t="n">
        <v>0</v>
      </c>
      <c r="N39" s="12" t="n"/>
      <c r="O39" s="14" t="n"/>
      <c r="P39" s="12" t="inlineStr">
        <is>
          <t>Remessa para industrialização por conta e ordem do adquirente (insumo do cliente)</t>
        </is>
      </c>
      <c r="Q39" s="12" t="inlineStr">
        <is>
          <t>CFOP 5924</t>
        </is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2" t="inlineStr">
        <is>
          <t>Remessa para industrialização por conta e ordem do adquirente (insumo do cliente)</t>
        </is>
      </c>
      <c r="X39" s="12" t="inlineStr"/>
      <c r="Y39" s="16" t="inlineStr"/>
      <c r="Z39" s="16" t="inlineStr"/>
    </row>
    <row r="40">
      <c r="A40" s="17" t="n">
        <v>46279</v>
      </c>
      <c r="B40" s="12" t="n">
        <v>8112</v>
      </c>
      <c r="C40" s="12" t="inlineStr">
        <is>
          <t>OUTLET PREMIUM PACK LTDA</t>
        </is>
      </c>
      <c r="D40" s="12" t="inlineStr">
        <is>
          <t>34970658000148</t>
        </is>
      </c>
      <c r="E40" s="12" t="inlineStr">
        <is>
          <t>SP</t>
        </is>
      </c>
      <c r="F40" s="12" t="inlineStr">
        <is>
          <t>Simples Nacional</t>
        </is>
      </c>
      <c r="G40" s="12" t="inlineStr">
        <is>
          <t>6924</t>
        </is>
      </c>
      <c r="H40" s="12" t="inlineStr">
        <is>
          <t>2924</t>
        </is>
      </c>
      <c r="I40" s="12" t="inlineStr">
        <is>
          <t>39233090</t>
        </is>
      </c>
      <c r="J40" s="12" t="inlineStr">
        <is>
          <t>FRASCO ELEGANCE 60ML 24/410 RUBI LAPIDADO 2MB TAMPA SAN S DEC</t>
        </is>
      </c>
      <c r="K40" s="14" t="n">
        <v>1064.12</v>
      </c>
      <c r="L40" s="12" t="inlineStr">
        <is>
          <t>101</t>
        </is>
      </c>
      <c r="M40" s="14" t="n">
        <v>0</v>
      </c>
      <c r="N40" s="12" t="n">
        <v>3.99</v>
      </c>
      <c r="O40" s="14" t="n"/>
      <c r="P40" s="12" t="inlineStr">
        <is>
          <t>Remessa para industrialização por conta e ordem do adquirente (insumo do cliente)</t>
        </is>
      </c>
      <c r="Q40" s="12" t="inlineStr">
        <is>
          <t>CFOP 6924</t>
        </is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2" t="inlineStr">
        <is>
          <t>Simples (CSOSN 101) - Remessa para industrialização por conta e ordem do adquirente (insumo do cliente): sem crédito (só mercadoria para industrialização/comercialização)</t>
        </is>
      </c>
      <c r="X40" s="12" t="inlineStr"/>
      <c r="Y40" s="16" t="inlineStr"/>
      <c r="Z40" s="16" t="inlineStr"/>
    </row>
    <row r="41">
      <c r="A41" s="17" t="n">
        <v>46279</v>
      </c>
      <c r="B41" s="12" t="n">
        <v>8112</v>
      </c>
      <c r="C41" s="12" t="inlineStr">
        <is>
          <t>OUTLET PREMIUM PACK LTDA</t>
        </is>
      </c>
      <c r="D41" s="12" t="inlineStr">
        <is>
          <t>34970658000148</t>
        </is>
      </c>
      <c r="E41" s="12" t="inlineStr">
        <is>
          <t>SP</t>
        </is>
      </c>
      <c r="F41" s="12" t="inlineStr">
        <is>
          <t>Simples Nacional</t>
        </is>
      </c>
      <c r="G41" s="12" t="inlineStr">
        <is>
          <t>6924</t>
        </is>
      </c>
      <c r="H41" s="12" t="inlineStr">
        <is>
          <t>2924</t>
        </is>
      </c>
      <c r="I41" s="12" t="inlineStr">
        <is>
          <t>39235000</t>
        </is>
      </c>
      <c r="J41" s="12" t="inlineStr">
        <is>
          <t>SOBRETAMPA ELEGANCE PETG 60/100/120ML RUBI LAPIDADO 3MB S DEC</t>
        </is>
      </c>
      <c r="K41" s="14" t="n">
        <v>1397.91</v>
      </c>
      <c r="L41" s="12" t="inlineStr">
        <is>
          <t>101</t>
        </is>
      </c>
      <c r="M41" s="14" t="n">
        <v>0</v>
      </c>
      <c r="N41" s="12" t="n">
        <v>3.99</v>
      </c>
      <c r="O41" s="14" t="n"/>
      <c r="P41" s="12" t="inlineStr">
        <is>
          <t>Remessa para industrialização por conta e ordem do adquirente (insumo do cliente)</t>
        </is>
      </c>
      <c r="Q41" s="12" t="inlineStr">
        <is>
          <t>CFOP 6924</t>
        </is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2" t="inlineStr">
        <is>
          <t>Simples (CSOSN 101) - Remessa para industrialização por conta e ordem do adquirente (insumo do cliente): sem crédito (só mercadoria para industrialização/comercialização)</t>
        </is>
      </c>
      <c r="X41" s="12" t="inlineStr"/>
      <c r="Y41" s="16" t="inlineStr"/>
      <c r="Z41" s="16" t="inlineStr"/>
    </row>
    <row r="42">
      <c r="A42" s="17" t="n">
        <v>46280</v>
      </c>
      <c r="B42" s="12" t="n">
        <v>40451</v>
      </c>
      <c r="C42" s="12" t="inlineStr">
        <is>
          <t>ILS TECNOLOGIA EM EQUIP DE SEG DO TRABALHO LTDA</t>
        </is>
      </c>
      <c r="D42" s="12" t="inlineStr">
        <is>
          <t>10265455000192</t>
        </is>
      </c>
      <c r="E42" s="12" t="inlineStr">
        <is>
          <t>PR</t>
        </is>
      </c>
      <c r="F42" s="12" t="inlineStr">
        <is>
          <t>Simples Nacional</t>
        </is>
      </c>
      <c r="G42" s="12" t="inlineStr">
        <is>
          <t>5102</t>
        </is>
      </c>
      <c r="H42" s="12" t="inlineStr">
        <is>
          <t>1556</t>
        </is>
      </c>
      <c r="I42" s="12" t="inlineStr">
        <is>
          <t>64039190</t>
        </is>
      </c>
      <c r="J42" s="12" t="inlineStr">
        <is>
          <t>BOTINA BRACOL USAFE BIDENSIDADE BICO PVC NR 41 CA - 48413</t>
        </is>
      </c>
      <c r="K42" s="14" t="n">
        <v>66.40000000000001</v>
      </c>
      <c r="L42" s="12" t="inlineStr">
        <is>
          <t>102</t>
        </is>
      </c>
      <c r="M42" s="14" t="n">
        <v>0</v>
      </c>
      <c r="N42" s="12" t="n"/>
      <c r="O42" s="14" t="n"/>
      <c r="P42" s="12" t="inlineStr">
        <is>
          <t>Uso e consumo (classificação do SPED anterior)</t>
        </is>
      </c>
      <c r="Q42" s="12" t="inlineStr">
        <is>
          <t>SPED anterior: CFOP 1556</t>
        </is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2" t="inlineStr">
        <is>
          <t>Simples (CSOSN 102) - Uso e consumo (classificação do SPED anterior): sem crédito (só mercadoria para industrialização/comercialização)</t>
        </is>
      </c>
      <c r="X42" s="12" t="inlineStr"/>
      <c r="Y42" s="16" t="inlineStr"/>
      <c r="Z42" s="16" t="inlineStr"/>
    </row>
    <row r="43">
      <c r="A43" s="17" t="n">
        <v>46280</v>
      </c>
      <c r="B43" s="12" t="n">
        <v>40451</v>
      </c>
      <c r="C43" s="12" t="inlineStr">
        <is>
          <t>ILS TECNOLOGIA EM EQUIP DE SEG DO TRABALHO LTDA</t>
        </is>
      </c>
      <c r="D43" s="12" t="inlineStr">
        <is>
          <t>10265455000192</t>
        </is>
      </c>
      <c r="E43" s="12" t="inlineStr">
        <is>
          <t>PR</t>
        </is>
      </c>
      <c r="F43" s="12" t="inlineStr">
        <is>
          <t>Simples Nacional</t>
        </is>
      </c>
      <c r="G43" s="12" t="inlineStr">
        <is>
          <t>5102</t>
        </is>
      </c>
      <c r="H43" s="12" t="inlineStr">
        <is>
          <t>1556</t>
        </is>
      </c>
      <c r="I43" s="12" t="inlineStr">
        <is>
          <t>64019200</t>
        </is>
      </c>
      <c r="J43" s="12" t="inlineStr">
        <is>
          <t>BOTA PVC PRETA WORKFLEX C/FORRO C/MEDIO N 40 - CA 37154</t>
        </is>
      </c>
      <c r="K43" s="14" t="n">
        <v>35.74</v>
      </c>
      <c r="L43" s="12" t="inlineStr">
        <is>
          <t>102</t>
        </is>
      </c>
      <c r="M43" s="14" t="n">
        <v>0</v>
      </c>
      <c r="N43" s="12" t="n"/>
      <c r="O43" s="14" t="n"/>
      <c r="P43" s="12" t="inlineStr">
        <is>
          <t>Uso e consumo (classificação do SPED anterior)</t>
        </is>
      </c>
      <c r="Q43" s="12" t="inlineStr">
        <is>
          <t>SPED anterior: CFOP 1556</t>
        </is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2" t="inlineStr">
        <is>
          <t>Simples (CSOSN 102) - Uso e consumo (classificação do SPED anterior): sem crédito (só mercadoria para industrialização/comercialização)</t>
        </is>
      </c>
      <c r="X43" s="12" t="inlineStr"/>
      <c r="Y43" s="16" t="inlineStr"/>
      <c r="Z43" s="16" t="inlineStr"/>
    </row>
    <row r="44">
      <c r="A44" s="17" t="n">
        <v>46280</v>
      </c>
      <c r="B44" s="12" t="n">
        <v>40451</v>
      </c>
      <c r="C44" s="12" t="inlineStr">
        <is>
          <t>ILS TECNOLOGIA EM EQUIP DE SEG DO TRABALHO LTDA</t>
        </is>
      </c>
      <c r="D44" s="12" t="inlineStr">
        <is>
          <t>10265455000192</t>
        </is>
      </c>
      <c r="E44" s="12" t="inlineStr">
        <is>
          <t>PR</t>
        </is>
      </c>
      <c r="F44" s="12" t="inlineStr">
        <is>
          <t>Simples Nacional</t>
        </is>
      </c>
      <c r="G44" s="12" t="inlineStr">
        <is>
          <t>5102</t>
        </is>
      </c>
      <c r="H44" s="12" t="inlineStr">
        <is>
          <t>1556</t>
        </is>
      </c>
      <c r="I44" s="12" t="inlineStr">
        <is>
          <t>64019990</t>
        </is>
      </c>
      <c r="J44" s="12" t="inlineStr">
        <is>
          <t>SAPATO FLEX CLEAN MARLUVAS PRETO EM EVA TAM 40 CA48714</t>
        </is>
      </c>
      <c r="K44" s="14" t="n">
        <v>110.62</v>
      </c>
      <c r="L44" s="12" t="inlineStr">
        <is>
          <t>102</t>
        </is>
      </c>
      <c r="M44" s="14" t="n">
        <v>0</v>
      </c>
      <c r="N44" s="12" t="n"/>
      <c r="O44" s="14" t="n"/>
      <c r="P44" s="12" t="inlineStr">
        <is>
          <t>Uso e consumo (classificação do SPED anterior)</t>
        </is>
      </c>
      <c r="Q44" s="12" t="inlineStr">
        <is>
          <t>SPED anterior: CFOP 1556</t>
        </is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2" t="inlineStr">
        <is>
          <t>Simples (CSOSN 102) - Uso e consumo (classificação do SPED anterior): sem crédito (só mercadoria para industrialização/comercialização)</t>
        </is>
      </c>
      <c r="X44" s="12" t="inlineStr"/>
      <c r="Y44" s="16" t="inlineStr"/>
      <c r="Z44" s="16" t="inlineStr"/>
    </row>
    <row r="45">
      <c r="A45" s="17" t="n">
        <v>46280</v>
      </c>
      <c r="B45" s="12" t="n">
        <v>40451</v>
      </c>
      <c r="C45" s="12" t="inlineStr">
        <is>
          <t>ILS TECNOLOGIA EM EQUIP DE SEG DO TRABALHO LTDA</t>
        </is>
      </c>
      <c r="D45" s="12" t="inlineStr">
        <is>
          <t>10265455000192</t>
        </is>
      </c>
      <c r="E45" s="12" t="inlineStr">
        <is>
          <t>PR</t>
        </is>
      </c>
      <c r="F45" s="12" t="inlineStr">
        <is>
          <t>Simples Nacional</t>
        </is>
      </c>
      <c r="G45" s="12" t="inlineStr">
        <is>
          <t>5102</t>
        </is>
      </c>
      <c r="H45" s="12" t="inlineStr">
        <is>
          <t>1556</t>
        </is>
      </c>
      <c r="I45" s="12" t="inlineStr">
        <is>
          <t>56031190</t>
        </is>
      </c>
      <c r="J45" s="12" t="inlineStr">
        <is>
          <t>JALECO TNT KAMICON BRANCO M/LONGA C/BOTAO C/ELAST PCT C/10</t>
        </is>
      </c>
      <c r="K45" s="14" t="n">
        <v>158.1</v>
      </c>
      <c r="L45" s="12" t="inlineStr">
        <is>
          <t>102</t>
        </is>
      </c>
      <c r="M45" s="14" t="n">
        <v>0</v>
      </c>
      <c r="N45" s="12" t="n"/>
      <c r="O45" s="14" t="n"/>
      <c r="P45" s="12" t="inlineStr">
        <is>
          <t>Uso e consumo (classificação do SPED anterior)</t>
        </is>
      </c>
      <c r="Q45" s="12" t="inlineStr">
        <is>
          <t>SPED anterior: CFOP 1556</t>
        </is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2" t="inlineStr">
        <is>
          <t>Simples (CSOSN 102) - Uso e consumo (classificação do SPED anterior): sem crédito (só mercadoria para industrialização/comercialização)</t>
        </is>
      </c>
      <c r="X45" s="12" t="inlineStr"/>
      <c r="Y45" s="16" t="inlineStr"/>
      <c r="Z45" s="16" t="inlineStr"/>
    </row>
    <row r="46">
      <c r="A46" s="17" t="n">
        <v>46280</v>
      </c>
      <c r="B46" s="12" t="n">
        <v>5162</v>
      </c>
      <c r="C46" s="12" t="inlineStr">
        <is>
          <t>JOSE DOMINGOS LINARES LTDA</t>
        </is>
      </c>
      <c r="D46" s="12" t="inlineStr">
        <is>
          <t>03839251000152</t>
        </is>
      </c>
      <c r="E46" s="12" t="inlineStr">
        <is>
          <t>PR</t>
        </is>
      </c>
      <c r="F46" s="12" t="inlineStr">
        <is>
          <t>Normal</t>
        </is>
      </c>
      <c r="G46" s="12" t="inlineStr">
        <is>
          <t>5923</t>
        </is>
      </c>
      <c r="H46" s="12" t="inlineStr">
        <is>
          <t>1923</t>
        </is>
      </c>
      <c r="I46" s="12" t="inlineStr">
        <is>
          <t>49111090</t>
        </is>
      </c>
      <c r="J46" s="12" t="inlineStr">
        <is>
          <t>ROTULOS - 11X8,5CM - 3 MODELOS</t>
        </is>
      </c>
      <c r="K46" s="14" t="n">
        <v>1112</v>
      </c>
      <c r="L46" s="12" t="inlineStr">
        <is>
          <t>41</t>
        </is>
      </c>
      <c r="M46" s="14" t="n">
        <v>0</v>
      </c>
      <c r="N46" s="12" t="n"/>
      <c r="O46" s="14" t="n"/>
      <c r="P46" s="12" t="inlineStr">
        <is>
          <t>Remessa por conta e ordem de terceiros em venda à ordem (a venda vem em outra nota)</t>
        </is>
      </c>
      <c r="Q46" s="12" t="inlineStr">
        <is>
          <t>CFOP 5923</t>
        </is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2" t="inlineStr">
        <is>
          <t>Remessa por conta e ordem de terceiros em venda à ordem (a venda vem em outra nota)</t>
        </is>
      </c>
      <c r="X46" s="12" t="inlineStr"/>
      <c r="Y46" s="16" t="inlineStr"/>
      <c r="Z46" s="16" t="inlineStr"/>
    </row>
    <row r="47">
      <c r="A47" s="17" t="n">
        <v>46281</v>
      </c>
      <c r="B47" s="12" t="n">
        <v>5170</v>
      </c>
      <c r="C47" s="12" t="inlineStr">
        <is>
          <t>JOSE DOMINGOS LINARES LTDA</t>
        </is>
      </c>
      <c r="D47" s="12" t="inlineStr">
        <is>
          <t>03839251000152</t>
        </is>
      </c>
      <c r="E47" s="12" t="inlineStr">
        <is>
          <t>PR</t>
        </is>
      </c>
      <c r="F47" s="12" t="inlineStr">
        <is>
          <t>Normal</t>
        </is>
      </c>
      <c r="G47" s="12" t="inlineStr">
        <is>
          <t>5924</t>
        </is>
      </c>
      <c r="H47" s="12" t="inlineStr">
        <is>
          <t>1924</t>
        </is>
      </c>
      <c r="I47" s="12" t="inlineStr">
        <is>
          <t>48211000</t>
        </is>
      </c>
      <c r="J47" s="12" t="inlineStr">
        <is>
          <t>ADESIVO - 18X15,5CM - 2 MODELOS, LOTE 167070-25212</t>
        </is>
      </c>
      <c r="K47" s="14" t="n">
        <v>667.2</v>
      </c>
      <c r="L47" s="12" t="inlineStr">
        <is>
          <t>41</t>
        </is>
      </c>
      <c r="M47" s="14" t="n">
        <v>0</v>
      </c>
      <c r="N47" s="12" t="n"/>
      <c r="O47" s="14" t="n"/>
      <c r="P47" s="12" t="inlineStr">
        <is>
          <t>Remessa para industrialização por conta e ordem do adquirente (insumo do cliente)</t>
        </is>
      </c>
      <c r="Q47" s="12" t="inlineStr">
        <is>
          <t>CFOP 5924</t>
        </is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2" t="inlineStr">
        <is>
          <t>Remessa para industrialização por conta e ordem do adquirente (insumo do cliente)</t>
        </is>
      </c>
      <c r="X47" s="12" t="inlineStr"/>
      <c r="Y47" s="16" t="inlineStr"/>
      <c r="Z47" s="16" t="inlineStr"/>
    </row>
    <row r="48">
      <c r="A48" s="17" t="n">
        <v>46281</v>
      </c>
      <c r="B48" s="12" t="n">
        <v>418</v>
      </c>
      <c r="C48" s="12" t="inlineStr">
        <is>
          <t>SAVATEC COMERCIO E SERVICOS LTDA</t>
        </is>
      </c>
      <c r="D48" s="12" t="inlineStr">
        <is>
          <t>59087034000108</t>
        </is>
      </c>
      <c r="E48" s="12" t="inlineStr">
        <is>
          <t>PR</t>
        </is>
      </c>
      <c r="F48" s="12" t="inlineStr">
        <is>
          <t>Simples Nacional</t>
        </is>
      </c>
      <c r="G48" s="12" t="inlineStr">
        <is>
          <t>5102</t>
        </is>
      </c>
      <c r="H48" s="12" t="inlineStr">
        <is>
          <t>1556</t>
        </is>
      </c>
      <c r="I48" s="12" t="inlineStr">
        <is>
          <t>38140090</t>
        </is>
      </c>
      <c r="J48" s="12" t="inlineStr">
        <is>
          <t>SOLUÇÃO DE LIMPEZA 1000Q</t>
        </is>
      </c>
      <c r="K48" s="14" t="n">
        <v>331.09</v>
      </c>
      <c r="L48" s="12" t="inlineStr">
        <is>
          <t>103</t>
        </is>
      </c>
      <c r="M48" s="14" t="n">
        <v>0</v>
      </c>
      <c r="N48" s="12" t="n"/>
      <c r="O48" s="14" t="n"/>
      <c r="P48" s="12" t="inlineStr">
        <is>
          <t>Uso e consumo (classificação do SPED anterior)</t>
        </is>
      </c>
      <c r="Q48" s="12" t="inlineStr">
        <is>
          <t>SPED anterior: CFOP 1556</t>
        </is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2" t="inlineStr">
        <is>
          <t>Simples (CSOSN 103) - Uso e consumo (classificação do SPED anterior): sem crédito (só mercadoria para industrialização/comercialização)</t>
        </is>
      </c>
      <c r="X48" s="12" t="inlineStr"/>
      <c r="Y48" s="16" t="inlineStr"/>
      <c r="Z48" s="16" t="inlineStr"/>
    </row>
    <row r="49">
      <c r="A49" s="17" t="n">
        <v>46281</v>
      </c>
      <c r="B49" s="12" t="n">
        <v>418</v>
      </c>
      <c r="C49" s="12" t="inlineStr">
        <is>
          <t>SAVATEC COMERCIO E SERVICOS LTDA</t>
        </is>
      </c>
      <c r="D49" s="12" t="inlineStr">
        <is>
          <t>59087034000108</t>
        </is>
      </c>
      <c r="E49" s="12" t="inlineStr">
        <is>
          <t>PR</t>
        </is>
      </c>
      <c r="F49" s="12" t="inlineStr">
        <is>
          <t>Simples Nacional</t>
        </is>
      </c>
      <c r="G49" s="12" t="inlineStr">
        <is>
          <t>5102</t>
        </is>
      </c>
      <c r="H49" s="12" t="inlineStr">
        <is>
          <t>1556</t>
        </is>
      </c>
      <c r="I49" s="12" t="inlineStr">
        <is>
          <t>38140090</t>
        </is>
      </c>
      <c r="J49" s="12" t="inlineStr">
        <is>
          <t>MAKE UP 7050TP</t>
        </is>
      </c>
      <c r="K49" s="14" t="n">
        <v>989.65</v>
      </c>
      <c r="L49" s="12" t="inlineStr">
        <is>
          <t>103</t>
        </is>
      </c>
      <c r="M49" s="14" t="n">
        <v>0</v>
      </c>
      <c r="N49" s="12" t="n"/>
      <c r="O49" s="14" t="n"/>
      <c r="P49" s="12" t="inlineStr">
        <is>
          <t>Uso e consumo (classificação do SPED anterior)</t>
        </is>
      </c>
      <c r="Q49" s="12" t="inlineStr">
        <is>
          <t>SPED anterior: CFOP 1556</t>
        </is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2" t="inlineStr">
        <is>
          <t>Simples (CSOSN 103) - Uso e consumo (classificação do SPED anterior): sem crédito (só mercadoria para industrialização/comercialização)</t>
        </is>
      </c>
      <c r="X49" s="12" t="inlineStr"/>
      <c r="Y49" s="16" t="inlineStr"/>
      <c r="Z49" s="16" t="inlineStr"/>
    </row>
    <row r="50">
      <c r="A50" s="15" t="n">
        <v>46282</v>
      </c>
      <c r="B50" s="5" t="n">
        <v>30338</v>
      </c>
      <c r="C50" s="5" t="inlineStr">
        <is>
          <t>ALTEC IND.COM.IMP.E EXP.LTDA.</t>
        </is>
      </c>
      <c r="D50" s="5" t="inlineStr">
        <is>
          <t>67598292000187</t>
        </is>
      </c>
      <c r="E50" s="5" t="inlineStr">
        <is>
          <t>SP</t>
        </is>
      </c>
      <c r="F50" s="5" t="inlineStr">
        <is>
          <t>Normal</t>
        </is>
      </c>
      <c r="G50" s="5" t="inlineStr">
        <is>
          <t>6101</t>
        </is>
      </c>
      <c r="H50" s="5" t="inlineStr">
        <is>
          <t>2101</t>
        </is>
      </c>
      <c r="I50" s="5" t="inlineStr">
        <is>
          <t>83099000</t>
        </is>
      </c>
      <c r="J50" s="5" t="inlineStr">
        <is>
          <t>TAMPA ALUM.20MM RV PRATA 320580</t>
        </is>
      </c>
      <c r="K50" s="6" t="n">
        <v>2506.56</v>
      </c>
      <c r="L50" s="5" t="inlineStr">
        <is>
          <t>00</t>
        </is>
      </c>
      <c r="M50" s="6" t="n">
        <v>300.79</v>
      </c>
      <c r="N50" s="5" t="n"/>
      <c r="O50" s="6" t="n"/>
      <c r="P50" s="5" t="inlineStr">
        <is>
          <t>Embalagem (tampa metálica)</t>
        </is>
      </c>
      <c r="Q50" s="5" t="inlineStr">
        <is>
          <t>NCM 83099000</t>
        </is>
      </c>
      <c r="R50" s="6" t="n">
        <v>300.79</v>
      </c>
      <c r="S50" s="6" t="n">
        <v>0</v>
      </c>
      <c r="T50" s="6" t="n">
        <v>0</v>
      </c>
      <c r="U50" s="6" t="n">
        <v>0</v>
      </c>
      <c r="V50" s="6" t="n">
        <v>0</v>
      </c>
      <c r="W50" s="5" t="inlineStr">
        <is>
          <t>ICMS destacado (CST 00) em embalagem (tampa metálica)</t>
        </is>
      </c>
      <c r="X50" s="5" t="inlineStr"/>
      <c r="Y50" s="16" t="inlineStr"/>
      <c r="Z50" s="16" t="inlineStr"/>
    </row>
    <row r="51">
      <c r="A51" s="17" t="n">
        <v>46282</v>
      </c>
      <c r="B51" s="12" t="n">
        <v>23127</v>
      </c>
      <c r="C51" s="12" t="inlineStr">
        <is>
          <t>CARBON CIENTIFICA LTDA</t>
        </is>
      </c>
      <c r="D51" s="12" t="inlineStr">
        <is>
          <t>44114040000130</t>
        </is>
      </c>
      <c r="E51" s="12" t="inlineStr">
        <is>
          <t>PR</t>
        </is>
      </c>
      <c r="F51" s="12" t="inlineStr">
        <is>
          <t>Normal</t>
        </is>
      </c>
      <c r="G51" s="12" t="inlineStr">
        <is>
          <t>5949</t>
        </is>
      </c>
      <c r="H51" s="12" t="inlineStr">
        <is>
          <t>1949</t>
        </is>
      </c>
      <c r="I51" s="12" t="inlineStr">
        <is>
          <t>29221100</t>
        </is>
      </c>
      <c r="J51" s="12" t="inlineStr">
        <is>
          <t>MONOETANOLAMINA PA 1000ML - CARBON lote 11622</t>
        </is>
      </c>
      <c r="K51" s="14" t="n">
        <v>1</v>
      </c>
      <c r="L51" s="12" t="inlineStr">
        <is>
          <t>00</t>
        </is>
      </c>
      <c r="M51" s="14" t="n">
        <v>0.2</v>
      </c>
      <c r="N51" s="12" t="n"/>
      <c r="O51" s="14" t="n"/>
      <c r="P51" s="12" t="inlineStr">
        <is>
          <t>Matéria-prima (químico orgânico) - mas CFOP 5949 (outras saídas: amostra/brinde/remessa)</t>
        </is>
      </c>
      <c r="Q51" s="12" t="inlineStr">
        <is>
          <t>CFOP 5949</t>
        </is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2" t="inlineStr">
        <is>
          <t>Matéria-prima (químico orgânico) - mas CFOP 5949 (outras saídas: amostra/brinde/remessa): ICMS destacado R$ 0.20 não gera crédito</t>
        </is>
      </c>
      <c r="X51" s="12" t="inlineStr"/>
      <c r="Y51" s="16" t="inlineStr"/>
      <c r="Z51" s="16" t="inlineStr"/>
    </row>
    <row r="52">
      <c r="A52" s="17" t="n">
        <v>46282</v>
      </c>
      <c r="B52" s="12" t="n">
        <v>6782</v>
      </c>
      <c r="C52" s="12" t="inlineStr">
        <is>
          <t>ELLOLIMP COMERCIO DE PRODUTOS DE HIGIENE E LIMPEZA LTDA</t>
        </is>
      </c>
      <c r="D52" s="12" t="inlineStr">
        <is>
          <t>49547438000183</t>
        </is>
      </c>
      <c r="E52" s="12" t="inlineStr">
        <is>
          <t>PR</t>
        </is>
      </c>
      <c r="F52" s="12" t="inlineStr">
        <is>
          <t>Normal</t>
        </is>
      </c>
      <c r="G52" s="12" t="inlineStr">
        <is>
          <t>5102</t>
        </is>
      </c>
      <c r="H52" s="12" t="inlineStr">
        <is>
          <t>1556</t>
        </is>
      </c>
      <c r="I52" s="12" t="inlineStr">
        <is>
          <t>56039240</t>
        </is>
      </c>
      <c r="J52" s="12" t="inlineStr">
        <is>
          <t>PANO ROLO MULTIUSO BRANCO 28x240 INOVEN</t>
        </is>
      </c>
      <c r="K52" s="14" t="n">
        <v>799</v>
      </c>
      <c r="L52" s="12" t="inlineStr">
        <is>
          <t>00</t>
        </is>
      </c>
      <c r="M52" s="14" t="n">
        <v>95.88</v>
      </c>
      <c r="N52" s="12" t="n"/>
      <c r="O52" s="14" t="n"/>
      <c r="P52" s="12" t="inlineStr">
        <is>
          <t>Uso e consumo (pano/TNT/EPI)</t>
        </is>
      </c>
      <c r="Q52" s="12" t="inlineStr">
        <is>
          <t>NCM 56039240</t>
        </is>
      </c>
      <c r="R52" s="14" t="n">
        <v>0</v>
      </c>
      <c r="S52" s="14" t="n">
        <v>0</v>
      </c>
      <c r="T52" s="14" t="n">
        <v>0</v>
      </c>
      <c r="U52" s="14" t="n">
        <v>0</v>
      </c>
      <c r="V52" s="14" t="n">
        <v>0</v>
      </c>
      <c r="W52" s="12" t="inlineStr">
        <is>
          <t>Uso e consumo (pano/TNT/EPI): ICMS destacado R$ 95.88 não gera crédito</t>
        </is>
      </c>
      <c r="X52" s="12" t="inlineStr"/>
      <c r="Y52" s="16" t="inlineStr"/>
      <c r="Z52" s="16" t="inlineStr"/>
    </row>
    <row r="53">
      <c r="A53" s="17" t="n">
        <v>46282</v>
      </c>
      <c r="B53" s="12" t="n">
        <v>6782</v>
      </c>
      <c r="C53" s="12" t="inlineStr">
        <is>
          <t>ELLOLIMP COMERCIO DE PRODUTOS DE HIGIENE E LIMPEZA LTDA</t>
        </is>
      </c>
      <c r="D53" s="12" t="inlineStr">
        <is>
          <t>49547438000183</t>
        </is>
      </c>
      <c r="E53" s="12" t="inlineStr">
        <is>
          <t>PR</t>
        </is>
      </c>
      <c r="F53" s="12" t="inlineStr">
        <is>
          <t>Normal</t>
        </is>
      </c>
      <c r="G53" s="12" t="inlineStr">
        <is>
          <t>5102</t>
        </is>
      </c>
      <c r="H53" s="12" t="inlineStr">
        <is>
          <t>1556</t>
        </is>
      </c>
      <c r="I53" s="12" t="inlineStr">
        <is>
          <t>76082090</t>
        </is>
      </c>
      <c r="J53" s="12" t="inlineStr">
        <is>
          <t>CABO ALUMINIO S ROSCA NOBRE 22MM X 1,40M</t>
        </is>
      </c>
      <c r="K53" s="14" t="n">
        <v>34.9</v>
      </c>
      <c r="L53" s="12" t="inlineStr">
        <is>
          <t>00</t>
        </is>
      </c>
      <c r="M53" s="14" t="n">
        <v>6.81</v>
      </c>
      <c r="N53" s="12" t="n"/>
      <c r="O53" s="14" t="n"/>
      <c r="P53" s="12" t="inlineStr">
        <is>
          <t>Uso e consumo (ferramenta/limpeza)</t>
        </is>
      </c>
      <c r="Q53" s="12" t="inlineStr">
        <is>
          <t>NCM 76082090</t>
        </is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2" t="inlineStr">
        <is>
          <t>Uso e consumo (ferramenta/limpeza): ICMS destacado R$ 6.81 não gera crédito</t>
        </is>
      </c>
      <c r="X53" s="12" t="inlineStr"/>
      <c r="Y53" s="16" t="inlineStr"/>
      <c r="Z53" s="16" t="inlineStr"/>
    </row>
    <row r="54">
      <c r="A54" s="17" t="n">
        <v>46282</v>
      </c>
      <c r="B54" s="12" t="n">
        <v>814</v>
      </c>
      <c r="C54" s="12" t="inlineStr">
        <is>
          <t>YAHWEH PRINT BRASIL LTDA</t>
        </is>
      </c>
      <c r="D54" s="12" t="inlineStr">
        <is>
          <t>52680145000184</t>
        </is>
      </c>
      <c r="E54" s="12" t="inlineStr">
        <is>
          <t>PR</t>
        </is>
      </c>
      <c r="F54" s="12" t="inlineStr">
        <is>
          <t>Simples Nacional</t>
        </is>
      </c>
      <c r="G54" s="12" t="inlineStr">
        <is>
          <t>5101</t>
        </is>
      </c>
      <c r="H54" s="12" t="inlineStr">
        <is>
          <t>1101</t>
        </is>
      </c>
      <c r="I54" s="12" t="inlineStr">
        <is>
          <t>48211000</t>
        </is>
      </c>
      <c r="J54" s="12" t="inlineStr">
        <is>
          <t>Etiqueta Balanca - 40x40 mm - Couche Termico - RL 30 Mts Dupla</t>
        </is>
      </c>
      <c r="K54" s="14" t="n">
        <v>273.5</v>
      </c>
      <c r="L54" s="12" t="inlineStr">
        <is>
          <t>102</t>
        </is>
      </c>
      <c r="M54" s="14" t="n">
        <v>0</v>
      </c>
      <c r="N54" s="12" t="n"/>
      <c r="O54" s="14" t="n"/>
      <c r="P54" s="12" t="inlineStr">
        <is>
          <t>Insumo (classificação do SPED anterior)</t>
        </is>
      </c>
      <c r="Q54" s="12" t="inlineStr">
        <is>
          <t>SPED anterior: CFOP 1101</t>
        </is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2" t="inlineStr">
        <is>
          <t>Simples CSOSN 102 (tributada SEM permissão de crédito): sem direito a crédito</t>
        </is>
      </c>
      <c r="X54" s="12" t="inlineStr"/>
      <c r="Y54" s="16" t="inlineStr"/>
      <c r="Z54" s="16" t="inlineStr"/>
    </row>
    <row r="55">
      <c r="A55" s="17" t="n">
        <v>46283</v>
      </c>
      <c r="B55" s="12" t="n">
        <v>17187</v>
      </c>
      <c r="C55" s="12" t="inlineStr">
        <is>
          <t>ONIXSUL COSMETICOS</t>
        </is>
      </c>
      <c r="D55" s="12" t="inlineStr">
        <is>
          <t>18074269000188</t>
        </is>
      </c>
      <c r="E55" s="12" t="inlineStr">
        <is>
          <t>PR</t>
        </is>
      </c>
      <c r="F55" s="12" t="inlineStr">
        <is>
          <t>Simples Nacional</t>
        </is>
      </c>
      <c r="G55" s="12" t="inlineStr">
        <is>
          <t>5901</t>
        </is>
      </c>
      <c r="H55" s="12" t="inlineStr">
        <is>
          <t>1901</t>
        </is>
      </c>
      <c r="I55" s="12" t="inlineStr">
        <is>
          <t>39239090</t>
        </is>
      </c>
      <c r="J55" s="12" t="inlineStr">
        <is>
          <t>...CDC60 - CARTUCHO COLORACAO DIVINE COLORS 60G</t>
        </is>
      </c>
      <c r="K55" s="14" t="n">
        <v>5700</v>
      </c>
      <c r="L55" s="12" t="inlineStr">
        <is>
          <t>400</t>
        </is>
      </c>
      <c r="M55" s="14" t="n">
        <v>0</v>
      </c>
      <c r="N55" s="12" t="n"/>
      <c r="O55" s="14" t="n"/>
      <c r="P55" s="12" t="inlineStr">
        <is>
          <t>Remessa para industrialização por encomenda (insumo do cliente)</t>
        </is>
      </c>
      <c r="Q55" s="12" t="inlineStr">
        <is>
          <t>CFOP 5901</t>
        </is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2" t="inlineStr">
        <is>
          <t>Simples (CSOSN 400) - Remessa para industrialização por encomenda (insumo do cliente): sem crédito (só mercadoria para industrialização/comercialização)</t>
        </is>
      </c>
      <c r="X55" s="12" t="inlineStr"/>
      <c r="Y55" s="16" t="inlineStr"/>
      <c r="Z55" s="16" t="inlineStr"/>
    </row>
    <row r="56">
      <c r="A56" s="17" t="n">
        <v>46283</v>
      </c>
      <c r="B56" s="12" t="n">
        <v>3214</v>
      </c>
      <c r="C56" s="12" t="inlineStr">
        <is>
          <t>Sul Tape Comercio de Embalagens EIRELI</t>
        </is>
      </c>
      <c r="D56" s="12" t="inlineStr">
        <is>
          <t>25141658000144</t>
        </is>
      </c>
      <c r="E56" s="12" t="inlineStr">
        <is>
          <t>PR</t>
        </is>
      </c>
      <c r="F56" s="12" t="inlineStr">
        <is>
          <t>Simples Nacional</t>
        </is>
      </c>
      <c r="G56" s="12" t="inlineStr">
        <is>
          <t>5102</t>
        </is>
      </c>
      <c r="H56" s="12" t="inlineStr">
        <is>
          <t>1556</t>
        </is>
      </c>
      <c r="I56" s="12" t="inlineStr">
        <is>
          <t>39201099</t>
        </is>
      </c>
      <c r="J56" s="12" t="inlineStr">
        <is>
          <t>FILME STRETCH CORELESS 500 X 25 M</t>
        </is>
      </c>
      <c r="K56" s="14" t="n">
        <v>340</v>
      </c>
      <c r="L56" s="12" t="inlineStr">
        <is>
          <t>103</t>
        </is>
      </c>
      <c r="M56" s="14" t="n">
        <v>0</v>
      </c>
      <c r="N56" s="12" t="n"/>
      <c r="O56" s="14" t="n"/>
      <c r="P56" s="12" t="inlineStr">
        <is>
          <t>Uso e consumo (classificação do SPED anterior)</t>
        </is>
      </c>
      <c r="Q56" s="12" t="inlineStr">
        <is>
          <t>SPED anterior: CFOP 1556</t>
        </is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2" t="inlineStr">
        <is>
          <t>Simples (CSOSN 103) - Uso e consumo (classificação do SPED anterior): sem crédito (só mercadoria para industrialização/comercialização)</t>
        </is>
      </c>
      <c r="X56" s="12" t="inlineStr"/>
      <c r="Y56" s="16" t="inlineStr"/>
      <c r="Z56" s="16" t="inlineStr"/>
    </row>
    <row r="57">
      <c r="A57" s="17" t="n">
        <v>46283</v>
      </c>
      <c r="B57" s="12" t="n">
        <v>3214</v>
      </c>
      <c r="C57" s="12" t="inlineStr">
        <is>
          <t>Sul Tape Comercio de Embalagens EIRELI</t>
        </is>
      </c>
      <c r="D57" s="12" t="inlineStr">
        <is>
          <t>25141658000144</t>
        </is>
      </c>
      <c r="E57" s="12" t="inlineStr">
        <is>
          <t>PR</t>
        </is>
      </c>
      <c r="F57" s="12" t="inlineStr">
        <is>
          <t>Simples Nacional</t>
        </is>
      </c>
      <c r="G57" s="12" t="inlineStr">
        <is>
          <t>5102</t>
        </is>
      </c>
      <c r="H57" s="12" t="inlineStr">
        <is>
          <t>1556</t>
        </is>
      </c>
      <c r="I57" s="12" t="inlineStr">
        <is>
          <t>39239090</t>
        </is>
      </c>
      <c r="J57" s="12" t="inlineStr">
        <is>
          <t>PLASTICO BOLHA 1,20 MM PRO</t>
        </is>
      </c>
      <c r="K57" s="14" t="n">
        <v>800</v>
      </c>
      <c r="L57" s="12" t="inlineStr">
        <is>
          <t>103</t>
        </is>
      </c>
      <c r="M57" s="14" t="n">
        <v>0</v>
      </c>
      <c r="N57" s="12" t="n"/>
      <c r="O57" s="14" t="n"/>
      <c r="P57" s="12" t="inlineStr">
        <is>
          <t>Uso e consumo (classificação do SPED anterior)</t>
        </is>
      </c>
      <c r="Q57" s="12" t="inlineStr">
        <is>
          <t>SPED anterior: CFOP 1556</t>
        </is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2" t="inlineStr">
        <is>
          <t>Simples (CSOSN 103) - Uso e consumo (classificação do SPED anterior): sem crédito (só mercadoria para industrialização/comercialização)</t>
        </is>
      </c>
      <c r="X57" s="12" t="inlineStr"/>
      <c r="Y57" s="16" t="inlineStr"/>
      <c r="Z57" s="16" t="inlineStr"/>
    </row>
    <row r="58">
      <c r="A58" s="17" t="n">
        <v>46286</v>
      </c>
      <c r="B58" s="12" t="n">
        <v>4551</v>
      </c>
      <c r="C58" s="12" t="inlineStr">
        <is>
          <t>BB COSMETICOS LTDA</t>
        </is>
      </c>
      <c r="D58" s="12" t="inlineStr">
        <is>
          <t>21822008000103</t>
        </is>
      </c>
      <c r="E58" s="12" t="inlineStr">
        <is>
          <t>PR</t>
        </is>
      </c>
      <c r="F58" s="12" t="inlineStr">
        <is>
          <t>Simples Nacional</t>
        </is>
      </c>
      <c r="G58" s="12" t="inlineStr">
        <is>
          <t>5901</t>
        </is>
      </c>
      <c r="H58" s="12" t="inlineStr">
        <is>
          <t>1901</t>
        </is>
      </c>
      <c r="I58" s="12" t="inlineStr">
        <is>
          <t>84132000</t>
        </is>
      </c>
      <c r="J58" s="12" t="inlineStr">
        <is>
          <t>PUMP 28/410 BRANCA PESCANTE 230MM</t>
        </is>
      </c>
      <c r="K58" s="14" t="n">
        <v>20</v>
      </c>
      <c r="L58" s="12" t="inlineStr">
        <is>
          <t>500</t>
        </is>
      </c>
      <c r="M58" s="14" t="n">
        <v>0</v>
      </c>
      <c r="N58" s="12" t="n"/>
      <c r="O58" s="14" t="n"/>
      <c r="P58" s="12" t="inlineStr">
        <is>
          <t>Remessa para industrialização por encomenda (insumo do cliente)</t>
        </is>
      </c>
      <c r="Q58" s="12" t="inlineStr">
        <is>
          <t>CFOP 5901</t>
        </is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2" t="inlineStr">
        <is>
          <t>Simples (CSOSN 500) - Remessa para industrialização por encomenda (insumo do cliente): sem crédito (só mercadoria para industrialização/comercialização)</t>
        </is>
      </c>
      <c r="X58" s="12" t="inlineStr"/>
      <c r="Y58" s="16" t="inlineStr"/>
      <c r="Z58" s="16" t="inlineStr"/>
    </row>
    <row r="59">
      <c r="A59" s="17" t="n">
        <v>46286</v>
      </c>
      <c r="B59" s="12" t="n">
        <v>4551</v>
      </c>
      <c r="C59" s="12" t="inlineStr">
        <is>
          <t>BB COSMETICOS LTDA</t>
        </is>
      </c>
      <c r="D59" s="12" t="inlineStr">
        <is>
          <t>21822008000103</t>
        </is>
      </c>
      <c r="E59" s="12" t="inlineStr">
        <is>
          <t>PR</t>
        </is>
      </c>
      <c r="F59" s="12" t="inlineStr">
        <is>
          <t>Simples Nacional</t>
        </is>
      </c>
      <c r="G59" s="12" t="inlineStr">
        <is>
          <t>5901</t>
        </is>
      </c>
      <c r="H59" s="12" t="inlineStr">
        <is>
          <t>1901</t>
        </is>
      </c>
      <c r="I59" s="12" t="inlineStr">
        <is>
          <t>84132000</t>
        </is>
      </c>
      <c r="J59" s="12" t="inlineStr">
        <is>
          <t>PUMP PROFISSIONAL 28/410 NATURAL PRESCANTE 270MM</t>
        </is>
      </c>
      <c r="K59" s="14" t="n">
        <v>20</v>
      </c>
      <c r="L59" s="12" t="inlineStr">
        <is>
          <t>500</t>
        </is>
      </c>
      <c r="M59" s="14" t="n">
        <v>0</v>
      </c>
      <c r="N59" s="12" t="n"/>
      <c r="O59" s="14" t="n"/>
      <c r="P59" s="12" t="inlineStr">
        <is>
          <t>Remessa para industrialização por encomenda (insumo do cliente)</t>
        </is>
      </c>
      <c r="Q59" s="12" t="inlineStr">
        <is>
          <t>CFOP 5901</t>
        </is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2" t="inlineStr">
        <is>
          <t>Simples (CSOSN 500) - Remessa para industrialização por encomenda (insumo do cliente): sem crédito (só mercadoria para industrialização/comercialização)</t>
        </is>
      </c>
      <c r="X59" s="12" t="inlineStr"/>
      <c r="Y59" s="16" t="inlineStr"/>
      <c r="Z59" s="16" t="inlineStr"/>
    </row>
    <row r="60">
      <c r="A60" s="17" t="n">
        <v>46286</v>
      </c>
      <c r="B60" s="12" t="n">
        <v>4551</v>
      </c>
      <c r="C60" s="12" t="inlineStr">
        <is>
          <t>BB COSMETICOS LTDA</t>
        </is>
      </c>
      <c r="D60" s="12" t="inlineStr">
        <is>
          <t>21822008000103</t>
        </is>
      </c>
      <c r="E60" s="12" t="inlineStr">
        <is>
          <t>PR</t>
        </is>
      </c>
      <c r="F60" s="12" t="inlineStr">
        <is>
          <t>Simples Nacional</t>
        </is>
      </c>
      <c r="G60" s="12" t="inlineStr">
        <is>
          <t>5901</t>
        </is>
      </c>
      <c r="H60" s="12" t="inlineStr">
        <is>
          <t>1901</t>
        </is>
      </c>
      <c r="I60" s="12" t="inlineStr">
        <is>
          <t>84248990</t>
        </is>
      </c>
      <c r="J60" s="12" t="inlineStr">
        <is>
          <t>MINI GATILHO 24/410 PRETO PESCANTE 250MM</t>
        </is>
      </c>
      <c r="K60" s="14" t="n">
        <v>5</v>
      </c>
      <c r="L60" s="12" t="inlineStr">
        <is>
          <t>500</t>
        </is>
      </c>
      <c r="M60" s="14" t="n">
        <v>0</v>
      </c>
      <c r="N60" s="12" t="n"/>
      <c r="O60" s="14" t="n"/>
      <c r="P60" s="12" t="inlineStr">
        <is>
          <t>Remessa para industrialização por encomenda (insumo do cliente)</t>
        </is>
      </c>
      <c r="Q60" s="12" t="inlineStr">
        <is>
          <t>CFOP 5901</t>
        </is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2" t="inlineStr">
        <is>
          <t>Simples (CSOSN 500) - Remessa para industrialização por encomenda (insumo do cliente): sem crédito (só mercadoria para industrialização/comercialização)</t>
        </is>
      </c>
      <c r="X60" s="12" t="inlineStr"/>
      <c r="Y60" s="16" t="inlineStr"/>
      <c r="Z60" s="16" t="inlineStr"/>
    </row>
    <row r="61">
      <c r="A61" s="17" t="n">
        <v>46286</v>
      </c>
      <c r="B61" s="12" t="n">
        <v>4551</v>
      </c>
      <c r="C61" s="12" t="inlineStr">
        <is>
          <t>BB COSMETICOS LTDA</t>
        </is>
      </c>
      <c r="D61" s="12" t="inlineStr">
        <is>
          <t>21822008000103</t>
        </is>
      </c>
      <c r="E61" s="12" t="inlineStr">
        <is>
          <t>PR</t>
        </is>
      </c>
      <c r="F61" s="12" t="inlineStr">
        <is>
          <t>Simples Nacional</t>
        </is>
      </c>
      <c r="G61" s="12" t="inlineStr">
        <is>
          <t>5901</t>
        </is>
      </c>
      <c r="H61" s="12" t="inlineStr">
        <is>
          <t>1901</t>
        </is>
      </c>
      <c r="I61" s="12" t="inlineStr">
        <is>
          <t>84248990</t>
        </is>
      </c>
      <c r="J61" s="12" t="inlineStr">
        <is>
          <t>MINI GATILHO 24/410 NATURAL PESCANTE 250MM</t>
        </is>
      </c>
      <c r="K61" s="14" t="n">
        <v>10</v>
      </c>
      <c r="L61" s="12" t="inlineStr">
        <is>
          <t>500</t>
        </is>
      </c>
      <c r="M61" s="14" t="n">
        <v>0</v>
      </c>
      <c r="N61" s="12" t="n"/>
      <c r="O61" s="14" t="n"/>
      <c r="P61" s="12" t="inlineStr">
        <is>
          <t>Remessa para industrialização por encomenda (insumo do cliente)</t>
        </is>
      </c>
      <c r="Q61" s="12" t="inlineStr">
        <is>
          <t>CFOP 5901</t>
        </is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2" t="inlineStr">
        <is>
          <t>Simples (CSOSN 500) - Remessa para industrialização por encomenda (insumo do cliente): sem crédito (só mercadoria para industrialização/comercialização)</t>
        </is>
      </c>
      <c r="X61" s="12" t="inlineStr"/>
      <c r="Y61" s="16" t="inlineStr"/>
      <c r="Z61" s="16" t="inlineStr"/>
    </row>
    <row r="62">
      <c r="A62" s="17" t="n">
        <v>46286</v>
      </c>
      <c r="B62" s="12" t="n">
        <v>4551</v>
      </c>
      <c r="C62" s="12" t="inlineStr">
        <is>
          <t>BB COSMETICOS LTDA</t>
        </is>
      </c>
      <c r="D62" s="12" t="inlineStr">
        <is>
          <t>21822008000103</t>
        </is>
      </c>
      <c r="E62" s="12" t="inlineStr">
        <is>
          <t>PR</t>
        </is>
      </c>
      <c r="F62" s="12" t="inlineStr">
        <is>
          <t>Simples Nacional</t>
        </is>
      </c>
      <c r="G62" s="12" t="inlineStr">
        <is>
          <t>5901</t>
        </is>
      </c>
      <c r="H62" s="12" t="inlineStr">
        <is>
          <t>1901</t>
        </is>
      </c>
      <c r="I62" s="12" t="inlineStr">
        <is>
          <t>84132000</t>
        </is>
      </c>
      <c r="J62" s="12" t="inlineStr">
        <is>
          <t>PUMP 28/410 PRETA PESCANTE 230MM</t>
        </is>
      </c>
      <c r="K62" s="14" t="n">
        <v>10</v>
      </c>
      <c r="L62" s="12" t="inlineStr">
        <is>
          <t>500</t>
        </is>
      </c>
      <c r="M62" s="14" t="n">
        <v>0</v>
      </c>
      <c r="N62" s="12" t="n"/>
      <c r="O62" s="14" t="n"/>
      <c r="P62" s="12" t="inlineStr">
        <is>
          <t>Remessa para industrialização por encomenda (insumo do cliente)</t>
        </is>
      </c>
      <c r="Q62" s="12" t="inlineStr">
        <is>
          <t>CFOP 5901</t>
        </is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2" t="inlineStr">
        <is>
          <t>Simples (CSOSN 500) - Remessa para industrialização por encomenda (insumo do cliente): sem crédito (só mercadoria para industrialização/comercialização)</t>
        </is>
      </c>
      <c r="X62" s="12" t="inlineStr"/>
      <c r="Y62" s="16" t="inlineStr"/>
      <c r="Z62" s="16" t="inlineStr"/>
    </row>
    <row r="63">
      <c r="A63" s="15" t="n">
        <v>46286</v>
      </c>
      <c r="B63" s="5" t="n">
        <v>117690</v>
      </c>
      <c r="C63" s="5" t="inlineStr">
        <is>
          <t>BISPHARMA EMBALAGENS LTDA</t>
        </is>
      </c>
      <c r="D63" s="5" t="inlineStr">
        <is>
          <t>59610485000188</t>
        </is>
      </c>
      <c r="E63" s="5" t="inlineStr">
        <is>
          <t>SP</t>
        </is>
      </c>
      <c r="F63" s="5" t="inlineStr">
        <is>
          <t>Normal</t>
        </is>
      </c>
      <c r="G63" s="5" t="inlineStr">
        <is>
          <t>6101</t>
        </is>
      </c>
      <c r="H63" s="5" t="inlineStr">
        <is>
          <t>2101</t>
        </is>
      </c>
      <c r="I63" s="5" t="inlineStr">
        <is>
          <t>76121000</t>
        </is>
      </c>
      <c r="J63" s="5" t="inlineStr">
        <is>
          <t>COLORACAO HIDRATANTE PROFISSIONAL 60G Item.Ped.:       OP:119087 Cod.Externo:345566</t>
        </is>
      </c>
      <c r="K63" s="6" t="n">
        <v>26515.5</v>
      </c>
      <c r="L63" s="5" t="inlineStr">
        <is>
          <t>00</t>
        </is>
      </c>
      <c r="M63" s="6" t="n">
        <v>2987.66</v>
      </c>
      <c r="N63" s="5" t="n"/>
      <c r="O63" s="6" t="n"/>
      <c r="P63" s="5" t="inlineStr">
        <is>
          <t>Embalagem (tubo de alumínio)</t>
        </is>
      </c>
      <c r="Q63" s="5" t="inlineStr">
        <is>
          <t>NCM 76121000</t>
        </is>
      </c>
      <c r="R63" s="6" t="n">
        <v>2987.66</v>
      </c>
      <c r="S63" s="6" t="n">
        <v>0</v>
      </c>
      <c r="T63" s="6" t="n">
        <v>0</v>
      </c>
      <c r="U63" s="6" t="n">
        <v>1618.32</v>
      </c>
      <c r="V63" s="6" t="n">
        <v>0</v>
      </c>
      <c r="W63" s="5" t="inlineStr">
        <is>
          <t>ICMS destacado (CST 00) em embalagem (tubo de alumínio)</t>
        </is>
      </c>
      <c r="X63" s="5" t="inlineStr"/>
      <c r="Y63" s="16" t="inlineStr"/>
      <c r="Z63" s="16" t="inlineStr"/>
    </row>
    <row r="64">
      <c r="A64" s="17" t="n">
        <v>46286</v>
      </c>
      <c r="B64" s="12" t="n">
        <v>5233</v>
      </c>
      <c r="C64" s="12" t="inlineStr">
        <is>
          <t>JOSE DOMINGOS LINARES LTDA</t>
        </is>
      </c>
      <c r="D64" s="12" t="inlineStr">
        <is>
          <t>03839251000152</t>
        </is>
      </c>
      <c r="E64" s="12" t="inlineStr">
        <is>
          <t>PR</t>
        </is>
      </c>
      <c r="F64" s="12" t="inlineStr">
        <is>
          <t>Normal</t>
        </is>
      </c>
      <c r="G64" s="12" t="inlineStr">
        <is>
          <t>5924</t>
        </is>
      </c>
      <c r="H64" s="12" t="inlineStr">
        <is>
          <t>1924</t>
        </is>
      </c>
      <c r="I64" s="12" t="inlineStr">
        <is>
          <t>49111090</t>
        </is>
      </c>
      <c r="J64" s="12" t="inlineStr">
        <is>
          <t>CAIXA - NATURE COLOR 60G (FUNDO AUTOMÁTICO) - 15,5X23,2CM</t>
        </is>
      </c>
      <c r="K64" s="14" t="n">
        <v>2420.01</v>
      </c>
      <c r="L64" s="12" t="inlineStr">
        <is>
          <t>41</t>
        </is>
      </c>
      <c r="M64" s="14" t="n">
        <v>0</v>
      </c>
      <c r="N64" s="12" t="n"/>
      <c r="O64" s="14" t="n"/>
      <c r="P64" s="12" t="inlineStr">
        <is>
          <t>Remessa para industrialização por conta e ordem do adquirente (insumo do cliente)</t>
        </is>
      </c>
      <c r="Q64" s="12" t="inlineStr">
        <is>
          <t>CFOP 5924</t>
        </is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2" t="inlineStr">
        <is>
          <t>Remessa para industrialização por conta e ordem do adquirente (insumo do cliente)</t>
        </is>
      </c>
      <c r="X64" s="12" t="inlineStr"/>
      <c r="Y64" s="16" t="inlineStr"/>
      <c r="Z64" s="16" t="inlineStr"/>
    </row>
    <row r="65">
      <c r="A65" s="17" t="n">
        <v>46286</v>
      </c>
      <c r="B65" s="12" t="n">
        <v>5235</v>
      </c>
      <c r="C65" s="12" t="inlineStr">
        <is>
          <t>JOSE DOMINGOS LINARES LTDA</t>
        </is>
      </c>
      <c r="D65" s="12" t="inlineStr">
        <is>
          <t>03839251000152</t>
        </is>
      </c>
      <c r="E65" s="12" t="inlineStr">
        <is>
          <t>PR</t>
        </is>
      </c>
      <c r="F65" s="12" t="inlineStr">
        <is>
          <t>Normal</t>
        </is>
      </c>
      <c r="G65" s="12" t="inlineStr">
        <is>
          <t>5924</t>
        </is>
      </c>
      <c r="H65" s="12" t="inlineStr">
        <is>
          <t>1924</t>
        </is>
      </c>
      <c r="I65" s="12" t="inlineStr">
        <is>
          <t>49111090</t>
        </is>
      </c>
      <c r="J65" s="12" t="inlineStr">
        <is>
          <t>CAIXA - NATURE COLOR 60G - ABERTA 14,8X23CM</t>
        </is>
      </c>
      <c r="K65" s="14" t="n">
        <v>1760</v>
      </c>
      <c r="L65" s="12" t="inlineStr">
        <is>
          <t>00</t>
        </is>
      </c>
      <c r="M65" s="14" t="n">
        <v>0</v>
      </c>
      <c r="N65" s="12" t="n"/>
      <c r="O65" s="14" t="n"/>
      <c r="P65" s="12" t="inlineStr">
        <is>
          <t>Remessa para industrialização por conta e ordem do adquirente (insumo do cliente)</t>
        </is>
      </c>
      <c r="Q65" s="12" t="inlineStr">
        <is>
          <t>CFOP 5924</t>
        </is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2" t="inlineStr">
        <is>
          <t>Remessa para industrialização por conta e ordem do adquirente (insumo do cliente)</t>
        </is>
      </c>
      <c r="X65" s="12" t="inlineStr"/>
      <c r="Y65" s="16" t="inlineStr"/>
      <c r="Z65" s="16" t="inlineStr"/>
    </row>
    <row r="66">
      <c r="A66" s="17" t="n">
        <v>46286</v>
      </c>
      <c r="B66" s="12" t="n">
        <v>55874</v>
      </c>
      <c r="C66" s="12" t="inlineStr">
        <is>
          <t>Mix Perfumaria</t>
        </is>
      </c>
      <c r="D66" s="12" t="inlineStr">
        <is>
          <t>06237330000181</t>
        </is>
      </c>
      <c r="E66" s="12" t="inlineStr">
        <is>
          <t>PR</t>
        </is>
      </c>
      <c r="F66" s="12" t="inlineStr">
        <is>
          <t>Normal</t>
        </is>
      </c>
      <c r="G66" s="12" t="inlineStr">
        <is>
          <t>5901</t>
        </is>
      </c>
      <c r="H66" s="12" t="inlineStr">
        <is>
          <t>1901</t>
        </is>
      </c>
      <c r="I66" s="12" t="inlineStr">
        <is>
          <t>39233090</t>
        </is>
      </c>
      <c r="J66" s="12" t="inlineStr">
        <is>
          <t>Frasco Impresso Ox 30v 900ml - Eternize</t>
        </is>
      </c>
      <c r="K66" s="14" t="n">
        <v>600</v>
      </c>
      <c r="L66" s="12" t="inlineStr">
        <is>
          <t>90</t>
        </is>
      </c>
      <c r="M66" s="14" t="n">
        <v>0</v>
      </c>
      <c r="N66" s="12" t="n"/>
      <c r="O66" s="14" t="n"/>
      <c r="P66" s="12" t="inlineStr">
        <is>
          <t>Remessa para industrialização por encomenda (insumo do cliente)</t>
        </is>
      </c>
      <c r="Q66" s="12" t="inlineStr">
        <is>
          <t>CFOP 5901</t>
        </is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2" t="inlineStr">
        <is>
          <t>Remessa para industrialização por encomenda (insumo do cliente)</t>
        </is>
      </c>
      <c r="X66" s="12" t="inlineStr"/>
      <c r="Y66" s="16" t="inlineStr"/>
      <c r="Z66" s="16" t="inlineStr"/>
    </row>
    <row r="67">
      <c r="A67" s="15" t="n">
        <v>46287</v>
      </c>
      <c r="B67" s="5" t="n">
        <v>275966</v>
      </c>
      <c r="C67" s="5" t="inlineStr">
        <is>
          <t>MCASSAB COMERCIO E INDUSTRIA LTDA</t>
        </is>
      </c>
      <c r="D67" s="5" t="inlineStr">
        <is>
          <t>49698723003110</t>
        </is>
      </c>
      <c r="E67" s="5" t="inlineStr">
        <is>
          <t>SP</t>
        </is>
      </c>
      <c r="F67" s="5" t="inlineStr">
        <is>
          <t>Normal</t>
        </is>
      </c>
      <c r="G67" s="5" t="inlineStr">
        <is>
          <t>6102</t>
        </is>
      </c>
      <c r="H67" s="5" t="inlineStr">
        <is>
          <t>2101</t>
        </is>
      </c>
      <c r="I67" s="5" t="inlineStr">
        <is>
          <t>29094429</t>
        </is>
      </c>
      <c r="J67" s="5" t="inlineStr">
        <is>
          <t>TRANSCUTOL CG - TB 25 KG</t>
        </is>
      </c>
      <c r="K67" s="6" t="n">
        <v>3873.74</v>
      </c>
      <c r="L67" s="5" t="inlineStr">
        <is>
          <t>00</t>
        </is>
      </c>
      <c r="M67" s="6" t="n">
        <v>154.95</v>
      </c>
      <c r="N67" s="5" t="n"/>
      <c r="O67" s="6" t="n"/>
      <c r="P67" s="5" t="inlineStr">
        <is>
          <t>Insumo (classificação do SPED anterior)</t>
        </is>
      </c>
      <c r="Q67" s="5" t="inlineStr">
        <is>
          <t>SPED anterior: CFOP 2911</t>
        </is>
      </c>
      <c r="R67" s="6" t="n">
        <v>154.95</v>
      </c>
      <c r="S67" s="6" t="n">
        <v>0</v>
      </c>
      <c r="T67" s="6" t="n">
        <v>0</v>
      </c>
      <c r="U67" s="6" t="n">
        <v>0</v>
      </c>
      <c r="V67" s="6" t="n">
        <v>0</v>
      </c>
      <c r="W67" s="5" t="inlineStr">
        <is>
          <t>ICMS destacado (CST 00) em insumo (classificação do sped anterior)</t>
        </is>
      </c>
      <c r="X67" s="5" t="inlineStr">
        <is>
          <t>ICMS antecipado importado 8% x 3,873.74 = R$ 309.90 (E111 PR000080 débito / PR020212 crédito + E113)</t>
        </is>
      </c>
      <c r="Y67" s="16" t="inlineStr"/>
      <c r="Z67" s="16" t="inlineStr"/>
    </row>
    <row r="68">
      <c r="A68" s="15" t="n">
        <v>46288</v>
      </c>
      <c r="B68" s="5" t="n">
        <v>48241</v>
      </c>
      <c r="C68" s="5" t="inlineStr">
        <is>
          <t>HS INKLASER LTDA</t>
        </is>
      </c>
      <c r="D68" s="5" t="inlineStr">
        <is>
          <t>18858535000163</t>
        </is>
      </c>
      <c r="E68" s="5" t="inlineStr">
        <is>
          <t>SP</t>
        </is>
      </c>
      <c r="F68" s="5" t="inlineStr">
        <is>
          <t>Normal</t>
        </is>
      </c>
      <c r="G68" s="5" t="inlineStr">
        <is>
          <t>6102</t>
        </is>
      </c>
      <c r="H68" s="5" t="inlineStr">
        <is>
          <t>2101</t>
        </is>
      </c>
      <c r="I68" s="5" t="inlineStr">
        <is>
          <t>84439923</t>
        </is>
      </c>
      <c r="J68" s="5" t="inlineStr">
        <is>
          <t>CARTUCHO BLK 13 PRETO</t>
        </is>
      </c>
      <c r="K68" s="6" t="n">
        <v>1074.5</v>
      </c>
      <c r="L68" s="5" t="inlineStr">
        <is>
          <t>00</t>
        </is>
      </c>
      <c r="M68" s="6" t="n">
        <v>125.11</v>
      </c>
      <c r="N68" s="5" t="n"/>
      <c r="O68" s="6" t="n"/>
      <c r="P68" s="5" t="inlineStr">
        <is>
          <t>Insumo (classificação do SPED anterior)</t>
        </is>
      </c>
      <c r="Q68" s="5" t="inlineStr">
        <is>
          <t>SPED anterior: CFOP 2101</t>
        </is>
      </c>
      <c r="R68" s="6" t="n">
        <v>125.11</v>
      </c>
      <c r="S68" s="6" t="n">
        <v>0</v>
      </c>
      <c r="T68" s="6" t="n">
        <v>0</v>
      </c>
      <c r="U68" s="6" t="n">
        <v>31.95</v>
      </c>
      <c r="V68" s="6" t="n">
        <v>0</v>
      </c>
      <c r="W68" s="5" t="inlineStr">
        <is>
          <t>ICMS destacado (CST 00) em insumo (classificação do sped anterior)</t>
        </is>
      </c>
      <c r="X68" s="5" t="inlineStr"/>
      <c r="Y68" s="16" t="inlineStr"/>
      <c r="Z68" s="16" t="inlineStr"/>
    </row>
    <row r="69">
      <c r="A69" s="17" t="n">
        <v>46288</v>
      </c>
      <c r="B69" s="12" t="n">
        <v>14838</v>
      </c>
      <c r="C69" s="12" t="inlineStr">
        <is>
          <t>Mix Cosmeticos Ltda</t>
        </is>
      </c>
      <c r="D69" s="12" t="inlineStr">
        <is>
          <t>27697083000176</t>
        </is>
      </c>
      <c r="E69" s="12" t="inlineStr">
        <is>
          <t>MS</t>
        </is>
      </c>
      <c r="F69" s="12" t="inlineStr">
        <is>
          <t>Normal</t>
        </is>
      </c>
      <c r="G69" s="12" t="inlineStr">
        <is>
          <t>6901</t>
        </is>
      </c>
      <c r="H69" s="12" t="inlineStr">
        <is>
          <t>2901</t>
        </is>
      </c>
      <c r="I69" s="12" t="inlineStr">
        <is>
          <t>39233090</t>
        </is>
      </c>
      <c r="J69" s="12" t="inlineStr">
        <is>
          <t>Frasco Impresso Ox 20v 900ml- Eternize</t>
        </is>
      </c>
      <c r="K69" s="14" t="n">
        <v>948</v>
      </c>
      <c r="L69" s="12" t="inlineStr">
        <is>
          <t>90</t>
        </is>
      </c>
      <c r="M69" s="14" t="n">
        <v>0</v>
      </c>
      <c r="N69" s="12" t="n"/>
      <c r="O69" s="14" t="n"/>
      <c r="P69" s="12" t="inlineStr">
        <is>
          <t>Remessa para industrialização por encomenda (insumo do cliente)</t>
        </is>
      </c>
      <c r="Q69" s="12" t="inlineStr">
        <is>
          <t>CFOP 6901</t>
        </is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2" t="inlineStr">
        <is>
          <t>Remessa para industrialização por encomenda (insumo do cliente)</t>
        </is>
      </c>
      <c r="X69" s="12" t="inlineStr"/>
      <c r="Y69" s="16" t="inlineStr"/>
      <c r="Z69" s="16" t="inlineStr"/>
    </row>
    <row r="70">
      <c r="A70" s="17" t="n">
        <v>46288</v>
      </c>
      <c r="B70" s="12" t="n">
        <v>55913</v>
      </c>
      <c r="C70" s="12" t="inlineStr">
        <is>
          <t>Mix Perfumaria</t>
        </is>
      </c>
      <c r="D70" s="12" t="inlineStr">
        <is>
          <t>06237330000181</t>
        </is>
      </c>
      <c r="E70" s="12" t="inlineStr">
        <is>
          <t>PR</t>
        </is>
      </c>
      <c r="F70" s="12" t="inlineStr">
        <is>
          <t>Normal</t>
        </is>
      </c>
      <c r="G70" s="12" t="inlineStr">
        <is>
          <t>5901</t>
        </is>
      </c>
      <c r="H70" s="12" t="inlineStr">
        <is>
          <t>1901</t>
        </is>
      </c>
      <c r="I70" s="12" t="inlineStr">
        <is>
          <t>39233090</t>
        </is>
      </c>
      <c r="J70" s="12" t="inlineStr">
        <is>
          <t>Frasco Impresso Ox 20v 900ml- Eternize</t>
        </is>
      </c>
      <c r="K70" s="14" t="n">
        <v>556.5</v>
      </c>
      <c r="L70" s="12" t="inlineStr">
        <is>
          <t>90</t>
        </is>
      </c>
      <c r="M70" s="14" t="n">
        <v>0</v>
      </c>
      <c r="N70" s="12" t="n"/>
      <c r="O70" s="14" t="n"/>
      <c r="P70" s="12" t="inlineStr">
        <is>
          <t>Remessa para industrialização por encomenda (insumo do cliente)</t>
        </is>
      </c>
      <c r="Q70" s="12" t="inlineStr">
        <is>
          <t>CFOP 5901</t>
        </is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2" t="inlineStr">
        <is>
          <t>Remessa para industrialização por encomenda (insumo do cliente)</t>
        </is>
      </c>
      <c r="X70" s="12" t="inlineStr"/>
      <c r="Y70" s="16" t="inlineStr"/>
      <c r="Z70" s="16" t="inlineStr"/>
    </row>
    <row r="71">
      <c r="A71" s="15" t="n">
        <v>46288</v>
      </c>
      <c r="B71" s="5" t="n">
        <v>141811</v>
      </c>
      <c r="C71" s="5" t="inlineStr">
        <is>
          <t>SCENTEC ESSENCIAS E FRAGRANCIAS LTDA</t>
        </is>
      </c>
      <c r="D71" s="5" t="inlineStr">
        <is>
          <t>62514971000107</t>
        </is>
      </c>
      <c r="E71" s="5" t="inlineStr">
        <is>
          <t>SP</t>
        </is>
      </c>
      <c r="F71" s="5" t="inlineStr">
        <is>
          <t>Normal</t>
        </is>
      </c>
      <c r="G71" s="5" t="inlineStr">
        <is>
          <t>6101</t>
        </is>
      </c>
      <c r="H71" s="5" t="inlineStr">
        <is>
          <t>2101</t>
        </is>
      </c>
      <c r="I71" s="5" t="inlineStr">
        <is>
          <t>33029019</t>
        </is>
      </c>
      <c r="J71" s="5" t="inlineStr">
        <is>
          <t>CASHMERE - 204510</t>
        </is>
      </c>
      <c r="K71" s="6" t="n">
        <v>4794.99</v>
      </c>
      <c r="L71" s="5" t="inlineStr">
        <is>
          <t>00</t>
        </is>
      </c>
      <c r="M71" s="6" t="n">
        <v>557.29</v>
      </c>
      <c r="N71" s="5" t="n"/>
      <c r="O71" s="6" t="n"/>
      <c r="P71" s="5" t="inlineStr">
        <is>
          <t>Matéria-prima (fragrância/essência)</t>
        </is>
      </c>
      <c r="Q71" s="5" t="inlineStr">
        <is>
          <t>NCM 33029019</t>
        </is>
      </c>
      <c r="R71" s="6" t="n">
        <v>557.29</v>
      </c>
      <c r="S71" s="6" t="n">
        <v>0</v>
      </c>
      <c r="T71" s="6" t="n">
        <v>0</v>
      </c>
      <c r="U71" s="6" t="n">
        <v>150.93</v>
      </c>
      <c r="V71" s="6" t="n">
        <v>0</v>
      </c>
      <c r="W71" s="5" t="inlineStr">
        <is>
          <t>ICMS destacado (CST 00) em matéria-prima (fragrância/essência)</t>
        </is>
      </c>
      <c r="X71" s="5" t="inlineStr"/>
      <c r="Y71" s="16" t="inlineStr"/>
      <c r="Z71" s="16" t="inlineStr"/>
    </row>
    <row r="72">
      <c r="A72" s="17" t="n">
        <v>46293</v>
      </c>
      <c r="B72" s="12" t="n">
        <v>391</v>
      </c>
      <c r="C72" s="12" t="inlineStr">
        <is>
          <t>CHEMYUNION LTDA</t>
        </is>
      </c>
      <c r="D72" s="12" t="inlineStr">
        <is>
          <t>58309709000820</t>
        </is>
      </c>
      <c r="E72" s="12" t="inlineStr">
        <is>
          <t>MG</t>
        </is>
      </c>
      <c r="F72" s="12" t="inlineStr">
        <is>
          <t>Normal</t>
        </is>
      </c>
      <c r="G72" s="12" t="inlineStr">
        <is>
          <t>6949</t>
        </is>
      </c>
      <c r="H72" s="12" t="inlineStr">
        <is>
          <t>2949</t>
        </is>
      </c>
      <c r="I72" s="12" t="inlineStr">
        <is>
          <t>00000000</t>
        </is>
      </c>
      <c r="J72" s="12" t="inlineStr">
        <is>
          <t>Antecipação de Pagamento (Adiantamento)</t>
        </is>
      </c>
      <c r="K72" s="14" t="n">
        <v>8472.040000000001</v>
      </c>
      <c r="L72" s="12" t="n"/>
      <c r="M72" s="14" t="n">
        <v>0</v>
      </c>
      <c r="N72" s="12" t="n"/>
      <c r="O72" s="14" t="n"/>
      <c r="P72" s="12" t="inlineStr">
        <is>
          <t>Nota sem mercadoria (antecipação/financeira)</t>
        </is>
      </c>
      <c r="Q72" s="12" t="inlineStr">
        <is>
          <t>CFOP 6949 / NCM 00000000</t>
        </is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2" t="inlineStr">
        <is>
          <t>Nota sem mercadoria (antecipação/financeira)</t>
        </is>
      </c>
      <c r="X72" s="12" t="inlineStr"/>
      <c r="Y72" s="16" t="inlineStr"/>
      <c r="Z72" s="16" t="inlineStr"/>
    </row>
    <row r="73">
      <c r="A73" s="17" t="n">
        <v>46294</v>
      </c>
      <c r="B73" s="12" t="n">
        <v>392</v>
      </c>
      <c r="C73" s="12" t="inlineStr">
        <is>
          <t>CHEMYUNION LTDA</t>
        </is>
      </c>
      <c r="D73" s="12" t="inlineStr">
        <is>
          <t>58309709000820</t>
        </is>
      </c>
      <c r="E73" s="12" t="inlineStr">
        <is>
          <t>MG</t>
        </is>
      </c>
      <c r="F73" s="12" t="inlineStr">
        <is>
          <t>Normal</t>
        </is>
      </c>
      <c r="G73" s="12" t="inlineStr">
        <is>
          <t>6949</t>
        </is>
      </c>
      <c r="H73" s="12" t="inlineStr">
        <is>
          <t>2949</t>
        </is>
      </c>
      <c r="I73" s="12" t="inlineStr">
        <is>
          <t>00000000</t>
        </is>
      </c>
      <c r="J73" s="12" t="inlineStr">
        <is>
          <t>Antecipação de Pagamento (Adiantamento)</t>
        </is>
      </c>
      <c r="K73" s="14" t="n">
        <v>275.34</v>
      </c>
      <c r="L73" s="12" t="n"/>
      <c r="M73" s="14" t="n">
        <v>0</v>
      </c>
      <c r="N73" s="12" t="n"/>
      <c r="O73" s="14" t="n"/>
      <c r="P73" s="12" t="inlineStr">
        <is>
          <t>Nota sem mercadoria (antecipação/financeira)</t>
        </is>
      </c>
      <c r="Q73" s="12" t="inlineStr">
        <is>
          <t>CFOP 6949 / NCM 00000000</t>
        </is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2" t="inlineStr">
        <is>
          <t>Nota sem mercadoria (antecipação/financeira)</t>
        </is>
      </c>
      <c r="X73" s="12" t="inlineStr"/>
      <c r="Y73" s="16" t="inlineStr"/>
      <c r="Z73" s="16" t="inlineStr"/>
    </row>
    <row r="74">
      <c r="A74" s="15" t="n">
        <v>46294</v>
      </c>
      <c r="B74" s="5" t="n">
        <v>19303</v>
      </c>
      <c r="C74" s="5" t="inlineStr">
        <is>
          <t>CHEMYUNION LTDA</t>
        </is>
      </c>
      <c r="D74" s="5" t="inlineStr">
        <is>
          <t>58309709000820</t>
        </is>
      </c>
      <c r="E74" s="5" t="inlineStr">
        <is>
          <t>MG</t>
        </is>
      </c>
      <c r="F74" s="5" t="inlineStr">
        <is>
          <t>Normal</t>
        </is>
      </c>
      <c r="G74" s="5" t="inlineStr">
        <is>
          <t>6101</t>
        </is>
      </c>
      <c r="H74" s="5" t="inlineStr">
        <is>
          <t>2101</t>
        </is>
      </c>
      <c r="I74" s="5" t="inlineStr">
        <is>
          <t>34024200</t>
        </is>
      </c>
      <c r="J74" s="5" t="inlineStr">
        <is>
          <t>Uniox C (20,000)</t>
        </is>
      </c>
      <c r="K74" s="6" t="n">
        <v>8747.379999999999</v>
      </c>
      <c r="L74" s="5" t="inlineStr">
        <is>
          <t>00</t>
        </is>
      </c>
      <c r="M74" s="6" t="n">
        <v>1016.64</v>
      </c>
      <c r="N74" s="5" t="n"/>
      <c r="O74" s="6" t="n"/>
      <c r="P74" s="5" t="inlineStr">
        <is>
          <t>Matéria-prima (tensoativo)</t>
        </is>
      </c>
      <c r="Q74" s="5" t="inlineStr">
        <is>
          <t>NCM 34024200</t>
        </is>
      </c>
      <c r="R74" s="6" t="n">
        <v>1016.64</v>
      </c>
      <c r="S74" s="6" t="n">
        <v>0</v>
      </c>
      <c r="T74" s="6" t="n">
        <v>0</v>
      </c>
      <c r="U74" s="6" t="n">
        <v>275.34</v>
      </c>
      <c r="V74" s="6" t="n">
        <v>0</v>
      </c>
      <c r="W74" s="5" t="inlineStr">
        <is>
          <t>ICMS destacado (CST 00) em matéria-prima (tensoativo)</t>
        </is>
      </c>
      <c r="X74" s="5" t="inlineStr"/>
      <c r="Y74" s="16" t="inlineStr"/>
      <c r="Z74" s="16" t="inlineStr"/>
    </row>
    <row r="75">
      <c r="A75" s="17" t="n">
        <v>46294</v>
      </c>
      <c r="B75" s="12" t="n">
        <v>222098</v>
      </c>
      <c r="C75" s="12" t="inlineStr">
        <is>
          <t>FARMANILQUIMA COM. ANILINAS E PRODS.QUIM.LTDA</t>
        </is>
      </c>
      <c r="D75" s="12" t="inlineStr">
        <is>
          <t>76509488000149</t>
        </is>
      </c>
      <c r="E75" s="12" t="inlineStr">
        <is>
          <t>PR</t>
        </is>
      </c>
      <c r="F75" s="12" t="inlineStr">
        <is>
          <t>Simples Nacional</t>
        </is>
      </c>
      <c r="G75" s="12" t="inlineStr">
        <is>
          <t>5102</t>
        </is>
      </c>
      <c r="H75" s="12" t="inlineStr">
        <is>
          <t>1101</t>
        </is>
      </c>
      <c r="I75" s="12" t="inlineStr">
        <is>
          <t>15159090</t>
        </is>
      </c>
      <c r="J75" s="12" t="inlineStr">
        <is>
          <t>OLEO DE CAMOMILA 100 ML</t>
        </is>
      </c>
      <c r="K75" s="14" t="n">
        <v>200</v>
      </c>
      <c r="L75" s="12" t="inlineStr">
        <is>
          <t>102</t>
        </is>
      </c>
      <c r="M75" s="14" t="n">
        <v>0</v>
      </c>
      <c r="N75" s="12" t="n"/>
      <c r="O75" s="14" t="n"/>
      <c r="P75" s="12" t="inlineStr">
        <is>
          <t>Matéria-prima (óleos e gorduras)</t>
        </is>
      </c>
      <c r="Q75" s="12" t="inlineStr">
        <is>
          <t>NCM 15159090</t>
        </is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2" t="inlineStr">
        <is>
          <t>Simples CSOSN 102 (tributada SEM permissão de crédito): sem direito a crédito</t>
        </is>
      </c>
      <c r="X75" s="12" t="inlineStr"/>
      <c r="Y75" s="16" t="inlineStr"/>
      <c r="Z75" s="16" t="inlineStr"/>
    </row>
    <row r="76">
      <c r="A76" s="17" t="n">
        <v>46294</v>
      </c>
      <c r="B76" s="12" t="n">
        <v>5382</v>
      </c>
      <c r="C76" s="12" t="inlineStr">
        <is>
          <t>JOSE DOMINGOS LINARES LTDA</t>
        </is>
      </c>
      <c r="D76" s="12" t="inlineStr">
        <is>
          <t>03839251000152</t>
        </is>
      </c>
      <c r="E76" s="12" t="inlineStr">
        <is>
          <t>PR</t>
        </is>
      </c>
      <c r="F76" s="12" t="inlineStr">
        <is>
          <t>Normal</t>
        </is>
      </c>
      <c r="G76" s="12" t="inlineStr">
        <is>
          <t>5949</t>
        </is>
      </c>
      <c r="H76" s="12" t="inlineStr">
        <is>
          <t>1949</t>
        </is>
      </c>
      <c r="I76" s="12" t="inlineStr">
        <is>
          <t>48211000</t>
        </is>
      </c>
      <c r="J76" s="12" t="inlineStr">
        <is>
          <t>RÓTULOS FLEXO DIGITAL - 13 X 7,5 CM</t>
        </is>
      </c>
      <c r="K76" s="14" t="n">
        <v>1893</v>
      </c>
      <c r="L76" s="12" t="inlineStr">
        <is>
          <t>41</t>
        </is>
      </c>
      <c r="M76" s="14" t="n">
        <v>0</v>
      </c>
      <c r="N76" s="12" t="n"/>
      <c r="O76" s="14" t="n"/>
      <c r="P76" s="12" t="inlineStr">
        <is>
          <t>Embalagem (rótulo/etiqueta) - mas CFOP 5949 (outras saídas: amostra/brinde/remessa)</t>
        </is>
      </c>
      <c r="Q76" s="12" t="inlineStr">
        <is>
          <t>CFOP 5949</t>
        </is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2" t="inlineStr">
        <is>
          <t>Embalagem (rótulo/etiqueta) - mas CFOP 5949 (outras saídas: amostra/brinde/remessa)</t>
        </is>
      </c>
      <c r="X76" s="12" t="inlineStr"/>
      <c r="Y76" s="16" t="inlineStr"/>
      <c r="Z76" s="16" t="inlineStr"/>
    </row>
    <row r="77">
      <c r="A77" s="17" t="n">
        <v>46294</v>
      </c>
      <c r="B77" s="12" t="n">
        <v>14856</v>
      </c>
      <c r="C77" s="12" t="inlineStr">
        <is>
          <t>Mix Cosmeticos Ltda</t>
        </is>
      </c>
      <c r="D77" s="12" t="inlineStr">
        <is>
          <t>27697083000176</t>
        </is>
      </c>
      <c r="E77" s="12" t="inlineStr">
        <is>
          <t>MS</t>
        </is>
      </c>
      <c r="F77" s="12" t="inlineStr">
        <is>
          <t>Normal</t>
        </is>
      </c>
      <c r="G77" s="12" t="inlineStr">
        <is>
          <t>6901</t>
        </is>
      </c>
      <c r="H77" s="12" t="inlineStr">
        <is>
          <t>2901</t>
        </is>
      </c>
      <c r="I77" s="12" t="inlineStr">
        <is>
          <t>39233090</t>
        </is>
      </c>
      <c r="J77" s="12" t="inlineStr">
        <is>
          <t>Frasco Impresso Ox 30v 900ml - Eternize</t>
        </is>
      </c>
      <c r="K77" s="14" t="n">
        <v>600</v>
      </c>
      <c r="L77" s="12" t="inlineStr">
        <is>
          <t>90</t>
        </is>
      </c>
      <c r="M77" s="14" t="n">
        <v>0</v>
      </c>
      <c r="N77" s="12" t="n"/>
      <c r="O77" s="14" t="n"/>
      <c r="P77" s="12" t="inlineStr">
        <is>
          <t>Remessa para industrialização por encomenda (insumo do cliente)</t>
        </is>
      </c>
      <c r="Q77" s="12" t="inlineStr">
        <is>
          <t>CFOP 6901</t>
        </is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2" t="inlineStr">
        <is>
          <t>Remessa para industrialização por encomenda (insumo do cliente)</t>
        </is>
      </c>
      <c r="X77" s="12" t="inlineStr"/>
      <c r="Y77" s="16" t="inlineStr"/>
      <c r="Z77" s="16" t="inlineStr"/>
    </row>
    <row r="78">
      <c r="A78" s="17" t="n">
        <v>46294</v>
      </c>
      <c r="B78" s="12" t="n">
        <v>56004</v>
      </c>
      <c r="C78" s="12" t="inlineStr">
        <is>
          <t>Mix Perfumaria</t>
        </is>
      </c>
      <c r="D78" s="12" t="inlineStr">
        <is>
          <t>06237330000181</t>
        </is>
      </c>
      <c r="E78" s="12" t="inlineStr">
        <is>
          <t>PR</t>
        </is>
      </c>
      <c r="F78" s="12" t="inlineStr">
        <is>
          <t>Normal</t>
        </is>
      </c>
      <c r="G78" s="12" t="inlineStr">
        <is>
          <t>5901</t>
        </is>
      </c>
      <c r="H78" s="12" t="inlineStr">
        <is>
          <t>1901</t>
        </is>
      </c>
      <c r="I78" s="12" t="inlineStr">
        <is>
          <t>39233090</t>
        </is>
      </c>
      <c r="J78" s="12" t="inlineStr">
        <is>
          <t>Frasco Impresso Ox 30v 900ml - Eternize</t>
        </is>
      </c>
      <c r="K78" s="14" t="n">
        <v>300</v>
      </c>
      <c r="L78" s="12" t="inlineStr">
        <is>
          <t>90</t>
        </is>
      </c>
      <c r="M78" s="14" t="n">
        <v>0</v>
      </c>
      <c r="N78" s="12" t="n"/>
      <c r="O78" s="14" t="n"/>
      <c r="P78" s="12" t="inlineStr">
        <is>
          <t>Remessa para industrialização por encomenda (insumo do cliente)</t>
        </is>
      </c>
      <c r="Q78" s="12" t="inlineStr">
        <is>
          <t>CFOP 5901</t>
        </is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2" t="inlineStr">
        <is>
          <t>Remessa para industrialização por encomenda (insumo do cliente)</t>
        </is>
      </c>
      <c r="X78" s="12" t="inlineStr"/>
      <c r="Y78" s="16" t="inlineStr"/>
      <c r="Z78" s="16" t="inlineStr"/>
    </row>
    <row r="79">
      <c r="A79" s="15" t="n">
        <v>46294</v>
      </c>
      <c r="B79" s="5" t="n">
        <v>42285</v>
      </c>
      <c r="C79" s="5" t="inlineStr">
        <is>
          <t>PROVITAL DO BRASIL COM. DE INSUMOS PARA COSMETICOS LTDA</t>
        </is>
      </c>
      <c r="D79" s="5" t="inlineStr">
        <is>
          <t>11340087000162</t>
        </is>
      </c>
      <c r="E79" s="5" t="inlineStr">
        <is>
          <t>SP</t>
        </is>
      </c>
      <c r="F79" s="5" t="inlineStr">
        <is>
          <t>Normal</t>
        </is>
      </c>
      <c r="G79" s="5" t="inlineStr">
        <is>
          <t>6102</t>
        </is>
      </c>
      <c r="H79" s="5" t="inlineStr">
        <is>
          <t>2101</t>
        </is>
      </c>
      <c r="I79" s="5" t="inlineStr">
        <is>
          <t>38249989</t>
        </is>
      </c>
      <c r="J79" s="5" t="inlineStr">
        <is>
          <t>KERANUTRI</t>
        </is>
      </c>
      <c r="K79" s="6" t="n">
        <v>4278.84</v>
      </c>
      <c r="L79" s="5" t="inlineStr">
        <is>
          <t>00</t>
        </is>
      </c>
      <c r="M79" s="6" t="n">
        <v>160.71</v>
      </c>
      <c r="N79" s="5" t="n"/>
      <c r="O79" s="6" t="n"/>
      <c r="P79" s="5" t="inlineStr">
        <is>
          <t>Insumo (classificação do SPED anterior)</t>
        </is>
      </c>
      <c r="Q79" s="5" t="inlineStr">
        <is>
          <t>SPED anterior: CFOP 2101</t>
        </is>
      </c>
      <c r="R79" s="6" t="n">
        <v>160.71</v>
      </c>
      <c r="S79" s="6" t="n">
        <v>0</v>
      </c>
      <c r="T79" s="6" t="n">
        <v>0</v>
      </c>
      <c r="U79" s="6" t="n">
        <v>261.15</v>
      </c>
      <c r="V79" s="6" t="n">
        <v>0</v>
      </c>
      <c r="W79" s="5" t="inlineStr">
        <is>
          <t>ICMS destacado (CST 00) em insumo (classificação do sped anterior)</t>
        </is>
      </c>
      <c r="X79" s="5" t="inlineStr">
        <is>
          <t>ICMS antecipado importado 8% x 4,017.69 = R$ 321.42 (E111 PR000080 débito / PR020212 crédito + E113)</t>
        </is>
      </c>
      <c r="Y79" s="16" t="inlineStr"/>
      <c r="Z79" s="16" t="inlineStr"/>
    </row>
    <row r="80">
      <c r="A80" s="15" t="n">
        <v>46295</v>
      </c>
      <c r="B80" s="5" t="n">
        <v>38175</v>
      </c>
      <c r="C80" s="5" t="inlineStr">
        <is>
          <t>ALLOXY ESPECIALIDADES QUIMICAS LTDA</t>
        </is>
      </c>
      <c r="D80" s="5" t="inlineStr">
        <is>
          <t>16987597000140</t>
        </is>
      </c>
      <c r="E80" s="5" t="inlineStr">
        <is>
          <t>PR</t>
        </is>
      </c>
      <c r="F80" s="5" t="inlineStr">
        <is>
          <t>Normal</t>
        </is>
      </c>
      <c r="G80" s="5" t="inlineStr">
        <is>
          <t>5101</t>
        </is>
      </c>
      <c r="H80" s="5" t="inlineStr">
        <is>
          <t>1101</t>
        </is>
      </c>
      <c r="I80" s="5" t="inlineStr">
        <is>
          <t>28470000</t>
        </is>
      </c>
      <c r="J80" s="5" t="inlineStr">
        <is>
          <t>IX 351 IBC</t>
        </is>
      </c>
      <c r="K80" s="6" t="n">
        <v>5593.5</v>
      </c>
      <c r="L80" s="5" t="inlineStr">
        <is>
          <t>51</t>
        </is>
      </c>
      <c r="M80" s="6" t="n">
        <v>671.22</v>
      </c>
      <c r="N80" s="5" t="n"/>
      <c r="O80" s="6" t="n"/>
      <c r="P80" s="5" t="inlineStr">
        <is>
          <t>Insumo (classificação do SPED anterior)</t>
        </is>
      </c>
      <c r="Q80" s="5" t="inlineStr">
        <is>
          <t>SPED anterior: CFOP 1101</t>
        </is>
      </c>
      <c r="R80" s="6" t="n">
        <v>671.22</v>
      </c>
      <c r="S80" s="6" t="n">
        <v>0</v>
      </c>
      <c r="T80" s="6" t="n">
        <v>0</v>
      </c>
      <c r="U80" s="6" t="n">
        <v>0</v>
      </c>
      <c r="V80" s="6" t="n">
        <v>0</v>
      </c>
      <c r="W80" s="5" t="inlineStr">
        <is>
          <t>ICMS destacado (CST 51) em insumo (classificação do sped anterior)</t>
        </is>
      </c>
      <c r="X80" s="5" t="inlineStr"/>
      <c r="Y80" s="16" t="inlineStr"/>
      <c r="Z80" s="16" t="inlineStr"/>
    </row>
    <row r="81">
      <c r="A81" s="18" t="n">
        <v>46295</v>
      </c>
      <c r="B81" s="7" t="n">
        <v>42</v>
      </c>
      <c r="C81" s="7" t="inlineStr">
        <is>
          <t>MERCKPAR COMERCIAL LTDA</t>
        </is>
      </c>
      <c r="D81" s="7" t="inlineStr">
        <is>
          <t>63460684000124</t>
        </is>
      </c>
      <c r="E81" s="7" t="inlineStr">
        <is>
          <t>PR</t>
        </is>
      </c>
      <c r="F81" s="7" t="inlineStr">
        <is>
          <t>Simples Nacional</t>
        </is>
      </c>
      <c r="G81" s="7" t="inlineStr">
        <is>
          <t>5102</t>
        </is>
      </c>
      <c r="H81" s="7" t="inlineStr">
        <is>
          <t>1101</t>
        </is>
      </c>
      <c r="I81" s="7" t="inlineStr">
        <is>
          <t>28321010</t>
        </is>
      </c>
      <c r="J81" s="7" t="inlineStr">
        <is>
          <t>SULFITO DE SODIO ANIDRO PA 1000g REATEC</t>
        </is>
      </c>
      <c r="K81" s="8" t="n">
        <v>1180</v>
      </c>
      <c r="L81" s="7" t="inlineStr">
        <is>
          <t>101</t>
        </is>
      </c>
      <c r="M81" s="8" t="n">
        <v>0</v>
      </c>
      <c r="N81" s="7" t="n"/>
      <c r="O81" s="8" t="n"/>
      <c r="P81" s="7" t="inlineStr">
        <is>
          <t>Matéria-prima (químico inorgânico)</t>
        </is>
      </c>
      <c r="Q81" s="7" t="inlineStr">
        <is>
          <t>NCM 28321010</t>
        </is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7" t="inlineStr">
        <is>
          <t>Simples CSOSN 101 sem percentual de crédito (pCredSN 0%)</t>
        </is>
      </c>
      <c r="X81" s="7" t="inlineStr">
        <is>
          <t>Sem crédito: segue o XML (CSOSN com permissão de crédito, mas sem % informado)</t>
        </is>
      </c>
      <c r="Y81" s="16" t="inlineStr"/>
      <c r="Z81" s="16" t="inlineStr"/>
    </row>
    <row r="82">
      <c r="A82" s="17" t="n">
        <v>46295</v>
      </c>
      <c r="B82" s="12" t="n">
        <v>97145</v>
      </c>
      <c r="C82" s="12" t="inlineStr">
        <is>
          <t>Supermercado Boza Ltda</t>
        </is>
      </c>
      <c r="D82" s="12" t="inlineStr">
        <is>
          <t>73419905000174</t>
        </is>
      </c>
      <c r="E82" s="12" t="inlineStr">
        <is>
          <t>PR</t>
        </is>
      </c>
      <c r="F82" s="12" t="inlineStr">
        <is>
          <t>Normal</t>
        </is>
      </c>
      <c r="G82" s="12" t="inlineStr">
        <is>
          <t>5102</t>
        </is>
      </c>
      <c r="H82" s="12" t="inlineStr">
        <is>
          <t>1556</t>
        </is>
      </c>
      <c r="I82" s="12" t="inlineStr">
        <is>
          <t>09030090</t>
        </is>
      </c>
      <c r="J82" s="12" t="inlineStr">
        <is>
          <t>Cha Mate Mandiervas Natural Cx 40g</t>
        </is>
      </c>
      <c r="K82" s="14" t="n">
        <v>24.16</v>
      </c>
      <c r="L82" s="12" t="inlineStr">
        <is>
          <t>40</t>
        </is>
      </c>
      <c r="M82" s="14" t="n">
        <v>0</v>
      </c>
      <c r="N82" s="12" t="n"/>
      <c r="O82" s="14" t="n"/>
      <c r="P82" s="12" t="inlineStr">
        <is>
          <t>Uso e consumo (classificação do SPED anterior)</t>
        </is>
      </c>
      <c r="Q82" s="12" t="inlineStr">
        <is>
          <t>SPED anterior: CFOP 1556</t>
        </is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2" t="inlineStr">
        <is>
          <t>Uso e consumo (classificação do SPED anterior)</t>
        </is>
      </c>
      <c r="X82" s="12" t="inlineStr"/>
      <c r="Y82" s="16" t="inlineStr"/>
      <c r="Z82" s="16" t="inlineStr"/>
    </row>
    <row r="83">
      <c r="A83" s="17" t="n">
        <v>46295</v>
      </c>
      <c r="B83" s="12" t="n">
        <v>97145</v>
      </c>
      <c r="C83" s="12" t="inlineStr">
        <is>
          <t>Supermercado Boza Ltda</t>
        </is>
      </c>
      <c r="D83" s="12" t="inlineStr">
        <is>
          <t>73419905000174</t>
        </is>
      </c>
      <c r="E83" s="12" t="inlineStr">
        <is>
          <t>PR</t>
        </is>
      </c>
      <c r="F83" s="12" t="inlineStr">
        <is>
          <t>Normal</t>
        </is>
      </c>
      <c r="G83" s="12" t="inlineStr">
        <is>
          <t>5102</t>
        </is>
      </c>
      <c r="H83" s="12" t="inlineStr">
        <is>
          <t>1556</t>
        </is>
      </c>
      <c r="I83" s="12" t="inlineStr">
        <is>
          <t>48232099</t>
        </is>
      </c>
      <c r="J83" s="12" t="inlineStr">
        <is>
          <t>Filtro Papel Cafe Brigitta 103 C/30un</t>
        </is>
      </c>
      <c r="K83" s="14" t="n">
        <v>27.67</v>
      </c>
      <c r="L83" s="12" t="inlineStr">
        <is>
          <t>00</t>
        </is>
      </c>
      <c r="M83" s="14" t="n">
        <v>5.4</v>
      </c>
      <c r="N83" s="12" t="n"/>
      <c r="O83" s="14" t="n"/>
      <c r="P83" s="12" t="inlineStr">
        <is>
          <t>Uso e consumo (classificação do SPED anterior)</t>
        </is>
      </c>
      <c r="Q83" s="12" t="inlineStr">
        <is>
          <t>SPED anterior: CFOP 1556</t>
        </is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2" t="inlineStr">
        <is>
          <t>Uso e consumo (classificação do SPED anterior): ICMS destacado R$ 5.40 não gera crédito</t>
        </is>
      </c>
      <c r="X83" s="12" t="inlineStr"/>
      <c r="Y83" s="16" t="inlineStr"/>
      <c r="Z83" s="16" t="inlineStr"/>
    </row>
    <row r="84">
      <c r="A84" s="17" t="n">
        <v>46295</v>
      </c>
      <c r="B84" s="12" t="n">
        <v>97145</v>
      </c>
      <c r="C84" s="12" t="inlineStr">
        <is>
          <t>Supermercado Boza Ltda</t>
        </is>
      </c>
      <c r="D84" s="12" t="inlineStr">
        <is>
          <t>73419905000174</t>
        </is>
      </c>
      <c r="E84" s="12" t="inlineStr">
        <is>
          <t>PR</t>
        </is>
      </c>
      <c r="F84" s="12" t="inlineStr">
        <is>
          <t>Normal</t>
        </is>
      </c>
      <c r="G84" s="12" t="inlineStr">
        <is>
          <t>5102</t>
        </is>
      </c>
      <c r="H84" s="12" t="inlineStr">
        <is>
          <t>1556</t>
        </is>
      </c>
      <c r="I84" s="12" t="inlineStr">
        <is>
          <t>09012100</t>
        </is>
      </c>
      <c r="J84" s="12" t="inlineStr">
        <is>
          <t>Cafe 3 Coracoes Extra Forte Vacuo 500g</t>
        </is>
      </c>
      <c r="K84" s="14" t="n">
        <v>307</v>
      </c>
      <c r="L84" s="12" t="inlineStr">
        <is>
          <t>40</t>
        </is>
      </c>
      <c r="M84" s="14" t="n">
        <v>0</v>
      </c>
      <c r="N84" s="12" t="n"/>
      <c r="O84" s="14" t="n"/>
      <c r="P84" s="12" t="inlineStr">
        <is>
          <t>Uso e consumo (classificação do SPED anterior)</t>
        </is>
      </c>
      <c r="Q84" s="12" t="inlineStr">
        <is>
          <t>SPED anterior: CFOP 1556</t>
        </is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2" t="inlineStr">
        <is>
          <t>Uso e consumo (classificação do SPED anterior)</t>
        </is>
      </c>
      <c r="X84" s="12" t="inlineStr"/>
      <c r="Y84" s="16" t="inlineStr"/>
      <c r="Z84" s="16" t="inlineStr"/>
    </row>
    <row r="85">
      <c r="A85" s="17" t="n">
        <v>46295</v>
      </c>
      <c r="B85" s="12" t="n">
        <v>97145</v>
      </c>
      <c r="C85" s="12" t="inlineStr">
        <is>
          <t>Supermercado Boza Ltda</t>
        </is>
      </c>
      <c r="D85" s="12" t="inlineStr">
        <is>
          <t>73419905000174</t>
        </is>
      </c>
      <c r="E85" s="12" t="inlineStr">
        <is>
          <t>PR</t>
        </is>
      </c>
      <c r="F85" s="12" t="inlineStr">
        <is>
          <t>Normal</t>
        </is>
      </c>
      <c r="G85" s="12" t="inlineStr">
        <is>
          <t>5102</t>
        </is>
      </c>
      <c r="H85" s="12" t="inlineStr">
        <is>
          <t>1556</t>
        </is>
      </c>
      <c r="I85" s="12" t="inlineStr">
        <is>
          <t>17019900</t>
        </is>
      </c>
      <c r="J85" s="12" t="inlineStr">
        <is>
          <t>Acucar Alto Alegre Refinado 1kg</t>
        </is>
      </c>
      <c r="K85" s="14" t="n">
        <v>30.94</v>
      </c>
      <c r="L85" s="12" t="inlineStr">
        <is>
          <t>40</t>
        </is>
      </c>
      <c r="M85" s="14" t="n">
        <v>0</v>
      </c>
      <c r="N85" s="12" t="n"/>
      <c r="O85" s="14" t="n"/>
      <c r="P85" s="12" t="inlineStr">
        <is>
          <t>Uso e consumo (classificação do SPED anterior)</t>
        </is>
      </c>
      <c r="Q85" s="12" t="inlineStr">
        <is>
          <t>SPED anterior: CFOP 1556</t>
        </is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2" t="inlineStr">
        <is>
          <t>Uso e consumo (classificação do SPED anterior)</t>
        </is>
      </c>
      <c r="X85" s="12" t="inlineStr"/>
      <c r="Y85" s="16" t="inlineStr"/>
      <c r="Z85" s="16" t="inlineStr"/>
    </row>
    <row r="86">
      <c r="A86" s="9" t="inlineStr">
        <is>
          <t>Total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10">
        <f>SUM(K5:K85)</f>
        <v/>
      </c>
      <c r="L86" s="9" t="inlineStr"/>
      <c r="M86" s="10">
        <f>SUM(M5:M85)</f>
        <v/>
      </c>
      <c r="N86" s="9" t="inlineStr"/>
      <c r="O86" s="10">
        <f>SUM(O5:O85)</f>
        <v/>
      </c>
      <c r="P86" s="9" t="inlineStr"/>
      <c r="Q86" s="9" t="inlineStr"/>
      <c r="R86" s="10">
        <f>SUM(R5:R85)</f>
        <v/>
      </c>
      <c r="S86" s="10">
        <f>SUM(S5:S85)</f>
        <v/>
      </c>
      <c r="T86" s="10">
        <f>SUM(T5:T85)</f>
        <v/>
      </c>
      <c r="U86" s="10">
        <f>SUM(U5:U85)</f>
        <v/>
      </c>
      <c r="V86" s="10">
        <f>SUM(V5:V85)</f>
        <v/>
      </c>
      <c r="W86" s="9" t="inlineStr"/>
      <c r="X86" s="9" t="inlineStr"/>
      <c r="Y86" s="9" t="inlineStr"/>
      <c r="Z86" s="9" t="inlineStr"/>
    </row>
  </sheetData>
  <autoFilter ref="A4:Z85"/>
  <dataValidations count="1">
    <dataValidation sqref="Y5:Y8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30" customWidth="1" min="3" max="3"/>
    <col width="15" customWidth="1" min="4" max="4"/>
    <col width="7" customWidth="1" min="5" max="5"/>
    <col width="30" customWidth="1" min="6" max="6"/>
    <col width="34" customWidth="1" min="7" max="7"/>
    <col width="30" customWidth="1" min="8" max="8"/>
    <col width="12" customWidth="1" min="9" max="9"/>
    <col width="9" customWidth="1" min="10" max="10"/>
    <col width="13" customWidth="1" min="11" max="11"/>
    <col width="12" customWidth="1" min="12" max="12"/>
    <col width="12" customWidth="1" min="13" max="13"/>
    <col width="60" customWidth="1" min="14" max="14"/>
    <col width="50" customWidth="1" min="15" max="15"/>
  </cols>
  <sheetData>
    <row r="1">
      <c r="A1" s="1" t="inlineStr">
        <is>
          <t>Notas de fornecedores do Simples Nacional - crédito pelo campo vCredICMSSN (LC 123/2006, art. 23)</t>
        </is>
      </c>
    </row>
    <row r="2">
      <c r="A2" s="2" t="inlineStr">
        <is>
          <t>Só gera crédito: CSOSN 101/201/900, com valor informado na nota, em mercadoria para industrialização ou comercialização.</t>
        </is>
      </c>
    </row>
    <row r="4">
      <c r="A4" s="4" t="inlineStr">
        <is>
          <t>Emissão</t>
        </is>
      </c>
      <c r="B4" s="4" t="inlineStr">
        <is>
          <t>NF</t>
        </is>
      </c>
      <c r="C4" s="4" t="inlineStr">
        <is>
          <t>Fornecedor</t>
        </is>
      </c>
      <c r="D4" s="4" t="inlineStr">
        <is>
          <t>CNPJ</t>
        </is>
      </c>
      <c r="E4" s="4" t="inlineStr">
        <is>
          <t>CSOSN</t>
        </is>
      </c>
      <c r="F4" s="4" t="inlineStr">
        <is>
          <t>Situação do CSOSN</t>
        </is>
      </c>
      <c r="G4" s="4" t="inlineStr">
        <is>
          <t>Produto</t>
        </is>
      </c>
      <c r="H4" s="4" t="inlineStr">
        <is>
          <t>Natureza</t>
        </is>
      </c>
      <c r="I4" s="4" t="inlineStr">
        <is>
          <t>Vlr produto</t>
        </is>
      </c>
      <c r="J4" s="4" t="inlineStr">
        <is>
          <t>% crédito (pCredSN)</t>
        </is>
      </c>
      <c r="K4" s="4" t="inlineStr">
        <is>
          <t>Crédito informado (vCredICMSSN)</t>
        </is>
      </c>
      <c r="L4" s="4" t="inlineStr">
        <is>
          <t>Crédito aproveitável</t>
        </is>
      </c>
      <c r="M4" s="4" t="inlineStr">
        <is>
          <t>Potencial (% x valor)</t>
        </is>
      </c>
      <c r="N4" s="4" t="inlineStr">
        <is>
          <t>Motivo</t>
        </is>
      </c>
      <c r="O4" s="4" t="inlineStr">
        <is>
          <t>Ação</t>
        </is>
      </c>
    </row>
    <row r="5">
      <c r="A5" s="15" t="n">
        <v>46266</v>
      </c>
      <c r="B5" s="5" t="n">
        <v>3795</v>
      </c>
      <c r="C5" s="5" t="inlineStr">
        <is>
          <t>Lunaflexo Tecnologia Adesiva Eireli</t>
        </is>
      </c>
      <c r="D5" s="5" t="inlineStr">
        <is>
          <t>06015875000143</t>
        </is>
      </c>
      <c r="E5" s="5" t="inlineStr">
        <is>
          <t>101</t>
        </is>
      </c>
      <c r="F5" s="5" t="inlineStr">
        <is>
          <t>tributada com permissão de crédito</t>
        </is>
      </c>
      <c r="G5" s="5" t="inlineStr">
        <is>
          <t>Rotulos Adesivos - Creme Relaxante Afro Nature (Contra Rotulo). 65x160mm, 2x0 cores, Tinta UV Pantone em Bopp Fosco 20G</t>
        </is>
      </c>
      <c r="H5" s="5" t="inlineStr">
        <is>
          <t>Embalagem (rótulo adesivo)</t>
        </is>
      </c>
      <c r="I5" s="6" t="n">
        <v>2740</v>
      </c>
      <c r="J5" s="5" t="n">
        <v>2.86</v>
      </c>
      <c r="K5" s="6" t="n">
        <v>78.36</v>
      </c>
      <c r="L5" s="6" t="n">
        <v>78.36</v>
      </c>
      <c r="M5" s="6" t="n">
        <v>0</v>
      </c>
      <c r="N5" s="5" t="inlineStr">
        <is>
          <t>Simples CSOSN 101: crédito de 2.86% informado na nota (LC 123/06 art. 23 §1º)</t>
        </is>
      </c>
      <c r="O5" s="5" t="inlineStr"/>
    </row>
    <row r="6">
      <c r="A6" s="15" t="n">
        <v>46266</v>
      </c>
      <c r="B6" s="5" t="n">
        <v>3795</v>
      </c>
      <c r="C6" s="5" t="inlineStr">
        <is>
          <t>Lunaflexo Tecnologia Adesiva Eireli</t>
        </is>
      </c>
      <c r="D6" s="5" t="inlineStr">
        <is>
          <t>06015875000143</t>
        </is>
      </c>
      <c r="E6" s="5" t="inlineStr">
        <is>
          <t>101</t>
        </is>
      </c>
      <c r="F6" s="5" t="inlineStr">
        <is>
          <t>tributada com permissão de crédito</t>
        </is>
      </c>
      <c r="G6" s="5" t="inlineStr">
        <is>
          <t>Rotulos Adesivos - Etiq. 20MM (Numero 1,2,3). 20x20mm, 2x0 cores, Tinta UV Pantone em Bopp Fosco 20G Borracha.</t>
        </is>
      </c>
      <c r="H6" s="5" t="inlineStr">
        <is>
          <t>Embalagem (rótulo adesivo)</t>
        </is>
      </c>
      <c r="I6" s="6" t="n">
        <v>720</v>
      </c>
      <c r="J6" s="5" t="n">
        <v>2.86</v>
      </c>
      <c r="K6" s="6" t="n">
        <v>20.59</v>
      </c>
      <c r="L6" s="6" t="n">
        <v>20.59</v>
      </c>
      <c r="M6" s="6" t="n">
        <v>0</v>
      </c>
      <c r="N6" s="5" t="inlineStr">
        <is>
          <t>Simples CSOSN 101: crédito de 2.86% informado na nota (LC 123/06 art. 23 §1º)</t>
        </is>
      </c>
      <c r="O6" s="5" t="inlineStr"/>
    </row>
    <row r="7">
      <c r="A7" s="17" t="n">
        <v>46267</v>
      </c>
      <c r="B7" s="12" t="n">
        <v>695</v>
      </c>
      <c r="C7" s="12" t="inlineStr">
        <is>
          <t>REATEC DO BRASIL LTDA</t>
        </is>
      </c>
      <c r="D7" s="12" t="inlineStr">
        <is>
          <t>62341566000134</t>
        </is>
      </c>
      <c r="E7" s="12" t="inlineStr">
        <is>
          <t>101</t>
        </is>
      </c>
      <c r="F7" s="12" t="inlineStr">
        <is>
          <t>tributada com permissão de crédito</t>
        </is>
      </c>
      <c r="G7" s="12" t="inlineStr">
        <is>
          <t>ETANOLAMINA MONO PS 1000ml  (2-Aminoetanol) REATEC</t>
        </is>
      </c>
      <c r="H7" s="12" t="inlineStr">
        <is>
          <t>Uso e consumo (classificação do SPED anterior)</t>
        </is>
      </c>
      <c r="I7" s="14" t="n">
        <v>3738</v>
      </c>
      <c r="J7" s="12" t="n"/>
      <c r="K7" s="14" t="n"/>
      <c r="L7" s="14" t="n">
        <v>0</v>
      </c>
      <c r="M7" s="14" t="n">
        <v>0</v>
      </c>
      <c r="N7" s="12" t="inlineStr">
        <is>
          <t>Simples (CSOSN 101) - Uso e consumo (classificação do SPED anterior): sem crédito (só mercadoria para industrialização/comercialização)</t>
        </is>
      </c>
      <c r="O7" s="12" t="inlineStr"/>
    </row>
    <row r="8">
      <c r="A8" s="17" t="n">
        <v>46267</v>
      </c>
      <c r="B8" s="12" t="n">
        <v>300</v>
      </c>
      <c r="C8" s="12" t="inlineStr">
        <is>
          <t>THERMOSUL RESISTENCIAS ELETRICAS LTDA</t>
        </is>
      </c>
      <c r="D8" s="12" t="inlineStr">
        <is>
          <t>66434370000145</t>
        </is>
      </c>
      <c r="E8" s="12" t="inlineStr">
        <is>
          <t>102</t>
        </is>
      </c>
      <c r="F8" s="12" t="inlineStr">
        <is>
          <t>tributada SEM permissão de crédito</t>
        </is>
      </c>
      <c r="G8" s="12" t="inlineStr">
        <is>
          <t>RESIST. MICA EM U D85X105X85X110MM 800WX220V C/8 FUROS D8MM CABO 200MM</t>
        </is>
      </c>
      <c r="H8" s="12" t="inlineStr">
        <is>
          <t>Uso e consumo (peça de manutenção)</t>
        </is>
      </c>
      <c r="I8" s="14" t="n">
        <v>1296</v>
      </c>
      <c r="J8" s="12" t="n"/>
      <c r="K8" s="14" t="n"/>
      <c r="L8" s="14" t="n">
        <v>0</v>
      </c>
      <c r="M8" s="14" t="n">
        <v>0</v>
      </c>
      <c r="N8" s="12" t="inlineStr">
        <is>
          <t>Simples (CSOSN 102) - Uso e consumo (peça de manutenção): sem crédito (só mercadoria para industrialização/comercialização)</t>
        </is>
      </c>
      <c r="O8" s="12" t="inlineStr"/>
    </row>
    <row r="9">
      <c r="A9" s="17" t="n">
        <v>46267</v>
      </c>
      <c r="B9" s="12" t="n">
        <v>300</v>
      </c>
      <c r="C9" s="12" t="inlineStr">
        <is>
          <t>THERMOSUL RESISTENCIAS ELETRICAS LTDA</t>
        </is>
      </c>
      <c r="D9" s="12" t="inlineStr">
        <is>
          <t>66434370000145</t>
        </is>
      </c>
      <c r="E9" s="12" t="inlineStr">
        <is>
          <t>102</t>
        </is>
      </c>
      <c r="F9" s="12" t="inlineStr">
        <is>
          <t>tributada SEM permissão de crédito</t>
        </is>
      </c>
      <c r="G9" s="12" t="inlineStr">
        <is>
          <t>RESIST. COL. EM U 80X105X80X109MM 800WX220V CABO 200MM C/8 FUROS D14MM 1 FURO D15 CABO 200MM</t>
        </is>
      </c>
      <c r="H9" s="12" t="inlineStr">
        <is>
          <t>Uso e consumo (peça de manutenção)</t>
        </is>
      </c>
      <c r="I9" s="14" t="n">
        <v>1296</v>
      </c>
      <c r="J9" s="12" t="n"/>
      <c r="K9" s="14" t="n"/>
      <c r="L9" s="14" t="n">
        <v>0</v>
      </c>
      <c r="M9" s="14" t="n">
        <v>0</v>
      </c>
      <c r="N9" s="12" t="inlineStr">
        <is>
          <t>Simples (CSOSN 102) - Uso e consumo (peça de manutenção): sem crédito (só mercadoria para industrialização/comercialização)</t>
        </is>
      </c>
      <c r="O9" s="12" t="inlineStr"/>
    </row>
    <row r="10">
      <c r="A10" s="17" t="n">
        <v>46267</v>
      </c>
      <c r="B10" s="12" t="n">
        <v>786</v>
      </c>
      <c r="C10" s="12" t="inlineStr">
        <is>
          <t>YAHWEH PRINT BRASIL LTDA</t>
        </is>
      </c>
      <c r="D10" s="12" t="inlineStr">
        <is>
          <t>52680145000184</t>
        </is>
      </c>
      <c r="E10" s="12" t="inlineStr">
        <is>
          <t>102</t>
        </is>
      </c>
      <c r="F10" s="12" t="inlineStr">
        <is>
          <t>tributada SEM permissão de crédito</t>
        </is>
      </c>
      <c r="G10" s="12" t="inlineStr">
        <is>
          <t>Etiqueta Cliche Personalizado</t>
        </is>
      </c>
      <c r="H10" s="12" t="inlineStr">
        <is>
          <t>Insumo (classificação do SPED anterior)</t>
        </is>
      </c>
      <c r="I10" s="14" t="n">
        <v>466.98</v>
      </c>
      <c r="J10" s="12" t="n"/>
      <c r="K10" s="14" t="n"/>
      <c r="L10" s="14" t="n">
        <v>0</v>
      </c>
      <c r="M10" s="14" t="n">
        <v>0</v>
      </c>
      <c r="N10" s="12" t="inlineStr">
        <is>
          <t>Simples CSOSN 102 (tributada SEM permissão de crédito): sem direito a crédito</t>
        </is>
      </c>
      <c r="O10" s="12" t="inlineStr"/>
    </row>
    <row r="11">
      <c r="A11" s="17" t="n">
        <v>46267</v>
      </c>
      <c r="B11" s="12" t="n">
        <v>786</v>
      </c>
      <c r="C11" s="12" t="inlineStr">
        <is>
          <t>YAHWEH PRINT BRASIL LTDA</t>
        </is>
      </c>
      <c r="D11" s="12" t="inlineStr">
        <is>
          <t>52680145000184</t>
        </is>
      </c>
      <c r="E11" s="12" t="inlineStr">
        <is>
          <t>102</t>
        </is>
      </c>
      <c r="F11" s="12" t="inlineStr">
        <is>
          <t>tributada SEM permissão de crédito</t>
        </is>
      </c>
      <c r="G11" s="12" t="inlineStr">
        <is>
          <t>Etiqueta Rotulo Cosmetici - Oleo Vegetal Cartamo 50ml - 40x100 mm - Bopp Metalizado - Lam.</t>
        </is>
      </c>
      <c r="H11" s="12" t="inlineStr">
        <is>
          <t>Insumo (classificação do SPED anterior)</t>
        </is>
      </c>
      <c r="I11" s="14" t="n">
        <v>968</v>
      </c>
      <c r="J11" s="12" t="n"/>
      <c r="K11" s="14" t="n"/>
      <c r="L11" s="14" t="n">
        <v>0</v>
      </c>
      <c r="M11" s="14" t="n">
        <v>0</v>
      </c>
      <c r="N11" s="12" t="inlineStr">
        <is>
          <t>Simples CSOSN 102 (tributada SEM permissão de crédito): sem direito a crédito</t>
        </is>
      </c>
      <c r="O11" s="12" t="inlineStr"/>
    </row>
    <row r="12">
      <c r="A12" s="17" t="n">
        <v>46267</v>
      </c>
      <c r="B12" s="12" t="n">
        <v>786</v>
      </c>
      <c r="C12" s="12" t="inlineStr">
        <is>
          <t>YAHWEH PRINT BRASIL LTDA</t>
        </is>
      </c>
      <c r="D12" s="12" t="inlineStr">
        <is>
          <t>52680145000184</t>
        </is>
      </c>
      <c r="E12" s="12" t="inlineStr">
        <is>
          <t>102</t>
        </is>
      </c>
      <c r="F12" s="12" t="inlineStr">
        <is>
          <t>tributada SEM permissão de crédito</t>
        </is>
      </c>
      <c r="G12" s="12" t="inlineStr">
        <is>
          <t>Etiqueta Rotulo Cosmetici - Oleo Vegetal Chia 50ml - 40x100 mm - Bopp Metalizado - Lam.</t>
        </is>
      </c>
      <c r="H12" s="12" t="inlineStr">
        <is>
          <t>Insumo (classificação do SPED anterior)</t>
        </is>
      </c>
      <c r="I12" s="14" t="n">
        <v>984.5</v>
      </c>
      <c r="J12" s="12" t="n"/>
      <c r="K12" s="14" t="n"/>
      <c r="L12" s="14" t="n">
        <v>0</v>
      </c>
      <c r="M12" s="14" t="n">
        <v>0</v>
      </c>
      <c r="N12" s="12" t="inlineStr">
        <is>
          <t>Simples CSOSN 102 (tributada SEM permissão de crédito): sem direito a crédito</t>
        </is>
      </c>
      <c r="O12" s="12" t="inlineStr"/>
    </row>
    <row r="13">
      <c r="A13" s="17" t="n">
        <v>46267</v>
      </c>
      <c r="B13" s="12" t="n">
        <v>786</v>
      </c>
      <c r="C13" s="12" t="inlineStr">
        <is>
          <t>YAHWEH PRINT BRASIL LTDA</t>
        </is>
      </c>
      <c r="D13" s="12" t="inlineStr">
        <is>
          <t>52680145000184</t>
        </is>
      </c>
      <c r="E13" s="12" t="inlineStr">
        <is>
          <t>102</t>
        </is>
      </c>
      <c r="F13" s="12" t="inlineStr">
        <is>
          <t>tributada SEM permissão de crédito</t>
        </is>
      </c>
      <c r="G13" s="12" t="inlineStr">
        <is>
          <t>Etiqueta Rotulo Cosmetici - Oleo Vegetal Girassol 50ml - 40x100 mm - Bopp Metalizado - Lam.</t>
        </is>
      </c>
      <c r="H13" s="12" t="inlineStr">
        <is>
          <t>Insumo (classificação do SPED anterior)</t>
        </is>
      </c>
      <c r="I13" s="14" t="n">
        <v>972.4</v>
      </c>
      <c r="J13" s="12" t="n"/>
      <c r="K13" s="14" t="n"/>
      <c r="L13" s="14" t="n">
        <v>0</v>
      </c>
      <c r="M13" s="14" t="n">
        <v>0</v>
      </c>
      <c r="N13" s="12" t="inlineStr">
        <is>
          <t>Simples CSOSN 102 (tributada SEM permissão de crédito): sem direito a crédito</t>
        </is>
      </c>
      <c r="O13" s="12" t="inlineStr"/>
    </row>
    <row r="14">
      <c r="A14" s="17" t="n">
        <v>46267</v>
      </c>
      <c r="B14" s="12" t="n">
        <v>786</v>
      </c>
      <c r="C14" s="12" t="inlineStr">
        <is>
          <t>YAHWEH PRINT BRASIL LTDA</t>
        </is>
      </c>
      <c r="D14" s="12" t="inlineStr">
        <is>
          <t>52680145000184</t>
        </is>
      </c>
      <c r="E14" s="12" t="inlineStr">
        <is>
          <t>102</t>
        </is>
      </c>
      <c r="F14" s="12" t="inlineStr">
        <is>
          <t>tributada SEM permissão de crédito</t>
        </is>
      </c>
      <c r="G14" s="12" t="inlineStr">
        <is>
          <t>Etiqueta Cliche Personalizado</t>
        </is>
      </c>
      <c r="H14" s="12" t="inlineStr">
        <is>
          <t>Insumo (classificação do SPED anterior)</t>
        </is>
      </c>
      <c r="I14" s="14" t="n">
        <v>542.39</v>
      </c>
      <c r="J14" s="12" t="n"/>
      <c r="K14" s="14" t="n"/>
      <c r="L14" s="14" t="n">
        <v>0</v>
      </c>
      <c r="M14" s="14" t="n">
        <v>0</v>
      </c>
      <c r="N14" s="12" t="inlineStr">
        <is>
          <t>Simples CSOSN 102 (tributada SEM permissão de crédito): sem direito a crédito</t>
        </is>
      </c>
      <c r="O14" s="12" t="inlineStr"/>
    </row>
    <row r="15">
      <c r="A15" s="17" t="n">
        <v>46267</v>
      </c>
      <c r="B15" s="12" t="n">
        <v>786</v>
      </c>
      <c r="C15" s="12" t="inlineStr">
        <is>
          <t>YAHWEH PRINT BRASIL LTDA</t>
        </is>
      </c>
      <c r="D15" s="12" t="inlineStr">
        <is>
          <t>52680145000184</t>
        </is>
      </c>
      <c r="E15" s="12" t="inlineStr">
        <is>
          <t>102</t>
        </is>
      </c>
      <c r="F15" s="12" t="inlineStr">
        <is>
          <t>tributada SEM permissão de crédito</t>
        </is>
      </c>
      <c r="G15" s="12" t="inlineStr">
        <is>
          <t>Etiqueta Rotulo Cosmetici Desperta Cachos 300ml- 155x140 mm - Bopp Metalizado - Lam. Fosca.</t>
        </is>
      </c>
      <c r="H15" s="12" t="inlineStr">
        <is>
          <t>Insumo (classificação do SPED anterior)</t>
        </is>
      </c>
      <c r="I15" s="14" t="n">
        <v>3068.52</v>
      </c>
      <c r="J15" s="12" t="n"/>
      <c r="K15" s="14" t="n"/>
      <c r="L15" s="14" t="n">
        <v>0</v>
      </c>
      <c r="M15" s="14" t="n">
        <v>0</v>
      </c>
      <c r="N15" s="12" t="inlineStr">
        <is>
          <t>Simples CSOSN 102 (tributada SEM permissão de crédito): sem direito a crédito</t>
        </is>
      </c>
      <c r="O15" s="12" t="inlineStr"/>
    </row>
    <row r="16">
      <c r="A16" s="17" t="n">
        <v>46268</v>
      </c>
      <c r="B16" s="12" t="n">
        <v>4920</v>
      </c>
      <c r="C16" s="12" t="inlineStr">
        <is>
          <t>DISPOLI COMERCIO DE COSMETICOS LTDA</t>
        </is>
      </c>
      <c r="D16" s="12" t="inlineStr">
        <is>
          <t>41726398000125</t>
        </is>
      </c>
      <c r="E16" s="12" t="inlineStr">
        <is>
          <t>102</t>
        </is>
      </c>
      <c r="F16" s="12" t="inlineStr">
        <is>
          <t>tributada SEM permissão de crédito</t>
        </is>
      </c>
      <c r="G16" s="12" t="inlineStr">
        <is>
          <t>LUVA DESCARTAVEL PLASTICA POLI C/100 UN</t>
        </is>
      </c>
      <c r="H16" s="12" t="inlineStr">
        <is>
          <t>Uso e consumo (luva/artigo plástico)</t>
        </is>
      </c>
      <c r="I16" s="14" t="n">
        <v>169.38</v>
      </c>
      <c r="J16" s="12" t="n"/>
      <c r="K16" s="14" t="n"/>
      <c r="L16" s="14" t="n">
        <v>0</v>
      </c>
      <c r="M16" s="14" t="n">
        <v>0</v>
      </c>
      <c r="N16" s="12" t="inlineStr">
        <is>
          <t>Simples (CSOSN 102) - Uso e consumo (luva/artigo plástico): sem crédito (só mercadoria para industrialização/comercialização)</t>
        </is>
      </c>
      <c r="O16" s="12" t="inlineStr"/>
    </row>
    <row r="17">
      <c r="A17" s="18" t="n">
        <v>46269</v>
      </c>
      <c r="B17" s="7" t="n">
        <v>2564</v>
      </c>
      <c r="C17" s="7" t="inlineStr">
        <is>
          <t>AGATHA INDUSTRIA DE MANUFATURADOS LTDA</t>
        </is>
      </c>
      <c r="D17" s="7" t="inlineStr">
        <is>
          <t>54079636000108</t>
        </is>
      </c>
      <c r="E17" s="7" t="inlineStr">
        <is>
          <t>201</t>
        </is>
      </c>
      <c r="F17" s="7" t="inlineStr">
        <is>
          <t>com permissão de crédito e com ST</t>
        </is>
      </c>
      <c r="G17" s="7" t="inlineStr">
        <is>
          <t>PINCEL TAM G PROFISSIONAL</t>
        </is>
      </c>
      <c r="H17" s="7" t="inlineStr">
        <is>
          <t>Uso e consumo (classificação do SPED anterior)</t>
        </is>
      </c>
      <c r="I17" s="8" t="n">
        <v>924</v>
      </c>
      <c r="J17" s="7" t="n"/>
      <c r="K17" s="8" t="n"/>
      <c r="L17" s="8" t="n">
        <v>0</v>
      </c>
      <c r="M17" s="8" t="n">
        <v>0</v>
      </c>
      <c r="N17" s="7" t="inlineStr">
        <is>
          <t>Simples (CSOSN 201) - Uso e consumo (classificação do SPED anterior): sem crédito (só mercadoria para industrialização/comercialização)</t>
        </is>
      </c>
      <c r="O17" s="7" t="inlineStr">
        <is>
          <t>DIFAL R$ 86.09 (base dupla) - ajuste a débito PR000081</t>
        </is>
      </c>
    </row>
    <row r="18">
      <c r="A18" s="17" t="n">
        <v>46274</v>
      </c>
      <c r="B18" s="12" t="n">
        <v>795</v>
      </c>
      <c r="C18" s="12" t="inlineStr">
        <is>
          <t>YAHWEH PRINT BRASIL LTDA</t>
        </is>
      </c>
      <c r="D18" s="12" t="inlineStr">
        <is>
          <t>52680145000184</t>
        </is>
      </c>
      <c r="E18" s="12" t="inlineStr">
        <is>
          <t>102</t>
        </is>
      </c>
      <c r="F18" s="12" t="inlineStr">
        <is>
          <t>tributada SEM permissão de crédito</t>
        </is>
      </c>
      <c r="G18" s="12" t="inlineStr">
        <is>
          <t>Etiqueta Rotulo Cosmetici Afronature Neutralizante - 211x127 mm - Bopp Transparente - Pantone</t>
        </is>
      </c>
      <c r="H18" s="12" t="inlineStr">
        <is>
          <t>Insumo (classificação do SPED anterior)</t>
        </is>
      </c>
      <c r="I18" s="14" t="n">
        <v>3890.5</v>
      </c>
      <c r="J18" s="12" t="n"/>
      <c r="K18" s="14" t="n"/>
      <c r="L18" s="14" t="n">
        <v>0</v>
      </c>
      <c r="M18" s="14" t="n">
        <v>0</v>
      </c>
      <c r="N18" s="12" t="inlineStr">
        <is>
          <t>Simples CSOSN 102 (tributada SEM permissão de crédito): sem direito a crédito</t>
        </is>
      </c>
      <c r="O18" s="12" t="inlineStr"/>
    </row>
    <row r="19">
      <c r="A19" s="17" t="n">
        <v>46274</v>
      </c>
      <c r="B19" s="12" t="n">
        <v>795</v>
      </c>
      <c r="C19" s="12" t="inlineStr">
        <is>
          <t>YAHWEH PRINT BRASIL LTDA</t>
        </is>
      </c>
      <c r="D19" s="12" t="inlineStr">
        <is>
          <t>52680145000184</t>
        </is>
      </c>
      <c r="E19" s="12" t="inlineStr">
        <is>
          <t>102</t>
        </is>
      </c>
      <c r="F19" s="12" t="inlineStr">
        <is>
          <t>tributada SEM permissão de crédito</t>
        </is>
      </c>
      <c r="G19" s="12" t="inlineStr">
        <is>
          <t>Etiqueta Cliche Personalizado</t>
        </is>
      </c>
      <c r="H19" s="12" t="inlineStr">
        <is>
          <t>Insumo (classificação do SPED anterior)</t>
        </is>
      </c>
      <c r="I19" s="14" t="n">
        <v>216.39</v>
      </c>
      <c r="J19" s="12" t="n"/>
      <c r="K19" s="14" t="n"/>
      <c r="L19" s="14" t="n">
        <v>0</v>
      </c>
      <c r="M19" s="14" t="n">
        <v>0</v>
      </c>
      <c r="N19" s="12" t="inlineStr">
        <is>
          <t>Simples CSOSN 102 (tributada SEM permissão de crédito): sem direito a crédito</t>
        </is>
      </c>
      <c r="O19" s="12" t="inlineStr"/>
    </row>
    <row r="20">
      <c r="A20" s="17" t="n">
        <v>46279</v>
      </c>
      <c r="B20" s="12" t="n">
        <v>8099</v>
      </c>
      <c r="C20" s="12" t="inlineStr">
        <is>
          <t>BEPUMP IMPORTACAO E EXPORTACAO LTDA</t>
        </is>
      </c>
      <c r="D20" s="12" t="inlineStr">
        <is>
          <t>39237959000180</t>
        </is>
      </c>
      <c r="E20" s="12" t="inlineStr">
        <is>
          <t>101</t>
        </is>
      </c>
      <c r="F20" s="12" t="inlineStr">
        <is>
          <t>tributada com permissão de crédito</t>
        </is>
      </c>
      <c r="G20" s="12" t="inlineStr">
        <is>
          <t>VALVULA MIST SPRAYER 24/410 PRATA</t>
        </is>
      </c>
      <c r="H20" s="12" t="inlineStr">
        <is>
          <t>Remessa para industrialização por conta e ordem do adquirente (insumo do cliente)</t>
        </is>
      </c>
      <c r="I20" s="14" t="n">
        <v>1408.12</v>
      </c>
      <c r="J20" s="12" t="n">
        <v>3.98</v>
      </c>
      <c r="K20" s="14" t="n"/>
      <c r="L20" s="14" t="n">
        <v>0</v>
      </c>
      <c r="M20" s="14" t="n">
        <v>0</v>
      </c>
      <c r="N20" s="12" t="inlineStr">
        <is>
          <t>Simples (CSOSN 101) - Remessa para industrialização por conta e ordem do adquirente (insumo do cliente): sem crédito (só mercadoria para industrialização/comercialização)</t>
        </is>
      </c>
      <c r="O20" s="12" t="inlineStr"/>
    </row>
    <row r="21">
      <c r="A21" s="17" t="n">
        <v>46279</v>
      </c>
      <c r="B21" s="12" t="n">
        <v>13721</v>
      </c>
      <c r="C21" s="12" t="inlineStr">
        <is>
          <t>CAETANO PLASTICOS EMBALAGENS LTDA</t>
        </is>
      </c>
      <c r="D21" s="12" t="inlineStr">
        <is>
          <t>37295717000118</t>
        </is>
      </c>
      <c r="E21" s="12" t="inlineStr">
        <is>
          <t>102</t>
        </is>
      </c>
      <c r="F21" s="12" t="inlineStr">
        <is>
          <t>tributada SEM permissão de crédito</t>
        </is>
      </c>
      <c r="G21" s="12" t="inlineStr">
        <is>
          <t>SACOS PLASTICOS 18X30X0,10 C/1000 UNID.</t>
        </is>
      </c>
      <c r="H21" s="12" t="inlineStr">
        <is>
          <t>Insumo (classificação do SPED anterior)</t>
        </is>
      </c>
      <c r="I21" s="14" t="n">
        <v>50.56</v>
      </c>
      <c r="J21" s="12" t="n"/>
      <c r="K21" s="14" t="n"/>
      <c r="L21" s="14" t="n">
        <v>0</v>
      </c>
      <c r="M21" s="14" t="n">
        <v>0</v>
      </c>
      <c r="N21" s="12" t="inlineStr">
        <is>
          <t>Simples CSOSN 102 (tributada SEM permissão de crédito): sem direito a crédito</t>
        </is>
      </c>
      <c r="O21" s="12" t="inlineStr"/>
    </row>
    <row r="22">
      <c r="A22" s="17" t="n">
        <v>46279</v>
      </c>
      <c r="B22" s="12" t="n">
        <v>13721</v>
      </c>
      <c r="C22" s="12" t="inlineStr">
        <is>
          <t>CAETANO PLASTICOS EMBALAGENS LTDA</t>
        </is>
      </c>
      <c r="D22" s="12" t="inlineStr">
        <is>
          <t>37295717000118</t>
        </is>
      </c>
      <c r="E22" s="12" t="inlineStr">
        <is>
          <t>102</t>
        </is>
      </c>
      <c r="F22" s="12" t="inlineStr">
        <is>
          <t>tributada SEM permissão de crédito</t>
        </is>
      </c>
      <c r="G22" s="12" t="inlineStr">
        <is>
          <t>SACOS PLASTICOS 40X60X0,10 C/1000 UNID.</t>
        </is>
      </c>
      <c r="H22" s="12" t="inlineStr">
        <is>
          <t>Insumo (classificação do SPED anterior)</t>
        </is>
      </c>
      <c r="I22" s="14" t="n">
        <v>224.64</v>
      </c>
      <c r="J22" s="12" t="n"/>
      <c r="K22" s="14" t="n"/>
      <c r="L22" s="14" t="n">
        <v>0</v>
      </c>
      <c r="M22" s="14" t="n">
        <v>0</v>
      </c>
      <c r="N22" s="12" t="inlineStr">
        <is>
          <t>Simples CSOSN 102 (tributada SEM permissão de crédito): sem direito a crédito</t>
        </is>
      </c>
      <c r="O22" s="12" t="inlineStr"/>
    </row>
    <row r="23">
      <c r="A23" s="17" t="n">
        <v>46279</v>
      </c>
      <c r="B23" s="12" t="n">
        <v>13721</v>
      </c>
      <c r="C23" s="12" t="inlineStr">
        <is>
          <t>CAETANO PLASTICOS EMBALAGENS LTDA</t>
        </is>
      </c>
      <c r="D23" s="12" t="inlineStr">
        <is>
          <t>37295717000118</t>
        </is>
      </c>
      <c r="E23" s="12" t="inlineStr">
        <is>
          <t>102</t>
        </is>
      </c>
      <c r="F23" s="12" t="inlineStr">
        <is>
          <t>tributada SEM permissão de crédito</t>
        </is>
      </c>
      <c r="G23" s="12" t="inlineStr">
        <is>
          <t>SACOS PLASTICOS 60X100X0,10 C/1000 UNID.</t>
        </is>
      </c>
      <c r="H23" s="12" t="inlineStr">
        <is>
          <t>Insumo (classificação do SPED anterior)</t>
        </is>
      </c>
      <c r="I23" s="14" t="n">
        <v>561.6</v>
      </c>
      <c r="J23" s="12" t="n"/>
      <c r="K23" s="14" t="n"/>
      <c r="L23" s="14" t="n">
        <v>0</v>
      </c>
      <c r="M23" s="14" t="n">
        <v>0</v>
      </c>
      <c r="N23" s="12" t="inlineStr">
        <is>
          <t>Simples CSOSN 102 (tributada SEM permissão de crédito): sem direito a crédito</t>
        </is>
      </c>
      <c r="O23" s="12" t="inlineStr"/>
    </row>
    <row r="24">
      <c r="A24" s="17" t="n">
        <v>46279</v>
      </c>
      <c r="B24" s="12" t="n">
        <v>13721</v>
      </c>
      <c r="C24" s="12" t="inlineStr">
        <is>
          <t>CAETANO PLASTICOS EMBALAGENS LTDA</t>
        </is>
      </c>
      <c r="D24" s="12" t="inlineStr">
        <is>
          <t>37295717000118</t>
        </is>
      </c>
      <c r="E24" s="12" t="inlineStr">
        <is>
          <t>102</t>
        </is>
      </c>
      <c r="F24" s="12" t="inlineStr">
        <is>
          <t>tributada SEM permissão de crédito</t>
        </is>
      </c>
      <c r="G24" s="12" t="inlineStr">
        <is>
          <t>SACOS PLASTICOS 90X120X0,10 C/100 UNID.</t>
        </is>
      </c>
      <c r="H24" s="12" t="inlineStr">
        <is>
          <t>Insumo (classificação do SPED anterior)</t>
        </is>
      </c>
      <c r="I24" s="14" t="n">
        <v>1450.02</v>
      </c>
      <c r="J24" s="12" t="n"/>
      <c r="K24" s="14" t="n"/>
      <c r="L24" s="14" t="n">
        <v>0</v>
      </c>
      <c r="M24" s="14" t="n">
        <v>0</v>
      </c>
      <c r="N24" s="12" t="inlineStr">
        <is>
          <t>Simples CSOSN 102 (tributada SEM permissão de crédito): sem direito a crédito</t>
        </is>
      </c>
      <c r="O24" s="12" t="inlineStr"/>
    </row>
    <row r="25">
      <c r="A25" s="17" t="n">
        <v>46279</v>
      </c>
      <c r="B25" s="12" t="n">
        <v>8112</v>
      </c>
      <c r="C25" s="12" t="inlineStr">
        <is>
          <t>OUTLET PREMIUM PACK LTDA</t>
        </is>
      </c>
      <c r="D25" s="12" t="inlineStr">
        <is>
          <t>34970658000148</t>
        </is>
      </c>
      <c r="E25" s="12" t="inlineStr">
        <is>
          <t>101</t>
        </is>
      </c>
      <c r="F25" s="12" t="inlineStr">
        <is>
          <t>tributada com permissão de crédito</t>
        </is>
      </c>
      <c r="G25" s="12" t="inlineStr">
        <is>
          <t>FRASCO ELEGANCE 60ML 24/410 RUBI LAPIDADO 2MB TAMPA SAN S DEC</t>
        </is>
      </c>
      <c r="H25" s="12" t="inlineStr">
        <is>
          <t>Remessa para industrialização por conta e ordem do adquirente (insumo do cliente)</t>
        </is>
      </c>
      <c r="I25" s="14" t="n">
        <v>1064.12</v>
      </c>
      <c r="J25" s="12" t="n">
        <v>3.99</v>
      </c>
      <c r="K25" s="14" t="n"/>
      <c r="L25" s="14" t="n">
        <v>0</v>
      </c>
      <c r="M25" s="14" t="n">
        <v>0</v>
      </c>
      <c r="N25" s="12" t="inlineStr">
        <is>
          <t>Simples (CSOSN 101) - Remessa para industrialização por conta e ordem do adquirente (insumo do cliente): sem crédito (só mercadoria para industrialização/comercialização)</t>
        </is>
      </c>
      <c r="O25" s="12" t="inlineStr"/>
    </row>
    <row r="26">
      <c r="A26" s="17" t="n">
        <v>46279</v>
      </c>
      <c r="B26" s="12" t="n">
        <v>8112</v>
      </c>
      <c r="C26" s="12" t="inlineStr">
        <is>
          <t>OUTLET PREMIUM PACK LTDA</t>
        </is>
      </c>
      <c r="D26" s="12" t="inlineStr">
        <is>
          <t>34970658000148</t>
        </is>
      </c>
      <c r="E26" s="12" t="inlineStr">
        <is>
          <t>101</t>
        </is>
      </c>
      <c r="F26" s="12" t="inlineStr">
        <is>
          <t>tributada com permissão de crédito</t>
        </is>
      </c>
      <c r="G26" s="12" t="inlineStr">
        <is>
          <t>SOBRETAMPA ELEGANCE PETG 60/100/120ML RUBI LAPIDADO 3MB S DEC</t>
        </is>
      </c>
      <c r="H26" s="12" t="inlineStr">
        <is>
          <t>Remessa para industrialização por conta e ordem do adquirente (insumo do cliente)</t>
        </is>
      </c>
      <c r="I26" s="14" t="n">
        <v>1397.91</v>
      </c>
      <c r="J26" s="12" t="n">
        <v>3.99</v>
      </c>
      <c r="K26" s="14" t="n"/>
      <c r="L26" s="14" t="n">
        <v>0</v>
      </c>
      <c r="M26" s="14" t="n">
        <v>0</v>
      </c>
      <c r="N26" s="12" t="inlineStr">
        <is>
          <t>Simples (CSOSN 101) - Remessa para industrialização por conta e ordem do adquirente (insumo do cliente): sem crédito (só mercadoria para industrialização/comercialização)</t>
        </is>
      </c>
      <c r="O26" s="12" t="inlineStr"/>
    </row>
    <row r="27">
      <c r="A27" s="17" t="n">
        <v>46280</v>
      </c>
      <c r="B27" s="12" t="n">
        <v>40451</v>
      </c>
      <c r="C27" s="12" t="inlineStr">
        <is>
          <t>ILS TECNOLOGIA EM EQUIP DE SEG DO TRABALHO LTDA</t>
        </is>
      </c>
      <c r="D27" s="12" t="inlineStr">
        <is>
          <t>10265455000192</t>
        </is>
      </c>
      <c r="E27" s="12" t="inlineStr">
        <is>
          <t>102</t>
        </is>
      </c>
      <c r="F27" s="12" t="inlineStr">
        <is>
          <t>tributada SEM permissão de crédito</t>
        </is>
      </c>
      <c r="G27" s="12" t="inlineStr">
        <is>
          <t>BOTINA BRACOL USAFE BIDENSIDADE BICO PVC NR 41 CA - 48413</t>
        </is>
      </c>
      <c r="H27" s="12" t="inlineStr">
        <is>
          <t>Uso e consumo (classificação do SPED anterior)</t>
        </is>
      </c>
      <c r="I27" s="14" t="n">
        <v>66.40000000000001</v>
      </c>
      <c r="J27" s="12" t="n"/>
      <c r="K27" s="14" t="n"/>
      <c r="L27" s="14" t="n">
        <v>0</v>
      </c>
      <c r="M27" s="14" t="n">
        <v>0</v>
      </c>
      <c r="N27" s="12" t="inlineStr">
        <is>
          <t>Simples (CSOSN 102) - Uso e consumo (classificação do SPED anterior): sem crédito (só mercadoria para industrialização/comercialização)</t>
        </is>
      </c>
      <c r="O27" s="12" t="inlineStr"/>
    </row>
    <row r="28">
      <c r="A28" s="17" t="n">
        <v>46280</v>
      </c>
      <c r="B28" s="12" t="n">
        <v>40451</v>
      </c>
      <c r="C28" s="12" t="inlineStr">
        <is>
          <t>ILS TECNOLOGIA EM EQUIP DE SEG DO TRABALHO LTDA</t>
        </is>
      </c>
      <c r="D28" s="12" t="inlineStr">
        <is>
          <t>10265455000192</t>
        </is>
      </c>
      <c r="E28" s="12" t="inlineStr">
        <is>
          <t>102</t>
        </is>
      </c>
      <c r="F28" s="12" t="inlineStr">
        <is>
          <t>tributada SEM permissão de crédito</t>
        </is>
      </c>
      <c r="G28" s="12" t="inlineStr">
        <is>
          <t>BOTA PVC PRETA WORKFLEX C/FORRO C/MEDIO N 40 - CA 37154</t>
        </is>
      </c>
      <c r="H28" s="12" t="inlineStr">
        <is>
          <t>Uso e consumo (classificação do SPED anterior)</t>
        </is>
      </c>
      <c r="I28" s="14" t="n">
        <v>35.74</v>
      </c>
      <c r="J28" s="12" t="n"/>
      <c r="K28" s="14" t="n"/>
      <c r="L28" s="14" t="n">
        <v>0</v>
      </c>
      <c r="M28" s="14" t="n">
        <v>0</v>
      </c>
      <c r="N28" s="12" t="inlineStr">
        <is>
          <t>Simples (CSOSN 102) - Uso e consumo (classificação do SPED anterior): sem crédito (só mercadoria para industrialização/comercialização)</t>
        </is>
      </c>
      <c r="O28" s="12" t="inlineStr"/>
    </row>
    <row r="29">
      <c r="A29" s="17" t="n">
        <v>46280</v>
      </c>
      <c r="B29" s="12" t="n">
        <v>40451</v>
      </c>
      <c r="C29" s="12" t="inlineStr">
        <is>
          <t>ILS TECNOLOGIA EM EQUIP DE SEG DO TRABALHO LTDA</t>
        </is>
      </c>
      <c r="D29" s="12" t="inlineStr">
        <is>
          <t>10265455000192</t>
        </is>
      </c>
      <c r="E29" s="12" t="inlineStr">
        <is>
          <t>102</t>
        </is>
      </c>
      <c r="F29" s="12" t="inlineStr">
        <is>
          <t>tributada SEM permissão de crédito</t>
        </is>
      </c>
      <c r="G29" s="12" t="inlineStr">
        <is>
          <t>SAPATO FLEX CLEAN MARLUVAS PRETO EM EVA TAM 40 CA48714</t>
        </is>
      </c>
      <c r="H29" s="12" t="inlineStr">
        <is>
          <t>Uso e consumo (classificação do SPED anterior)</t>
        </is>
      </c>
      <c r="I29" s="14" t="n">
        <v>110.62</v>
      </c>
      <c r="J29" s="12" t="n"/>
      <c r="K29" s="14" t="n"/>
      <c r="L29" s="14" t="n">
        <v>0</v>
      </c>
      <c r="M29" s="14" t="n">
        <v>0</v>
      </c>
      <c r="N29" s="12" t="inlineStr">
        <is>
          <t>Simples (CSOSN 102) - Uso e consumo (classificação do SPED anterior): sem crédito (só mercadoria para industrialização/comercialização)</t>
        </is>
      </c>
      <c r="O29" s="12" t="inlineStr"/>
    </row>
    <row r="30">
      <c r="A30" s="17" t="n">
        <v>46280</v>
      </c>
      <c r="B30" s="12" t="n">
        <v>40451</v>
      </c>
      <c r="C30" s="12" t="inlineStr">
        <is>
          <t>ILS TECNOLOGIA EM EQUIP DE SEG DO TRABALHO LTDA</t>
        </is>
      </c>
      <c r="D30" s="12" t="inlineStr">
        <is>
          <t>10265455000192</t>
        </is>
      </c>
      <c r="E30" s="12" t="inlineStr">
        <is>
          <t>102</t>
        </is>
      </c>
      <c r="F30" s="12" t="inlineStr">
        <is>
          <t>tributada SEM permissão de crédito</t>
        </is>
      </c>
      <c r="G30" s="12" t="inlineStr">
        <is>
          <t>JALECO TNT KAMICON BRANCO M/LONGA C/BOTAO C/ELAST PCT C/10</t>
        </is>
      </c>
      <c r="H30" s="12" t="inlineStr">
        <is>
          <t>Uso e consumo (classificação do SPED anterior)</t>
        </is>
      </c>
      <c r="I30" s="14" t="n">
        <v>158.1</v>
      </c>
      <c r="J30" s="12" t="n"/>
      <c r="K30" s="14" t="n"/>
      <c r="L30" s="14" t="n">
        <v>0</v>
      </c>
      <c r="M30" s="14" t="n">
        <v>0</v>
      </c>
      <c r="N30" s="12" t="inlineStr">
        <is>
          <t>Simples (CSOSN 102) - Uso e consumo (classificação do SPED anterior): sem crédito (só mercadoria para industrialização/comercialização)</t>
        </is>
      </c>
      <c r="O30" s="12" t="inlineStr"/>
    </row>
    <row r="31">
      <c r="A31" s="17" t="n">
        <v>46281</v>
      </c>
      <c r="B31" s="12" t="n">
        <v>418</v>
      </c>
      <c r="C31" s="12" t="inlineStr">
        <is>
          <t>SAVATEC COMERCIO E SERVICOS LTDA</t>
        </is>
      </c>
      <c r="D31" s="12" t="inlineStr">
        <is>
          <t>59087034000108</t>
        </is>
      </c>
      <c r="E31" s="12" t="inlineStr">
        <is>
          <t>103</t>
        </is>
      </c>
      <c r="F31" s="12" t="inlineStr">
        <is>
          <t>isenção na faixa de receita (sem crédito)</t>
        </is>
      </c>
      <c r="G31" s="12" t="inlineStr">
        <is>
          <t>SOLUÇÃO DE LIMPEZA 1000Q</t>
        </is>
      </c>
      <c r="H31" s="12" t="inlineStr">
        <is>
          <t>Uso e consumo (classificação do SPED anterior)</t>
        </is>
      </c>
      <c r="I31" s="14" t="n">
        <v>321.06</v>
      </c>
      <c r="J31" s="12" t="n"/>
      <c r="K31" s="14" t="n"/>
      <c r="L31" s="14" t="n">
        <v>0</v>
      </c>
      <c r="M31" s="14" t="n">
        <v>0</v>
      </c>
      <c r="N31" s="12" t="inlineStr">
        <is>
          <t>Simples (CSOSN 103) - Uso e consumo (classificação do SPED anterior): sem crédito (só mercadoria para industrialização/comercialização)</t>
        </is>
      </c>
      <c r="O31" s="12" t="inlineStr"/>
    </row>
    <row r="32">
      <c r="A32" s="17" t="n">
        <v>46281</v>
      </c>
      <c r="B32" s="12" t="n">
        <v>418</v>
      </c>
      <c r="C32" s="12" t="inlineStr">
        <is>
          <t>SAVATEC COMERCIO E SERVICOS LTDA</t>
        </is>
      </c>
      <c r="D32" s="12" t="inlineStr">
        <is>
          <t>59087034000108</t>
        </is>
      </c>
      <c r="E32" s="12" t="inlineStr">
        <is>
          <t>103</t>
        </is>
      </c>
      <c r="F32" s="12" t="inlineStr">
        <is>
          <t>isenção na faixa de receita (sem crédito)</t>
        </is>
      </c>
      <c r="G32" s="12" t="inlineStr">
        <is>
          <t>MAKE UP 7050TP</t>
        </is>
      </c>
      <c r="H32" s="12" t="inlineStr">
        <is>
          <t>Uso e consumo (classificação do SPED anterior)</t>
        </is>
      </c>
      <c r="I32" s="14" t="n">
        <v>959.6799999999999</v>
      </c>
      <c r="J32" s="12" t="n"/>
      <c r="K32" s="14" t="n"/>
      <c r="L32" s="14" t="n">
        <v>0</v>
      </c>
      <c r="M32" s="14" t="n">
        <v>0</v>
      </c>
      <c r="N32" s="12" t="inlineStr">
        <is>
          <t>Simples (CSOSN 103) - Uso e consumo (classificação do SPED anterior): sem crédito (só mercadoria para industrialização/comercialização)</t>
        </is>
      </c>
      <c r="O32" s="12" t="inlineStr"/>
    </row>
    <row r="33">
      <c r="A33" s="17" t="n">
        <v>46282</v>
      </c>
      <c r="B33" s="12" t="n">
        <v>814</v>
      </c>
      <c r="C33" s="12" t="inlineStr">
        <is>
          <t>YAHWEH PRINT BRASIL LTDA</t>
        </is>
      </c>
      <c r="D33" s="12" t="inlineStr">
        <is>
          <t>52680145000184</t>
        </is>
      </c>
      <c r="E33" s="12" t="inlineStr">
        <is>
          <t>102</t>
        </is>
      </c>
      <c r="F33" s="12" t="inlineStr">
        <is>
          <t>tributada SEM permissão de crédito</t>
        </is>
      </c>
      <c r="G33" s="12" t="inlineStr">
        <is>
          <t>Etiqueta Balanca - 40x40 mm - Couche Termico - RL 30 Mts Dupla</t>
        </is>
      </c>
      <c r="H33" s="12" t="inlineStr">
        <is>
          <t>Insumo (classificação do SPED anterior)</t>
        </is>
      </c>
      <c r="I33" s="14" t="n">
        <v>253.5</v>
      </c>
      <c r="J33" s="12" t="n"/>
      <c r="K33" s="14" t="n"/>
      <c r="L33" s="14" t="n">
        <v>0</v>
      </c>
      <c r="M33" s="14" t="n">
        <v>0</v>
      </c>
      <c r="N33" s="12" t="inlineStr">
        <is>
          <t>Simples CSOSN 102 (tributada SEM permissão de crédito): sem direito a crédito</t>
        </is>
      </c>
      <c r="O33" s="12" t="inlineStr"/>
    </row>
    <row r="34">
      <c r="A34" s="17" t="n">
        <v>46283</v>
      </c>
      <c r="B34" s="12" t="n">
        <v>17187</v>
      </c>
      <c r="C34" s="12" t="inlineStr">
        <is>
          <t>ONIXSUL COSMETICOS</t>
        </is>
      </c>
      <c r="D34" s="12" t="inlineStr">
        <is>
          <t>18074269000188</t>
        </is>
      </c>
      <c r="E34" s="12" t="inlineStr">
        <is>
          <t>400</t>
        </is>
      </c>
      <c r="F34" s="12" t="inlineStr">
        <is>
          <t>não tributada</t>
        </is>
      </c>
      <c r="G34" s="12" t="inlineStr">
        <is>
          <t>...CDC60 - CARTUCHO COLORACAO DIVINE COLORS 60G</t>
        </is>
      </c>
      <c r="H34" s="12" t="inlineStr">
        <is>
          <t>Remessa para industrialização por encomenda (insumo do cliente)</t>
        </is>
      </c>
      <c r="I34" s="14" t="n">
        <v>5700</v>
      </c>
      <c r="J34" s="12" t="n"/>
      <c r="K34" s="14" t="n"/>
      <c r="L34" s="14" t="n">
        <v>0</v>
      </c>
      <c r="M34" s="14" t="n">
        <v>0</v>
      </c>
      <c r="N34" s="12" t="inlineStr">
        <is>
          <t>Simples (CSOSN 400) - Remessa para industrialização por encomenda (insumo do cliente): sem crédito (só mercadoria para industrialização/comercialização)</t>
        </is>
      </c>
      <c r="O34" s="12" t="inlineStr"/>
    </row>
    <row r="35">
      <c r="A35" s="17" t="n">
        <v>46283</v>
      </c>
      <c r="B35" s="12" t="n">
        <v>3214</v>
      </c>
      <c r="C35" s="12" t="inlineStr">
        <is>
          <t>Sul Tape Comercio de Embalagens EIRELI</t>
        </is>
      </c>
      <c r="D35" s="12" t="inlineStr">
        <is>
          <t>25141658000144</t>
        </is>
      </c>
      <c r="E35" s="12" t="inlineStr">
        <is>
          <t>103</t>
        </is>
      </c>
      <c r="F35" s="12" t="inlineStr">
        <is>
          <t>isenção na faixa de receita (sem crédito)</t>
        </is>
      </c>
      <c r="G35" s="12" t="inlineStr">
        <is>
          <t>FILME STRETCH CORELESS 500 X 25 M</t>
        </is>
      </c>
      <c r="H35" s="12" t="inlineStr">
        <is>
          <t>Uso e consumo (classificação do SPED anterior)</t>
        </is>
      </c>
      <c r="I35" s="14" t="n">
        <v>340</v>
      </c>
      <c r="J35" s="12" t="n"/>
      <c r="K35" s="14" t="n"/>
      <c r="L35" s="14" t="n">
        <v>0</v>
      </c>
      <c r="M35" s="14" t="n">
        <v>0</v>
      </c>
      <c r="N35" s="12" t="inlineStr">
        <is>
          <t>Simples (CSOSN 103) - Uso e consumo (classificação do SPED anterior): sem crédito (só mercadoria para industrialização/comercialização)</t>
        </is>
      </c>
      <c r="O35" s="12" t="inlineStr"/>
    </row>
    <row r="36">
      <c r="A36" s="17" t="n">
        <v>46283</v>
      </c>
      <c r="B36" s="12" t="n">
        <v>3214</v>
      </c>
      <c r="C36" s="12" t="inlineStr">
        <is>
          <t>Sul Tape Comercio de Embalagens EIRELI</t>
        </is>
      </c>
      <c r="D36" s="12" t="inlineStr">
        <is>
          <t>25141658000144</t>
        </is>
      </c>
      <c r="E36" s="12" t="inlineStr">
        <is>
          <t>103</t>
        </is>
      </c>
      <c r="F36" s="12" t="inlineStr">
        <is>
          <t>isenção na faixa de receita (sem crédito)</t>
        </is>
      </c>
      <c r="G36" s="12" t="inlineStr">
        <is>
          <t>PLASTICO BOLHA 1,20 MM PRO</t>
        </is>
      </c>
      <c r="H36" s="12" t="inlineStr">
        <is>
          <t>Uso e consumo (classificação do SPED anterior)</t>
        </is>
      </c>
      <c r="I36" s="14" t="n">
        <v>800</v>
      </c>
      <c r="J36" s="12" t="n"/>
      <c r="K36" s="14" t="n"/>
      <c r="L36" s="14" t="n">
        <v>0</v>
      </c>
      <c r="M36" s="14" t="n">
        <v>0</v>
      </c>
      <c r="N36" s="12" t="inlineStr">
        <is>
          <t>Simples (CSOSN 103) - Uso e consumo (classificação do SPED anterior): sem crédito (só mercadoria para industrialização/comercialização)</t>
        </is>
      </c>
      <c r="O36" s="12" t="inlineStr"/>
    </row>
    <row r="37">
      <c r="A37" s="17" t="n">
        <v>46286</v>
      </c>
      <c r="B37" s="12" t="n">
        <v>4551</v>
      </c>
      <c r="C37" s="12" t="inlineStr">
        <is>
          <t>BB COSMETICOS LTDA</t>
        </is>
      </c>
      <c r="D37" s="12" t="inlineStr">
        <is>
          <t>21822008000103</t>
        </is>
      </c>
      <c r="E37" s="12" t="inlineStr">
        <is>
          <t>500</t>
        </is>
      </c>
      <c r="F37" s="12" t="inlineStr">
        <is>
          <t>ICMS cobrado anteriormente por ST</t>
        </is>
      </c>
      <c r="G37" s="12" t="inlineStr">
        <is>
          <t>PUMP 28/410 BRANCA PESCANTE 230MM</t>
        </is>
      </c>
      <c r="H37" s="12" t="inlineStr">
        <is>
          <t>Remessa para industrialização por encomenda (insumo do cliente)</t>
        </is>
      </c>
      <c r="I37" s="14" t="n">
        <v>20</v>
      </c>
      <c r="J37" s="12" t="n"/>
      <c r="K37" s="14" t="n"/>
      <c r="L37" s="14" t="n">
        <v>0</v>
      </c>
      <c r="M37" s="14" t="n">
        <v>0</v>
      </c>
      <c r="N37" s="12" t="inlineStr">
        <is>
          <t>Simples (CSOSN 500) - Remessa para industrialização por encomenda (insumo do cliente): sem crédito (só mercadoria para industrialização/comercialização)</t>
        </is>
      </c>
      <c r="O37" s="12" t="inlineStr"/>
    </row>
    <row r="38">
      <c r="A38" s="17" t="n">
        <v>46286</v>
      </c>
      <c r="B38" s="12" t="n">
        <v>4551</v>
      </c>
      <c r="C38" s="12" t="inlineStr">
        <is>
          <t>BB COSMETICOS LTDA</t>
        </is>
      </c>
      <c r="D38" s="12" t="inlineStr">
        <is>
          <t>21822008000103</t>
        </is>
      </c>
      <c r="E38" s="12" t="inlineStr">
        <is>
          <t>500</t>
        </is>
      </c>
      <c r="F38" s="12" t="inlineStr">
        <is>
          <t>ICMS cobrado anteriormente por ST</t>
        </is>
      </c>
      <c r="G38" s="12" t="inlineStr">
        <is>
          <t>PUMP PROFISSIONAL 28/410 NATURAL PRESCANTE 270MM</t>
        </is>
      </c>
      <c r="H38" s="12" t="inlineStr">
        <is>
          <t>Remessa para industrialização por encomenda (insumo do cliente)</t>
        </is>
      </c>
      <c r="I38" s="14" t="n">
        <v>20</v>
      </c>
      <c r="J38" s="12" t="n"/>
      <c r="K38" s="14" t="n"/>
      <c r="L38" s="14" t="n">
        <v>0</v>
      </c>
      <c r="M38" s="14" t="n">
        <v>0</v>
      </c>
      <c r="N38" s="12" t="inlineStr">
        <is>
          <t>Simples (CSOSN 500) - Remessa para industrialização por encomenda (insumo do cliente): sem crédito (só mercadoria para industrialização/comercialização)</t>
        </is>
      </c>
      <c r="O38" s="12" t="inlineStr"/>
    </row>
    <row r="39">
      <c r="A39" s="17" t="n">
        <v>46286</v>
      </c>
      <c r="B39" s="12" t="n">
        <v>4551</v>
      </c>
      <c r="C39" s="12" t="inlineStr">
        <is>
          <t>BB COSMETICOS LTDA</t>
        </is>
      </c>
      <c r="D39" s="12" t="inlineStr">
        <is>
          <t>21822008000103</t>
        </is>
      </c>
      <c r="E39" s="12" t="inlineStr">
        <is>
          <t>500</t>
        </is>
      </c>
      <c r="F39" s="12" t="inlineStr">
        <is>
          <t>ICMS cobrado anteriormente por ST</t>
        </is>
      </c>
      <c r="G39" s="12" t="inlineStr">
        <is>
          <t>MINI GATILHO 24/410 PRETO PESCANTE 250MM</t>
        </is>
      </c>
      <c r="H39" s="12" t="inlineStr">
        <is>
          <t>Remessa para industrialização por encomenda (insumo do cliente)</t>
        </is>
      </c>
      <c r="I39" s="14" t="n">
        <v>5</v>
      </c>
      <c r="J39" s="12" t="n"/>
      <c r="K39" s="14" t="n"/>
      <c r="L39" s="14" t="n">
        <v>0</v>
      </c>
      <c r="M39" s="14" t="n">
        <v>0</v>
      </c>
      <c r="N39" s="12" t="inlineStr">
        <is>
          <t>Simples (CSOSN 500) - Remessa para industrialização por encomenda (insumo do cliente): sem crédito (só mercadoria para industrialização/comercialização)</t>
        </is>
      </c>
      <c r="O39" s="12" t="inlineStr"/>
    </row>
    <row r="40">
      <c r="A40" s="17" t="n">
        <v>46286</v>
      </c>
      <c r="B40" s="12" t="n">
        <v>4551</v>
      </c>
      <c r="C40" s="12" t="inlineStr">
        <is>
          <t>BB COSMETICOS LTDA</t>
        </is>
      </c>
      <c r="D40" s="12" t="inlineStr">
        <is>
          <t>21822008000103</t>
        </is>
      </c>
      <c r="E40" s="12" t="inlineStr">
        <is>
          <t>500</t>
        </is>
      </c>
      <c r="F40" s="12" t="inlineStr">
        <is>
          <t>ICMS cobrado anteriormente por ST</t>
        </is>
      </c>
      <c r="G40" s="12" t="inlineStr">
        <is>
          <t>MINI GATILHO 24/410 NATURAL PESCANTE 250MM</t>
        </is>
      </c>
      <c r="H40" s="12" t="inlineStr">
        <is>
          <t>Remessa para industrialização por encomenda (insumo do cliente)</t>
        </is>
      </c>
      <c r="I40" s="14" t="n">
        <v>10</v>
      </c>
      <c r="J40" s="12" t="n"/>
      <c r="K40" s="14" t="n"/>
      <c r="L40" s="14" t="n">
        <v>0</v>
      </c>
      <c r="M40" s="14" t="n">
        <v>0</v>
      </c>
      <c r="N40" s="12" t="inlineStr">
        <is>
          <t>Simples (CSOSN 500) - Remessa para industrialização por encomenda (insumo do cliente): sem crédito (só mercadoria para industrialização/comercialização)</t>
        </is>
      </c>
      <c r="O40" s="12" t="inlineStr"/>
    </row>
    <row r="41">
      <c r="A41" s="17" t="n">
        <v>46286</v>
      </c>
      <c r="B41" s="12" t="n">
        <v>4551</v>
      </c>
      <c r="C41" s="12" t="inlineStr">
        <is>
          <t>BB COSMETICOS LTDA</t>
        </is>
      </c>
      <c r="D41" s="12" t="inlineStr">
        <is>
          <t>21822008000103</t>
        </is>
      </c>
      <c r="E41" s="12" t="inlineStr">
        <is>
          <t>500</t>
        </is>
      </c>
      <c r="F41" s="12" t="inlineStr">
        <is>
          <t>ICMS cobrado anteriormente por ST</t>
        </is>
      </c>
      <c r="G41" s="12" t="inlineStr">
        <is>
          <t>PUMP 28/410 PRETA PESCANTE 230MM</t>
        </is>
      </c>
      <c r="H41" s="12" t="inlineStr">
        <is>
          <t>Remessa para industrialização por encomenda (insumo do cliente)</t>
        </is>
      </c>
      <c r="I41" s="14" t="n">
        <v>10</v>
      </c>
      <c r="J41" s="12" t="n"/>
      <c r="K41" s="14" t="n"/>
      <c r="L41" s="14" t="n">
        <v>0</v>
      </c>
      <c r="M41" s="14" t="n">
        <v>0</v>
      </c>
      <c r="N41" s="12" t="inlineStr">
        <is>
          <t>Simples (CSOSN 500) - Remessa para industrialização por encomenda (insumo do cliente): sem crédito (só mercadoria para industrialização/comercialização)</t>
        </is>
      </c>
      <c r="O41" s="12" t="inlineStr"/>
    </row>
    <row r="42">
      <c r="A42" s="17" t="n">
        <v>46294</v>
      </c>
      <c r="B42" s="12" t="n">
        <v>222098</v>
      </c>
      <c r="C42" s="12" t="inlineStr">
        <is>
          <t>FARMANILQUIMA COM. ANILINAS E PRODS.QUIM.LTDA</t>
        </is>
      </c>
      <c r="D42" s="12" t="inlineStr">
        <is>
          <t>76509488000149</t>
        </is>
      </c>
      <c r="E42" s="12" t="inlineStr">
        <is>
          <t>102</t>
        </is>
      </c>
      <c r="F42" s="12" t="inlineStr">
        <is>
          <t>tributada SEM permissão de crédito</t>
        </is>
      </c>
      <c r="G42" s="12" t="inlineStr">
        <is>
          <t>OLEO DE CAMOMILA 100 ML</t>
        </is>
      </c>
      <c r="H42" s="12" t="inlineStr">
        <is>
          <t>Matéria-prima (óleos e gorduras)</t>
        </is>
      </c>
      <c r="I42" s="14" t="n">
        <v>200</v>
      </c>
      <c r="J42" s="12" t="n"/>
      <c r="K42" s="14" t="n"/>
      <c r="L42" s="14" t="n">
        <v>0</v>
      </c>
      <c r="M42" s="14" t="n">
        <v>0</v>
      </c>
      <c r="N42" s="12" t="inlineStr">
        <is>
          <t>Simples CSOSN 102 (tributada SEM permissão de crédito): sem direito a crédito</t>
        </is>
      </c>
      <c r="O42" s="12" t="inlineStr"/>
    </row>
    <row r="43">
      <c r="A43" s="18" t="n">
        <v>46295</v>
      </c>
      <c r="B43" s="7" t="n">
        <v>42</v>
      </c>
      <c r="C43" s="7" t="inlineStr">
        <is>
          <t>MERCKPAR COMERCIAL LTDA</t>
        </is>
      </c>
      <c r="D43" s="7" t="inlineStr">
        <is>
          <t>63460684000124</t>
        </is>
      </c>
      <c r="E43" s="7" t="inlineStr">
        <is>
          <t>101</t>
        </is>
      </c>
      <c r="F43" s="7" t="inlineStr">
        <is>
          <t>tributada com permissão de crédito</t>
        </is>
      </c>
      <c r="G43" s="7" t="inlineStr">
        <is>
          <t>SULFITO DE SODIO ANIDRO PA 1000g REATEC</t>
        </is>
      </c>
      <c r="H43" s="7" t="inlineStr">
        <is>
          <t>Matéria-prima (químico inorgânico)</t>
        </is>
      </c>
      <c r="I43" s="8" t="n">
        <v>1180</v>
      </c>
      <c r="J43" s="7" t="n"/>
      <c r="K43" s="8" t="n"/>
      <c r="L43" s="8" t="n">
        <v>0</v>
      </c>
      <c r="M43" s="8" t="n">
        <v>0</v>
      </c>
      <c r="N43" s="7" t="inlineStr">
        <is>
          <t>Simples CSOSN 101 sem percentual de crédito (pCredSN 0%)</t>
        </is>
      </c>
      <c r="O43" s="7" t="inlineStr">
        <is>
          <t>Sem crédito: segue o XML (CSOSN com permissão de crédito, mas sem % informado)</t>
        </is>
      </c>
    </row>
    <row r="44">
      <c r="A44" s="9" t="inlineStr">
        <is>
          <t>Total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10">
        <f>SUM(I5:I43)</f>
        <v/>
      </c>
      <c r="J44" s="9" t="inlineStr"/>
      <c r="K44" s="10">
        <f>SUM(K5:K43)</f>
        <v/>
      </c>
      <c r="L44" s="10">
        <f>SUM(L5:L43)</f>
        <v/>
      </c>
      <c r="M44" s="10">
        <f>SUM(M5:M43)</f>
        <v/>
      </c>
      <c r="N44" s="9" t="inlineStr"/>
      <c r="O4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9" customWidth="1" min="4" max="4"/>
    <col width="11" customWidth="1" min="5" max="5"/>
    <col width="10" customWidth="1" min="6" max="6"/>
    <col width="10" customWidth="1" min="7" max="7"/>
    <col width="30" customWidth="1" min="8" max="8"/>
    <col width="70" customWidth="1" min="9" max="9"/>
    <col width="30" customWidth="1" min="10" max="10"/>
  </cols>
  <sheetData>
    <row r="1">
      <c r="A1" s="1" t="inlineStr">
        <is>
          <t>CT-e em que a COSMETICI é tomadora - crédito de ICMS do frete</t>
        </is>
      </c>
    </row>
    <row r="3">
      <c r="A3" s="4" t="inlineStr">
        <is>
          <t>CT-e</t>
        </is>
      </c>
      <c r="B3" s="4" t="inlineStr">
        <is>
          <t>Data</t>
        </is>
      </c>
      <c r="C3" s="4" t="inlineStr">
        <is>
          <t>Transportadora</t>
        </is>
      </c>
      <c r="D3" s="4" t="inlineStr">
        <is>
          <t>CFOP entrada</t>
        </is>
      </c>
      <c r="E3" s="4" t="inlineStr">
        <is>
          <t>Valor</t>
        </is>
      </c>
      <c r="F3" s="4" t="inlineStr">
        <is>
          <t>ICMS</t>
        </is>
      </c>
      <c r="G3" s="4" t="inlineStr">
        <is>
          <t>Crédito</t>
        </is>
      </c>
      <c r="H3" s="4" t="inlineStr">
        <is>
          <t>Fonte</t>
        </is>
      </c>
      <c r="I3" s="4" t="inlineStr">
        <is>
          <t>Observação</t>
        </is>
      </c>
      <c r="J3" s="4" t="inlineStr">
        <is>
          <t>NF-e transportada</t>
        </is>
      </c>
    </row>
    <row r="4">
      <c r="A4" s="7" t="n">
        <v>5597996</v>
      </c>
      <c r="B4" s="18" t="n">
        <v>46269</v>
      </c>
      <c r="C4" s="7" t="inlineStr">
        <is>
          <t>CAXIAS DO SUL - EXPRESSO SAO MIGUEL S/A</t>
        </is>
      </c>
      <c r="D4" s="7" t="inlineStr">
        <is>
          <t>2352</t>
        </is>
      </c>
      <c r="E4" s="8" t="n">
        <v>301.49</v>
      </c>
      <c r="F4" s="8" t="n">
        <v>36.18</v>
      </c>
      <c r="G4" s="8" t="n">
        <v>0</v>
      </c>
      <c r="H4" s="7" t="inlineStr">
        <is>
          <t>XML</t>
        </is>
      </c>
      <c r="I4" s="7" t="inlineStr">
        <is>
          <t>Frete de compra de uso: sem crédito - o crédito do frete segue a mercadoria (uso e consumo/outras não creditam - LC 87/96 art. 33, I). ICMS R$ 36.18 não aproveitado</t>
        </is>
      </c>
      <c r="J4" s="7" t="inlineStr">
        <is>
          <t>NF 2564 (uso)</t>
        </is>
      </c>
    </row>
    <row r="5">
      <c r="A5" s="5" t="n">
        <v>25709</v>
      </c>
      <c r="B5" s="15" t="n">
        <v>46283</v>
      </c>
      <c r="C5" s="5" t="inlineStr">
        <is>
          <t>TRANS TOMAZ TRANSPORTES RODOV DE CARGAS EIREL</t>
        </is>
      </c>
      <c r="D5" s="5" t="inlineStr">
        <is>
          <t>2353</t>
        </is>
      </c>
      <c r="E5" s="6" t="n">
        <v>116.03</v>
      </c>
      <c r="F5" s="6" t="n">
        <v>13.92</v>
      </c>
      <c r="G5" s="6" t="n">
        <v>13.92</v>
      </c>
      <c r="H5" s="5" t="inlineStr">
        <is>
          <t>XML</t>
        </is>
      </c>
      <c r="I5" s="5" t="inlineStr">
        <is>
          <t>Frete de compra de insumo</t>
        </is>
      </c>
      <c r="J5" s="5" t="inlineStr">
        <is>
          <t>NF 30338 (insumo)</t>
        </is>
      </c>
    </row>
    <row r="6">
      <c r="A6" s="5" t="n">
        <v>25910</v>
      </c>
      <c r="B6" s="15" t="n">
        <v>46287</v>
      </c>
      <c r="C6" s="5" t="inlineStr">
        <is>
          <t>TRANS TOMAZ TRANSPORTES RODOV DE CARGAS EIREL</t>
        </is>
      </c>
      <c r="D6" s="5" t="inlineStr">
        <is>
          <t>2353</t>
        </is>
      </c>
      <c r="E6" s="6" t="n">
        <v>812.3</v>
      </c>
      <c r="F6" s="6" t="n">
        <v>97.48</v>
      </c>
      <c r="G6" s="6" t="n">
        <v>97.48</v>
      </c>
      <c r="H6" s="5" t="inlineStr">
        <is>
          <t>XML</t>
        </is>
      </c>
      <c r="I6" s="5" t="inlineStr">
        <is>
          <t>Frete de compra de insumo</t>
        </is>
      </c>
      <c r="J6" s="5" t="inlineStr">
        <is>
          <t>NF 117690 (insumo)</t>
        </is>
      </c>
    </row>
    <row r="7">
      <c r="A7" s="5" t="n">
        <v>26411</v>
      </c>
      <c r="B7" s="15" t="n">
        <v>46290</v>
      </c>
      <c r="C7" s="5" t="inlineStr">
        <is>
          <t>TRANS TOMAZ TRANSPORTES RODOV DE CARGAS EIREL</t>
        </is>
      </c>
      <c r="D7" s="5" t="inlineStr">
        <is>
          <t>2353</t>
        </is>
      </c>
      <c r="E7" s="6" t="n">
        <v>126.02</v>
      </c>
      <c r="F7" s="6" t="n">
        <v>15.12</v>
      </c>
      <c r="G7" s="6" t="n">
        <v>15.12</v>
      </c>
      <c r="H7" s="5" t="inlineStr">
        <is>
          <t>XML</t>
        </is>
      </c>
      <c r="I7" s="5" t="inlineStr">
        <is>
          <t>Frete de compra de insumo</t>
        </is>
      </c>
      <c r="J7" s="5" t="inlineStr">
        <is>
          <t>NF 141811 (insumo)</t>
        </is>
      </c>
    </row>
    <row r="8">
      <c r="A8" s="5" t="n">
        <v>26730</v>
      </c>
      <c r="B8" s="15" t="n">
        <v>46295</v>
      </c>
      <c r="C8" s="5" t="inlineStr">
        <is>
          <t>TRANS TOMAZ TRANSPORTES RODOV DE CARGAS EIREL</t>
        </is>
      </c>
      <c r="D8" s="5" t="inlineStr">
        <is>
          <t>2353</t>
        </is>
      </c>
      <c r="E8" s="6" t="n">
        <v>188.49</v>
      </c>
      <c r="F8" s="6" t="n">
        <v>22.62</v>
      </c>
      <c r="G8" s="6" t="n">
        <v>22.62</v>
      </c>
      <c r="H8" s="5" t="inlineStr">
        <is>
          <t>XML</t>
        </is>
      </c>
      <c r="I8" s="5" t="inlineStr">
        <is>
          <t>Frete de compra de insumo</t>
        </is>
      </c>
      <c r="J8" s="5" t="inlineStr">
        <is>
          <t>NF 19303 (insumo)</t>
        </is>
      </c>
    </row>
    <row r="9">
      <c r="A9" s="7" t="n">
        <v>4011462</v>
      </c>
      <c r="B9" s="18" t="n">
        <v>46286</v>
      </c>
      <c r="C9" s="7" t="inlineStr">
        <is>
          <t>BRASPRESS TRANSPORTES URGENTES LTDA</t>
        </is>
      </c>
      <c r="D9" s="7" t="inlineStr">
        <is>
          <t>2352</t>
        </is>
      </c>
      <c r="E9" s="8" t="n">
        <v>280.52</v>
      </c>
      <c r="F9" s="8" t="n">
        <v>19.35</v>
      </c>
      <c r="G9" s="8" t="n">
        <v>19.35</v>
      </c>
      <c r="H9" s="7" t="inlineStr">
        <is>
          <t>Relatório SIEG (sem XML na pasta)</t>
        </is>
      </c>
      <c r="I9" s="7" t="inlineStr">
        <is>
          <t>Frete de venda (Cosmetici tomadora) - XML não está na pasta</t>
        </is>
      </c>
      <c r="J9" s="7" t="inlineStr"/>
    </row>
    <row r="10">
      <c r="A10" s="7" t="n">
        <v>4016484</v>
      </c>
      <c r="B10" s="18" t="n">
        <v>46289</v>
      </c>
      <c r="C10" s="7" t="inlineStr">
        <is>
          <t>BRASPRESS TRANSPORTES URGENTES LTDA</t>
        </is>
      </c>
      <c r="D10" s="7" t="inlineStr">
        <is>
          <t>2352</t>
        </is>
      </c>
      <c r="E10" s="8" t="n">
        <v>692.92</v>
      </c>
      <c r="F10" s="8" t="n">
        <v>47.93</v>
      </c>
      <c r="G10" s="8" t="n">
        <v>47.93</v>
      </c>
      <c r="H10" s="7" t="inlineStr">
        <is>
          <t>Relatório SIEG (sem XML na pasta)</t>
        </is>
      </c>
      <c r="I10" s="7" t="inlineStr">
        <is>
          <t>Frete de venda (Cosmetici tomadora) - XML não está na pasta</t>
        </is>
      </c>
      <c r="J10" s="7" t="inlineStr"/>
    </row>
    <row r="11">
      <c r="A11" s="7" t="n">
        <v>3999629</v>
      </c>
      <c r="B11" s="18" t="n">
        <v>46274</v>
      </c>
      <c r="C11" s="7" t="inlineStr">
        <is>
          <t>BRASPRESS TRANSPORTES URGENTES LTDA</t>
        </is>
      </c>
      <c r="D11" s="7" t="inlineStr">
        <is>
          <t>2352</t>
        </is>
      </c>
      <c r="E11" s="8" t="n">
        <v>249.59</v>
      </c>
      <c r="F11" s="8" t="n">
        <v>17.18</v>
      </c>
      <c r="G11" s="8" t="n">
        <v>17.18</v>
      </c>
      <c r="H11" s="7" t="inlineStr">
        <is>
          <t>Relatório SIEG (sem XML na pasta)</t>
        </is>
      </c>
      <c r="I11" s="7" t="inlineStr">
        <is>
          <t>Frete de venda (Cosmetici tomadora) - XML não está na pasta</t>
        </is>
      </c>
      <c r="J11" s="7" t="inlineStr"/>
    </row>
    <row r="12">
      <c r="A12" s="7" t="n">
        <v>4014896</v>
      </c>
      <c r="B12" s="18" t="n">
        <v>46288</v>
      </c>
      <c r="C12" s="7" t="inlineStr">
        <is>
          <t>BRASPRESS TRANSPORTES URGENTES LTDA</t>
        </is>
      </c>
      <c r="D12" s="7" t="inlineStr">
        <is>
          <t>2352</t>
        </is>
      </c>
      <c r="E12" s="8" t="n">
        <v>240.43</v>
      </c>
      <c r="F12" s="8" t="n">
        <v>28.36</v>
      </c>
      <c r="G12" s="8" t="n">
        <v>28.36</v>
      </c>
      <c r="H12" s="7" t="inlineStr">
        <is>
          <t>Relatório SIEG (sem XML na pasta)</t>
        </is>
      </c>
      <c r="I12" s="7" t="inlineStr">
        <is>
          <t>Frete de venda (Cosmetici tomadora) - XML não está na pasta</t>
        </is>
      </c>
      <c r="J12" s="7" t="inlineStr"/>
    </row>
    <row r="13">
      <c r="A13" s="7" t="n">
        <v>3999630</v>
      </c>
      <c r="B13" s="18" t="n">
        <v>46274</v>
      </c>
      <c r="C13" s="7" t="inlineStr">
        <is>
          <t>BRASPRESS TRANSPORTES URGENTES LTDA</t>
        </is>
      </c>
      <c r="D13" s="7" t="inlineStr">
        <is>
          <t>2352</t>
        </is>
      </c>
      <c r="E13" s="8" t="n">
        <v>264.86</v>
      </c>
      <c r="F13" s="8" t="n">
        <v>18.25</v>
      </c>
      <c r="G13" s="8" t="n">
        <v>18.25</v>
      </c>
      <c r="H13" s="7" t="inlineStr">
        <is>
          <t>Relatório SIEG (sem XML na pasta)</t>
        </is>
      </c>
      <c r="I13" s="7" t="inlineStr">
        <is>
          <t>Frete de venda (Cosmetici tomadora) - XML não está na pasta</t>
        </is>
      </c>
      <c r="J13" s="7" t="inlineStr"/>
    </row>
    <row r="14">
      <c r="A14" s="7" t="n">
        <v>4010194</v>
      </c>
      <c r="B14" s="18" t="n">
        <v>46283</v>
      </c>
      <c r="C14" s="7" t="inlineStr">
        <is>
          <t>BRASPRESS TRANSPORTES URGENTES LTDA</t>
        </is>
      </c>
      <c r="D14" s="7" t="inlineStr">
        <is>
          <t>2352</t>
        </is>
      </c>
      <c r="E14" s="8" t="n">
        <v>507.65</v>
      </c>
      <c r="F14" s="8" t="n">
        <v>34.96</v>
      </c>
      <c r="G14" s="8" t="n">
        <v>34.96</v>
      </c>
      <c r="H14" s="7" t="inlineStr">
        <is>
          <t>Relatório SIEG (sem XML na pasta)</t>
        </is>
      </c>
      <c r="I14" s="7" t="inlineStr">
        <is>
          <t>Frete de venda (Cosmetici tomadora) - XML não está na pasta</t>
        </is>
      </c>
      <c r="J14" s="7" t="inlineStr"/>
    </row>
    <row r="15">
      <c r="A15" s="7" t="n">
        <v>2081291</v>
      </c>
      <c r="B15" s="18" t="n">
        <v>46286</v>
      </c>
      <c r="C15" s="7" t="inlineStr">
        <is>
          <t>EXPRESSO SAO MIGUEL S/A</t>
        </is>
      </c>
      <c r="D15" s="7" t="inlineStr">
        <is>
          <t>2352</t>
        </is>
      </c>
      <c r="E15" s="8" t="n">
        <v>115.56</v>
      </c>
      <c r="F15" s="8" t="n">
        <v>13.41</v>
      </c>
      <c r="G15" s="8" t="n">
        <v>13.41</v>
      </c>
      <c r="H15" s="7" t="inlineStr">
        <is>
          <t>Relatório SIEG (sem XML na pasta)</t>
        </is>
      </c>
      <c r="I15" s="7" t="inlineStr">
        <is>
          <t>Frete de venda (Cosmetici tomadora) - XML não está na pasta</t>
        </is>
      </c>
      <c r="J15" s="7" t="inlineStr"/>
    </row>
    <row r="16">
      <c r="A16" s="7" t="n">
        <v>2081292</v>
      </c>
      <c r="B16" s="18" t="n">
        <v>46286</v>
      </c>
      <c r="C16" s="7" t="inlineStr">
        <is>
          <t>EXPRESSO SAO MIGUEL S/A</t>
        </is>
      </c>
      <c r="D16" s="7" t="inlineStr">
        <is>
          <t>2352</t>
        </is>
      </c>
      <c r="E16" s="8" t="n">
        <v>138.62</v>
      </c>
      <c r="F16" s="8" t="n">
        <v>16.18</v>
      </c>
      <c r="G16" s="8" t="n">
        <v>16.18</v>
      </c>
      <c r="H16" s="7" t="inlineStr">
        <is>
          <t>Relatório SIEG (sem XML na pasta)</t>
        </is>
      </c>
      <c r="I16" s="7" t="inlineStr">
        <is>
          <t>Frete de venda (Cosmetici tomadora) - XML não está na pasta</t>
        </is>
      </c>
      <c r="J16" s="7" t="inlineStr"/>
    </row>
    <row r="17">
      <c r="A17" s="7" t="n">
        <v>2098798</v>
      </c>
      <c r="B17" s="18" t="n">
        <v>46294</v>
      </c>
      <c r="C17" s="7" t="inlineStr">
        <is>
          <t>EXPRESSO SAO MIGUEL S/A</t>
        </is>
      </c>
      <c r="D17" s="7" t="inlineStr">
        <is>
          <t>2352</t>
        </is>
      </c>
      <c r="E17" s="8" t="n">
        <v>445.46</v>
      </c>
      <c r="F17" s="8" t="n">
        <v>52.09</v>
      </c>
      <c r="G17" s="8" t="n">
        <v>52.09</v>
      </c>
      <c r="H17" s="7" t="inlineStr">
        <is>
          <t>Relatório SIEG (sem XML na pasta)</t>
        </is>
      </c>
      <c r="I17" s="7" t="inlineStr">
        <is>
          <t>Frete de venda (Cosmetici tomadora) - XML não está na pasta</t>
        </is>
      </c>
      <c r="J17" s="7" t="inlineStr"/>
    </row>
    <row r="18">
      <c r="A18" s="7" t="n">
        <v>2079447</v>
      </c>
      <c r="B18" s="18" t="n">
        <v>46286</v>
      </c>
      <c r="C18" s="7" t="inlineStr">
        <is>
          <t>EXPRESSO SAO MIGUEL S/A</t>
        </is>
      </c>
      <c r="D18" s="7" t="inlineStr">
        <is>
          <t>2352</t>
        </is>
      </c>
      <c r="E18" s="8" t="n">
        <v>81.81999999999999</v>
      </c>
      <c r="F18" s="8" t="n">
        <v>9.359999999999999</v>
      </c>
      <c r="G18" s="8" t="n">
        <v>9.359999999999999</v>
      </c>
      <c r="H18" s="7" t="inlineStr">
        <is>
          <t>Relatório SIEG (sem XML na pasta)</t>
        </is>
      </c>
      <c r="I18" s="7" t="inlineStr">
        <is>
          <t>Frete de venda (Cosmetici tomadora) - XML não está na pasta</t>
        </is>
      </c>
      <c r="J18" s="7" t="inlineStr"/>
    </row>
    <row r="19">
      <c r="A19" s="7" t="n">
        <v>2095396</v>
      </c>
      <c r="B19" s="18" t="n">
        <v>46293</v>
      </c>
      <c r="C19" s="7" t="inlineStr">
        <is>
          <t>EXPRESSO SAO MIGUEL S/A</t>
        </is>
      </c>
      <c r="D19" s="7" t="inlineStr">
        <is>
          <t>2352</t>
        </is>
      </c>
      <c r="E19" s="8" t="n">
        <v>146.44</v>
      </c>
      <c r="F19" s="8" t="n">
        <v>17.12</v>
      </c>
      <c r="G19" s="8" t="n">
        <v>17.12</v>
      </c>
      <c r="H19" s="7" t="inlineStr">
        <is>
          <t>Relatório SIEG (sem XML na pasta)</t>
        </is>
      </c>
      <c r="I19" s="7" t="inlineStr">
        <is>
          <t>Frete de venda (Cosmetici tomadora) - XML não está na pasta</t>
        </is>
      </c>
      <c r="J19" s="7" t="inlineStr"/>
    </row>
    <row r="20">
      <c r="A20" s="7" t="n">
        <v>4687986</v>
      </c>
      <c r="B20" s="18" t="n">
        <v>46268</v>
      </c>
      <c r="C20" s="7" t="inlineStr">
        <is>
          <t>RODONAVES TRANSPORTES E ENCOMENDAS LTDA</t>
        </is>
      </c>
      <c r="D20" s="7" t="inlineStr">
        <is>
          <t>2352</t>
        </is>
      </c>
      <c r="E20" s="8" t="n">
        <v>172.64</v>
      </c>
      <c r="F20" s="8" t="n">
        <v>19.87</v>
      </c>
      <c r="G20" s="8" t="n">
        <v>19.87</v>
      </c>
      <c r="H20" s="7" t="inlineStr">
        <is>
          <t>Relatório SIEG (sem XML na pasta)</t>
        </is>
      </c>
      <c r="I20" s="7" t="inlineStr">
        <is>
          <t>Frete de venda (Cosmetici tomadora) - XML não está na pasta</t>
        </is>
      </c>
      <c r="J20" s="7" t="inlineStr"/>
    </row>
    <row r="21">
      <c r="A21" s="7" t="n">
        <v>36425929</v>
      </c>
      <c r="B21" s="18" t="n">
        <v>46276</v>
      </c>
      <c r="C21" s="7" t="inlineStr">
        <is>
          <t>TEX COURIER S.A</t>
        </is>
      </c>
      <c r="D21" s="7" t="inlineStr">
        <is>
          <t>2353</t>
        </is>
      </c>
      <c r="E21" s="8" t="n">
        <v>54.83</v>
      </c>
      <c r="F21" s="8" t="n">
        <v>6.58</v>
      </c>
      <c r="G21" s="8" t="n">
        <v>6.58</v>
      </c>
      <c r="H21" s="7" t="inlineStr">
        <is>
          <t>Relatório SIEG (sem XML na pasta)</t>
        </is>
      </c>
      <c r="I21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1" s="7" t="inlineStr"/>
    </row>
    <row r="22">
      <c r="A22" s="7" t="n">
        <v>17890190</v>
      </c>
      <c r="B22" s="18" t="n">
        <v>46289</v>
      </c>
      <c r="C22" s="7" t="inlineStr">
        <is>
          <t>TEX COURIER S.A</t>
        </is>
      </c>
      <c r="D22" s="7" t="inlineStr">
        <is>
          <t>2353</t>
        </is>
      </c>
      <c r="E22" s="8" t="n">
        <v>221.5</v>
      </c>
      <c r="F22" s="8" t="n">
        <v>15.51</v>
      </c>
      <c r="G22" s="8" t="n">
        <v>15.51</v>
      </c>
      <c r="H22" s="7" t="inlineStr">
        <is>
          <t>Relatório SIEG (sem XML na pasta)</t>
        </is>
      </c>
      <c r="I22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2" s="7" t="inlineStr"/>
    </row>
    <row r="23">
      <c r="A23" s="7" t="n">
        <v>17901568</v>
      </c>
      <c r="B23" s="18" t="n">
        <v>46290</v>
      </c>
      <c r="C23" s="7" t="inlineStr">
        <is>
          <t>TEX COURIER S.A</t>
        </is>
      </c>
      <c r="D23" s="7" t="inlineStr">
        <is>
          <t>2353</t>
        </is>
      </c>
      <c r="E23" s="8" t="n">
        <v>20.82</v>
      </c>
      <c r="F23" s="8" t="n">
        <v>2.5</v>
      </c>
      <c r="G23" s="8" t="n">
        <v>2.5</v>
      </c>
      <c r="H23" s="7" t="inlineStr">
        <is>
          <t>Relatório SIEG (sem XML na pasta)</t>
        </is>
      </c>
      <c r="I23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3" s="7" t="inlineStr"/>
    </row>
    <row r="24">
      <c r="A24" s="7" t="n">
        <v>17901583</v>
      </c>
      <c r="B24" s="18" t="n">
        <v>46290</v>
      </c>
      <c r="C24" s="7" t="inlineStr">
        <is>
          <t>TEX COURIER S.A</t>
        </is>
      </c>
      <c r="D24" s="7" t="inlineStr">
        <is>
          <t>2353</t>
        </is>
      </c>
      <c r="E24" s="8" t="n">
        <v>19.44</v>
      </c>
      <c r="F24" s="8" t="n">
        <v>2.33</v>
      </c>
      <c r="G24" s="8" t="n">
        <v>2.33</v>
      </c>
      <c r="H24" s="7" t="inlineStr">
        <is>
          <t>Relatório SIEG (sem XML na pasta)</t>
        </is>
      </c>
      <c r="I24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4" s="7" t="inlineStr"/>
    </row>
    <row r="25">
      <c r="A25" s="7" t="n">
        <v>17915091</v>
      </c>
      <c r="B25" s="18" t="n">
        <v>46293</v>
      </c>
      <c r="C25" s="7" t="inlineStr">
        <is>
          <t>TEX COURIER S.A</t>
        </is>
      </c>
      <c r="D25" s="7" t="inlineStr">
        <is>
          <t>2353</t>
        </is>
      </c>
      <c r="E25" s="8" t="n">
        <v>27.56</v>
      </c>
      <c r="F25" s="8" t="n">
        <v>3.31</v>
      </c>
      <c r="G25" s="8" t="n">
        <v>3.31</v>
      </c>
      <c r="H25" s="7" t="inlineStr">
        <is>
          <t>Relatório SIEG (sem XML na pasta)</t>
        </is>
      </c>
      <c r="I25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5" s="7" t="inlineStr"/>
    </row>
    <row r="26">
      <c r="A26" s="7" t="n">
        <v>17896252</v>
      </c>
      <c r="B26" s="18" t="n">
        <v>46290</v>
      </c>
      <c r="C26" s="7" t="inlineStr">
        <is>
          <t>TEX COURIER S.A</t>
        </is>
      </c>
      <c r="D26" s="7" t="inlineStr">
        <is>
          <t>2353</t>
        </is>
      </c>
      <c r="E26" s="8" t="n">
        <v>38.66</v>
      </c>
      <c r="F26" s="8" t="n">
        <v>4.64</v>
      </c>
      <c r="G26" s="8" t="n">
        <v>4.64</v>
      </c>
      <c r="H26" s="7" t="inlineStr">
        <is>
          <t>Relatório SIEG (sem XML na pasta)</t>
        </is>
      </c>
      <c r="I26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6" s="7" t="inlineStr"/>
    </row>
    <row r="27">
      <c r="A27" s="7" t="n">
        <v>17901624</v>
      </c>
      <c r="B27" s="18" t="n">
        <v>46290</v>
      </c>
      <c r="C27" s="7" t="inlineStr">
        <is>
          <t>TEX COURIER S.A</t>
        </is>
      </c>
      <c r="D27" s="7" t="inlineStr">
        <is>
          <t>2353</t>
        </is>
      </c>
      <c r="E27" s="8" t="n">
        <v>28.31</v>
      </c>
      <c r="F27" s="8" t="n">
        <v>1.98</v>
      </c>
      <c r="G27" s="8" t="n">
        <v>1.98</v>
      </c>
      <c r="H27" s="7" t="inlineStr">
        <is>
          <t>Relatório SIEG (sem XML na pasta)</t>
        </is>
      </c>
      <c r="I27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7" s="7" t="inlineStr"/>
    </row>
    <row r="28">
      <c r="A28" s="7" t="n">
        <v>17924737</v>
      </c>
      <c r="B28" s="18" t="n">
        <v>46294</v>
      </c>
      <c r="C28" s="7" t="inlineStr">
        <is>
          <t>TEX COURIER S.A</t>
        </is>
      </c>
      <c r="D28" s="7" t="inlineStr">
        <is>
          <t>2353</t>
        </is>
      </c>
      <c r="E28" s="8" t="n">
        <v>55.04</v>
      </c>
      <c r="F28" s="8" t="n">
        <v>6.6</v>
      </c>
      <c r="G28" s="8" t="n">
        <v>6.6</v>
      </c>
      <c r="H28" s="7" t="inlineStr">
        <is>
          <t>Relatório SIEG (sem XML na pasta)</t>
        </is>
      </c>
      <c r="I28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8" s="7" t="inlineStr"/>
    </row>
    <row r="29">
      <c r="A29" s="7" t="n">
        <v>17924803</v>
      </c>
      <c r="B29" s="18" t="n">
        <v>46294</v>
      </c>
      <c r="C29" s="7" t="inlineStr">
        <is>
          <t>TEX COURIER S.A</t>
        </is>
      </c>
      <c r="D29" s="7" t="inlineStr">
        <is>
          <t>2353</t>
        </is>
      </c>
      <c r="E29" s="8" t="n">
        <v>28.56</v>
      </c>
      <c r="F29" s="8" t="n">
        <v>3.43</v>
      </c>
      <c r="G29" s="8" t="n">
        <v>3.43</v>
      </c>
      <c r="H29" s="7" t="inlineStr">
        <is>
          <t>Relatório SIEG (sem XML na pasta)</t>
        </is>
      </c>
      <c r="I29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29" s="7" t="inlineStr"/>
    </row>
    <row r="30">
      <c r="A30" s="7" t="n">
        <v>17817538</v>
      </c>
      <c r="B30" s="18" t="n">
        <v>46281</v>
      </c>
      <c r="C30" s="7" t="inlineStr">
        <is>
          <t>TEX COURIER S.A</t>
        </is>
      </c>
      <c r="D30" s="7" t="inlineStr">
        <is>
          <t>2353</t>
        </is>
      </c>
      <c r="E30" s="8" t="n">
        <v>40.22</v>
      </c>
      <c r="F30" s="8" t="n">
        <v>4.83</v>
      </c>
      <c r="G30" s="8" t="n">
        <v>4.83</v>
      </c>
      <c r="H30" s="7" t="inlineStr">
        <is>
          <t>Relatório SIEG (sem XML na pasta)</t>
        </is>
      </c>
      <c r="I30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0" s="7" t="inlineStr"/>
    </row>
    <row r="31">
      <c r="A31" s="7" t="n">
        <v>17817833</v>
      </c>
      <c r="B31" s="18" t="n">
        <v>46281</v>
      </c>
      <c r="C31" s="7" t="inlineStr">
        <is>
          <t>TEX COURIER S.A</t>
        </is>
      </c>
      <c r="D31" s="7" t="inlineStr">
        <is>
          <t>2353</t>
        </is>
      </c>
      <c r="E31" s="8" t="n">
        <v>55.55</v>
      </c>
      <c r="F31" s="8" t="n">
        <v>6.67</v>
      </c>
      <c r="G31" s="8" t="n">
        <v>6.67</v>
      </c>
      <c r="H31" s="7" t="inlineStr">
        <is>
          <t>Relatório SIEG (sem XML na pasta)</t>
        </is>
      </c>
      <c r="I31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1" s="7" t="inlineStr"/>
    </row>
    <row r="32">
      <c r="A32" s="7" t="n">
        <v>17826831</v>
      </c>
      <c r="B32" s="18" t="n">
        <v>46282</v>
      </c>
      <c r="C32" s="7" t="inlineStr">
        <is>
          <t>TEX COURIER S.A</t>
        </is>
      </c>
      <c r="D32" s="7" t="inlineStr">
        <is>
          <t>2353</t>
        </is>
      </c>
      <c r="E32" s="8" t="n">
        <v>55.85</v>
      </c>
      <c r="F32" s="8" t="n">
        <v>6.7</v>
      </c>
      <c r="G32" s="8" t="n">
        <v>6.7</v>
      </c>
      <c r="H32" s="7" t="inlineStr">
        <is>
          <t>Relatório SIEG (sem XML na pasta)</t>
        </is>
      </c>
      <c r="I32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2" s="7" t="inlineStr"/>
    </row>
    <row r="33">
      <c r="A33" s="7" t="n">
        <v>17924811</v>
      </c>
      <c r="B33" s="18" t="n">
        <v>46294</v>
      </c>
      <c r="C33" s="7" t="inlineStr">
        <is>
          <t>TEX COURIER S.A</t>
        </is>
      </c>
      <c r="D33" s="7" t="inlineStr">
        <is>
          <t>2353</t>
        </is>
      </c>
      <c r="E33" s="8" t="n">
        <v>24.74</v>
      </c>
      <c r="F33" s="8" t="n">
        <v>2.97</v>
      </c>
      <c r="G33" s="8" t="n">
        <v>2.97</v>
      </c>
      <c r="H33" s="7" t="inlineStr">
        <is>
          <t>Relatório SIEG (sem XML na pasta)</t>
        </is>
      </c>
      <c r="I33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3" s="7" t="inlineStr"/>
    </row>
    <row r="34">
      <c r="A34" s="7" t="n">
        <v>17901596</v>
      </c>
      <c r="B34" s="18" t="n">
        <v>46290</v>
      </c>
      <c r="C34" s="7" t="inlineStr">
        <is>
          <t>TEX COURIER S.A</t>
        </is>
      </c>
      <c r="D34" s="7" t="inlineStr">
        <is>
          <t>2353</t>
        </is>
      </c>
      <c r="E34" s="8" t="n">
        <v>22.97</v>
      </c>
      <c r="F34" s="8" t="n">
        <v>2.76</v>
      </c>
      <c r="G34" s="8" t="n">
        <v>2.76</v>
      </c>
      <c r="H34" s="7" t="inlineStr">
        <is>
          <t>Relatório SIEG (sem XML na pasta)</t>
        </is>
      </c>
      <c r="I34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4" s="7" t="inlineStr"/>
    </row>
    <row r="35">
      <c r="A35" s="7" t="n">
        <v>17901582</v>
      </c>
      <c r="B35" s="18" t="n">
        <v>46290</v>
      </c>
      <c r="C35" s="7" t="inlineStr">
        <is>
          <t>TEX COURIER S.A</t>
        </is>
      </c>
      <c r="D35" s="7" t="inlineStr">
        <is>
          <t>2353</t>
        </is>
      </c>
      <c r="E35" s="8" t="n">
        <v>51.09</v>
      </c>
      <c r="F35" s="8" t="n">
        <v>6.13</v>
      </c>
      <c r="G35" s="8" t="n">
        <v>6.13</v>
      </c>
      <c r="H35" s="7" t="inlineStr">
        <is>
          <t>Relatório SIEG (sem XML na pasta)</t>
        </is>
      </c>
      <c r="I35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5" s="7" t="inlineStr"/>
    </row>
    <row r="36">
      <c r="A36" s="7" t="n">
        <v>17901597</v>
      </c>
      <c r="B36" s="18" t="n">
        <v>46290</v>
      </c>
      <c r="C36" s="7" t="inlineStr">
        <is>
          <t>TEX COURIER S.A</t>
        </is>
      </c>
      <c r="D36" s="7" t="inlineStr">
        <is>
          <t>2353</t>
        </is>
      </c>
      <c r="E36" s="8" t="n">
        <v>26.16</v>
      </c>
      <c r="F36" s="8" t="n">
        <v>3.14</v>
      </c>
      <c r="G36" s="8" t="n">
        <v>3.14</v>
      </c>
      <c r="H36" s="7" t="inlineStr">
        <is>
          <t>Relatório SIEG (sem XML na pasta)</t>
        </is>
      </c>
      <c r="I36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6" s="7" t="inlineStr"/>
    </row>
    <row r="37">
      <c r="A37" s="7" t="n">
        <v>17890191</v>
      </c>
      <c r="B37" s="18" t="n">
        <v>46289</v>
      </c>
      <c r="C37" s="7" t="inlineStr">
        <is>
          <t>TEX COURIER S.A</t>
        </is>
      </c>
      <c r="D37" s="7" t="inlineStr">
        <is>
          <t>2353</t>
        </is>
      </c>
      <c r="E37" s="8" t="n">
        <v>47.65</v>
      </c>
      <c r="F37" s="8" t="n">
        <v>5.72</v>
      </c>
      <c r="G37" s="8" t="n">
        <v>5.72</v>
      </c>
      <c r="H37" s="7" t="inlineStr">
        <is>
          <t>Relatório SIEG (sem XML na pasta)</t>
        </is>
      </c>
      <c r="I37" s="7" t="inlineStr">
        <is>
          <t>COSMETICI "outra tomadora" (toma 4) do frete de vendas da GULA a consumidores (NF-e da GULA no CT-e); pago pela COSMETICI (extrato 30/09: R$ 54,83 = CT-e 36425929). Creditado como nos SPED 07 e 08/2026 (CFOP 2353/1353) - risco: frete de operação de terceiro</t>
        </is>
      </c>
      <c r="J37" s="7" t="inlineStr"/>
    </row>
    <row r="38">
      <c r="A38" s="7" t="n">
        <v>4683984</v>
      </c>
      <c r="B38" s="18" t="n">
        <v>46268</v>
      </c>
      <c r="C38" s="7" t="inlineStr">
        <is>
          <t>RODONAVES TRANSPORTES E ENCOMENDAS LTDA</t>
        </is>
      </c>
      <c r="D38" s="7" t="inlineStr">
        <is>
          <t>2352</t>
        </is>
      </c>
      <c r="E38" s="8" t="n">
        <v>0</v>
      </c>
      <c r="F38" s="8" t="n">
        <v>0</v>
      </c>
      <c r="G38" s="8" t="n">
        <v>0</v>
      </c>
      <c r="H38" s="7" t="inlineStr">
        <is>
          <t>Relatório SIEG (sem XML na pasta)</t>
        </is>
      </c>
      <c r="I38" s="7" t="inlineStr">
        <is>
          <t>CANCELADO - escriturar com situação 02 (bases zeradas, só a chave), como o CT-e 2022868 no SPED 08/2026. Substituído pelo CT-e 4687986 (mesma NF 8953)</t>
        </is>
      </c>
      <c r="J38" s="7" t="inlineStr"/>
    </row>
    <row r="39">
      <c r="A39" s="9" t="inlineStr">
        <is>
          <t>Total</t>
        </is>
      </c>
      <c r="B39" s="9" t="inlineStr"/>
      <c r="C39" s="9" t="inlineStr"/>
      <c r="D39" s="9" t="inlineStr"/>
      <c r="E39" s="10">
        <f>SUM(E4:E38)</f>
        <v/>
      </c>
      <c r="F39" s="10">
        <f>SUM(F4:F38)</f>
        <v/>
      </c>
      <c r="G39" s="10">
        <f>SUM(G4:G38)</f>
        <v/>
      </c>
      <c r="H39" s="9" t="inlineStr"/>
      <c r="I39" s="9" t="inlineStr"/>
      <c r="J3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1" customWidth="1" min="4" max="4"/>
    <col width="34" customWidth="1" min="5" max="5"/>
    <col width="16" customWidth="1" min="6" max="6"/>
    <col width="4" customWidth="1" min="7" max="7"/>
    <col width="8" customWidth="1" min="8" max="8"/>
    <col width="8" customWidth="1" min="9" max="9"/>
    <col width="10" customWidth="1" min="10" max="10"/>
    <col width="12" customWidth="1" min="11" max="11"/>
    <col width="11" customWidth="1" min="12" max="12"/>
    <col width="11" customWidth="1" min="13" max="13"/>
    <col width="10" customWidth="1" min="14" max="14"/>
    <col width="9" customWidth="1" min="15" max="15"/>
    <col width="10" customWidth="1" min="16" max="16"/>
    <col width="10" customWidth="1" min="17" max="17"/>
    <col width="14" customWidth="1" min="18" max="18"/>
    <col width="46" customWidth="1" min="19" max="19"/>
  </cols>
  <sheetData>
    <row r="1">
      <c r="A1" s="1" t="inlineStr">
        <is>
          <t>Escrituração das entradas (Domínio / SPED): uso e consumo com base e ICMS zerados; canceladas com bases zeradas e a chave</t>
        </is>
      </c>
    </row>
    <row r="2">
      <c r="A2" s="2" t="inlineStr">
        <is>
          <t>Acumulador e conta contábil: preenchidos pelo config "acumuladores_entrada" quando confirmados - nunca inventados.</t>
        </is>
      </c>
    </row>
    <row r="3">
      <c r="A3" s="4" t="inlineStr">
        <is>
          <t>Tipo</t>
        </is>
      </c>
      <c r="B3" s="4" t="inlineStr">
        <is>
          <t>Situação</t>
        </is>
      </c>
      <c r="C3" s="4" t="inlineStr">
        <is>
          <t>Número</t>
        </is>
      </c>
      <c r="D3" s="4" t="inlineStr">
        <is>
          <t>Emissão</t>
        </is>
      </c>
      <c r="E3" s="4" t="inlineStr">
        <is>
          <t>Fornecedor/Transportadora</t>
        </is>
      </c>
      <c r="F3" s="4" t="inlineStr">
        <is>
          <t>CNPJ</t>
        </is>
      </c>
      <c r="G3" s="4" t="inlineStr">
        <is>
          <t>UF</t>
        </is>
      </c>
      <c r="H3" s="4" t="inlineStr">
        <is>
          <t>CFOP entrada</t>
        </is>
      </c>
      <c r="I3" s="4" t="inlineStr">
        <is>
          <t>CST/CSOSN</t>
        </is>
      </c>
      <c r="J3" s="4" t="inlineStr">
        <is>
          <t>Natureza</t>
        </is>
      </c>
      <c r="K3" s="4" t="inlineStr">
        <is>
          <t>Valor contábil</t>
        </is>
      </c>
      <c r="L3" s="4" t="inlineStr">
        <is>
          <t>Base ICMS</t>
        </is>
      </c>
      <c r="M3" s="4" t="inlineStr">
        <is>
          <t>ICMS creditado</t>
        </is>
      </c>
      <c r="N3" s="4" t="inlineStr">
        <is>
          <t>IPI creditado</t>
        </is>
      </c>
      <c r="O3" s="4" t="inlineStr">
        <is>
          <t>DIFAL</t>
        </is>
      </c>
      <c r="P3" s="4" t="inlineStr">
        <is>
          <t>ICMS antecipado</t>
        </is>
      </c>
      <c r="Q3" s="4" t="inlineStr">
        <is>
          <t>Acumulador</t>
        </is>
      </c>
      <c r="R3" s="4" t="inlineStr">
        <is>
          <t>Conta contábil</t>
        </is>
      </c>
      <c r="S3" s="4" t="inlineStr">
        <is>
          <t>Chave</t>
        </is>
      </c>
    </row>
    <row r="4">
      <c r="A4" s="12" t="inlineStr">
        <is>
          <t>NF-e</t>
        </is>
      </c>
      <c r="B4" s="12" t="inlineStr">
        <is>
          <t>Normal</t>
        </is>
      </c>
      <c r="C4" s="12" t="n">
        <v>41731</v>
      </c>
      <c r="D4" s="17" t="n">
        <v>46266</v>
      </c>
      <c r="E4" s="12" t="inlineStr">
        <is>
          <t>DISTRIBUIDORA INDUSTRIAL PARANAENSE LTDA</t>
        </is>
      </c>
      <c r="F4" s="12" t="inlineStr">
        <is>
          <t>04993269000177</t>
        </is>
      </c>
      <c r="G4" s="12" t="inlineStr">
        <is>
          <t>PR</t>
        </is>
      </c>
      <c r="H4" s="12" t="inlineStr">
        <is>
          <t>1101</t>
        </is>
      </c>
      <c r="I4" s="12" t="inlineStr">
        <is>
          <t>51</t>
        </is>
      </c>
      <c r="J4" s="12" t="inlineStr">
        <is>
          <t>insumo</t>
        </is>
      </c>
      <c r="K4" s="14" t="n">
        <v>1870</v>
      </c>
      <c r="L4" s="14" t="n">
        <v>1870</v>
      </c>
      <c r="M4" s="14" t="n">
        <v>224.41</v>
      </c>
      <c r="N4" s="14" t="n">
        <v>0</v>
      </c>
      <c r="O4" s="14" t="n">
        <v>0</v>
      </c>
      <c r="P4" s="14" t="n">
        <v>0</v>
      </c>
      <c r="Q4" s="12" t="inlineStr">
        <is>
          <t>100</t>
        </is>
      </c>
      <c r="R4" s="12" t="n"/>
      <c r="S4" s="12" t="inlineStr">
        <is>
          <t>41260904993269000177550010000417311010503945</t>
        </is>
      </c>
    </row>
    <row r="5">
      <c r="A5" s="12" t="inlineStr">
        <is>
          <t>NF-e</t>
        </is>
      </c>
      <c r="B5" s="12" t="inlineStr">
        <is>
          <t>Normal</t>
        </is>
      </c>
      <c r="C5" s="12" t="n">
        <v>3795</v>
      </c>
      <c r="D5" s="17" t="n">
        <v>46266</v>
      </c>
      <c r="E5" s="12" t="inlineStr">
        <is>
          <t>Lunaflexo Tecnologia Adesiva Eireli</t>
        </is>
      </c>
      <c r="F5" s="12" t="inlineStr">
        <is>
          <t>06015875000143</t>
        </is>
      </c>
      <c r="G5" s="12" t="inlineStr">
        <is>
          <t>PR</t>
        </is>
      </c>
      <c r="H5" s="12" t="inlineStr">
        <is>
          <t>1101</t>
        </is>
      </c>
      <c r="I5" s="12" t="inlineStr">
        <is>
          <t>101</t>
        </is>
      </c>
      <c r="J5" s="12" t="inlineStr">
        <is>
          <t>insumo</t>
        </is>
      </c>
      <c r="K5" s="14" t="n">
        <v>3460</v>
      </c>
      <c r="L5" s="14" t="n">
        <v>3460</v>
      </c>
      <c r="M5" s="14" t="n">
        <v>98.95</v>
      </c>
      <c r="N5" s="14" t="n">
        <v>0</v>
      </c>
      <c r="O5" s="14" t="n">
        <v>0</v>
      </c>
      <c r="P5" s="14" t="n">
        <v>0</v>
      </c>
      <c r="Q5" s="12" t="inlineStr">
        <is>
          <t>100</t>
        </is>
      </c>
      <c r="R5" s="12" t="n"/>
      <c r="S5" s="12" t="inlineStr">
        <is>
          <t>41260906015875000143550010000037951000701710</t>
        </is>
      </c>
    </row>
    <row r="6">
      <c r="A6" s="12" t="inlineStr">
        <is>
          <t>NF-e</t>
        </is>
      </c>
      <c r="B6" s="12" t="inlineStr">
        <is>
          <t>Normal</t>
        </is>
      </c>
      <c r="C6" s="12" t="n">
        <v>22837</v>
      </c>
      <c r="D6" s="17" t="n">
        <v>46267</v>
      </c>
      <c r="E6" s="12" t="inlineStr">
        <is>
          <t>CARBON CIENTIFICA LTDA</t>
        </is>
      </c>
      <c r="F6" s="12" t="inlineStr">
        <is>
          <t>44114040000130</t>
        </is>
      </c>
      <c r="G6" s="12" t="inlineStr">
        <is>
          <t>PR</t>
        </is>
      </c>
      <c r="H6" s="12" t="inlineStr">
        <is>
          <t>1949</t>
        </is>
      </c>
      <c r="I6" s="12" t="inlineStr">
        <is>
          <t>00</t>
        </is>
      </c>
      <c r="J6" s="12" t="inlineStr">
        <is>
          <t>outras</t>
        </is>
      </c>
      <c r="K6" s="14" t="n">
        <v>2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2" t="inlineStr">
        <is>
          <t>155</t>
        </is>
      </c>
      <c r="R6" s="12" t="n"/>
      <c r="S6" s="12" t="inlineStr">
        <is>
          <t>41260944114040000130550010000228371000945488</t>
        </is>
      </c>
    </row>
    <row r="7">
      <c r="A7" s="16" t="inlineStr">
        <is>
          <t>NF-e</t>
        </is>
      </c>
      <c r="B7" s="16" t="inlineStr">
        <is>
          <t>Normal</t>
        </is>
      </c>
      <c r="C7" s="16" t="n">
        <v>5027</v>
      </c>
      <c r="D7" s="19" t="n">
        <v>46267</v>
      </c>
      <c r="E7" s="16" t="inlineStr">
        <is>
          <t>JOSE DOMINGOS LINARES LTDA</t>
        </is>
      </c>
      <c r="F7" s="16" t="inlineStr">
        <is>
          <t>03839251000152</t>
        </is>
      </c>
      <c r="G7" s="16" t="inlineStr">
        <is>
          <t>PR</t>
        </is>
      </c>
      <c r="H7" s="16" t="inlineStr">
        <is>
          <t>1923</t>
        </is>
      </c>
      <c r="I7" s="16" t="inlineStr">
        <is>
          <t>41</t>
        </is>
      </c>
      <c r="J7" s="16" t="inlineStr">
        <is>
          <t>remessa</t>
        </is>
      </c>
      <c r="K7" s="20" t="n">
        <v>600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16" t="inlineStr"/>
      <c r="R7" s="16" t="inlineStr"/>
      <c r="S7" s="16" t="inlineStr">
        <is>
          <t>41260903839251000152550030000050271834583570</t>
        </is>
      </c>
    </row>
    <row r="8">
      <c r="A8" s="12" t="inlineStr">
        <is>
          <t>NF-e</t>
        </is>
      </c>
      <c r="B8" s="12" t="inlineStr">
        <is>
          <t>Normal</t>
        </is>
      </c>
      <c r="C8" s="12" t="n">
        <v>160326</v>
      </c>
      <c r="D8" s="17" t="n">
        <v>46267</v>
      </c>
      <c r="E8" s="12" t="inlineStr">
        <is>
          <t>NewProv - Produtos para Laboratório Ltda</t>
        </is>
      </c>
      <c r="F8" s="12" t="inlineStr">
        <is>
          <t>73636391000109</t>
        </is>
      </c>
      <c r="G8" s="12" t="inlineStr">
        <is>
          <t>PR</t>
        </is>
      </c>
      <c r="H8" s="12" t="inlineStr">
        <is>
          <t>1556</t>
        </is>
      </c>
      <c r="I8" s="12" t="inlineStr">
        <is>
          <t>00</t>
        </is>
      </c>
      <c r="J8" s="12" t="inlineStr">
        <is>
          <t>uso</t>
        </is>
      </c>
      <c r="K8" s="14" t="n">
        <v>2248.65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2" t="inlineStr">
        <is>
          <t>104</t>
        </is>
      </c>
      <c r="R8" s="12" t="n"/>
      <c r="S8" s="12" t="inlineStr">
        <is>
          <t>41260973636391000109550010001603261915612489</t>
        </is>
      </c>
    </row>
    <row r="9">
      <c r="A9" s="12" t="inlineStr">
        <is>
          <t>NF-e</t>
        </is>
      </c>
      <c r="B9" s="12" t="inlineStr">
        <is>
          <t>Normal</t>
        </is>
      </c>
      <c r="C9" s="12" t="n">
        <v>695</v>
      </c>
      <c r="D9" s="17" t="n">
        <v>46267</v>
      </c>
      <c r="E9" s="12" t="inlineStr">
        <is>
          <t>REATEC DO BRASIL LTDA</t>
        </is>
      </c>
      <c r="F9" s="12" t="inlineStr">
        <is>
          <t>62341566000134</t>
        </is>
      </c>
      <c r="G9" s="12" t="inlineStr">
        <is>
          <t>PR</t>
        </is>
      </c>
      <c r="H9" s="12" t="inlineStr">
        <is>
          <t>1556</t>
        </is>
      </c>
      <c r="I9" s="12" t="inlineStr">
        <is>
          <t>101</t>
        </is>
      </c>
      <c r="J9" s="12" t="inlineStr">
        <is>
          <t>uso</t>
        </is>
      </c>
      <c r="K9" s="14" t="n">
        <v>3738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2" t="inlineStr">
        <is>
          <t>104</t>
        </is>
      </c>
      <c r="R9" s="12" t="n"/>
      <c r="S9" s="12" t="inlineStr">
        <is>
          <t>41260962341566000134550010000006951857187453</t>
        </is>
      </c>
    </row>
    <row r="10">
      <c r="A10" s="12" t="inlineStr">
        <is>
          <t>NF-e</t>
        </is>
      </c>
      <c r="B10" s="12" t="inlineStr">
        <is>
          <t>Normal</t>
        </is>
      </c>
      <c r="C10" s="12" t="n">
        <v>300</v>
      </c>
      <c r="D10" s="17" t="n">
        <v>46267</v>
      </c>
      <c r="E10" s="12" t="inlineStr">
        <is>
          <t>THERMOSUL RESISTENCIAS ELETRICAS LTDA</t>
        </is>
      </c>
      <c r="F10" s="12" t="inlineStr">
        <is>
          <t>66434370000145</t>
        </is>
      </c>
      <c r="G10" s="12" t="inlineStr">
        <is>
          <t>PR</t>
        </is>
      </c>
      <c r="H10" s="12" t="inlineStr">
        <is>
          <t>1556</t>
        </is>
      </c>
      <c r="I10" s="12" t="inlineStr">
        <is>
          <t>102</t>
        </is>
      </c>
      <c r="J10" s="12" t="inlineStr">
        <is>
          <t>uso</t>
        </is>
      </c>
      <c r="K10" s="14" t="n">
        <v>2592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2" t="inlineStr">
        <is>
          <t>104</t>
        </is>
      </c>
      <c r="R10" s="12" t="n"/>
      <c r="S10" s="12" t="inlineStr">
        <is>
          <t>41260966434370000145550010000003001634619321</t>
        </is>
      </c>
    </row>
    <row r="11">
      <c r="A11" s="12" t="inlineStr">
        <is>
          <t>NF-e</t>
        </is>
      </c>
      <c r="B11" s="12" t="inlineStr">
        <is>
          <t>Normal</t>
        </is>
      </c>
      <c r="C11" s="12" t="n">
        <v>786</v>
      </c>
      <c r="D11" s="17" t="n">
        <v>46267</v>
      </c>
      <c r="E11" s="12" t="inlineStr">
        <is>
          <t>YAHWEH PRINT BRASIL LTDA</t>
        </is>
      </c>
      <c r="F11" s="12" t="inlineStr">
        <is>
          <t>52680145000184</t>
        </is>
      </c>
      <c r="G11" s="12" t="inlineStr">
        <is>
          <t>PR</t>
        </is>
      </c>
      <c r="H11" s="12" t="inlineStr">
        <is>
          <t>1101</t>
        </is>
      </c>
      <c r="I11" s="12" t="inlineStr">
        <is>
          <t>102</t>
        </is>
      </c>
      <c r="J11" s="12" t="inlineStr">
        <is>
          <t>insumo</t>
        </is>
      </c>
      <c r="K11" s="14" t="n">
        <v>7052.79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2" t="inlineStr">
        <is>
          <t>100</t>
        </is>
      </c>
      <c r="R11" s="12" t="n"/>
      <c r="S11" s="12" t="inlineStr">
        <is>
          <t>41260952680145000184550010000007861702940405</t>
        </is>
      </c>
    </row>
    <row r="12">
      <c r="A12" s="12" t="inlineStr">
        <is>
          <t>NF-e</t>
        </is>
      </c>
      <c r="B12" s="12" t="inlineStr">
        <is>
          <t>Normal</t>
        </is>
      </c>
      <c r="C12" s="12" t="n">
        <v>4920</v>
      </c>
      <c r="D12" s="17" t="n">
        <v>46268</v>
      </c>
      <c r="E12" s="12" t="inlineStr">
        <is>
          <t>DISPOLI COMERCIO DE COSMETICOS LTDA</t>
        </is>
      </c>
      <c r="F12" s="12" t="inlineStr">
        <is>
          <t>41726398000125</t>
        </is>
      </c>
      <c r="G12" s="12" t="inlineStr">
        <is>
          <t>PR</t>
        </is>
      </c>
      <c r="H12" s="12" t="inlineStr">
        <is>
          <t>1556</t>
        </is>
      </c>
      <c r="I12" s="12" t="inlineStr">
        <is>
          <t>102</t>
        </is>
      </c>
      <c r="J12" s="12" t="inlineStr">
        <is>
          <t>uso</t>
        </is>
      </c>
      <c r="K12" s="14" t="n">
        <v>169.38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2" t="inlineStr">
        <is>
          <t>104</t>
        </is>
      </c>
      <c r="R12" s="12" t="n"/>
      <c r="S12" s="12" t="inlineStr">
        <is>
          <t>41260941726398000125550010000049201009949200</t>
        </is>
      </c>
    </row>
    <row r="13">
      <c r="A13" s="16" t="inlineStr">
        <is>
          <t>NF-e</t>
        </is>
      </c>
      <c r="B13" s="16" t="inlineStr">
        <is>
          <t>Normal</t>
        </is>
      </c>
      <c r="C13" s="16" t="n">
        <v>5048</v>
      </c>
      <c r="D13" s="19" t="n">
        <v>46268</v>
      </c>
      <c r="E13" s="16" t="inlineStr">
        <is>
          <t>JOSE DOMINGOS LINARES LTDA</t>
        </is>
      </c>
      <c r="F13" s="16" t="inlineStr">
        <is>
          <t>03839251000152</t>
        </is>
      </c>
      <c r="G13" s="16" t="inlineStr">
        <is>
          <t>PR</t>
        </is>
      </c>
      <c r="H13" s="16" t="inlineStr">
        <is>
          <t>1923</t>
        </is>
      </c>
      <c r="I13" s="16" t="inlineStr">
        <is>
          <t>41</t>
        </is>
      </c>
      <c r="J13" s="16" t="inlineStr">
        <is>
          <t>remessa</t>
        </is>
      </c>
      <c r="K13" s="20" t="n">
        <v>1964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16" t="inlineStr"/>
      <c r="R13" s="16" t="inlineStr"/>
      <c r="S13" s="16" t="inlineStr">
        <is>
          <t>41260903839251000152550030000050481113690367</t>
        </is>
      </c>
    </row>
    <row r="14">
      <c r="A14" s="12" t="inlineStr">
        <is>
          <t>NF-e</t>
        </is>
      </c>
      <c r="B14" s="12" t="inlineStr">
        <is>
          <t>Normal</t>
        </is>
      </c>
      <c r="C14" s="12" t="n">
        <v>2564</v>
      </c>
      <c r="D14" s="17" t="n">
        <v>46269</v>
      </c>
      <c r="E14" s="12" t="inlineStr">
        <is>
          <t>AGATHA INDUSTRIA DE MANUFATURADOS LTDA</t>
        </is>
      </c>
      <c r="F14" s="12" t="inlineStr">
        <is>
          <t>54079636000108</t>
        </is>
      </c>
      <c r="G14" s="12" t="inlineStr">
        <is>
          <t>RS</t>
        </is>
      </c>
      <c r="H14" s="12" t="inlineStr">
        <is>
          <t>2556</t>
        </is>
      </c>
      <c r="I14" s="12" t="inlineStr">
        <is>
          <t>201</t>
        </is>
      </c>
      <c r="J14" s="12" t="inlineStr">
        <is>
          <t>uso</t>
        </is>
      </c>
      <c r="K14" s="14" t="n">
        <v>924</v>
      </c>
      <c r="L14" s="14" t="n">
        <v>0</v>
      </c>
      <c r="M14" s="14" t="n">
        <v>0</v>
      </c>
      <c r="N14" s="14" t="n">
        <v>0</v>
      </c>
      <c r="O14" s="14" t="n">
        <v>86.09</v>
      </c>
      <c r="P14" s="14" t="n">
        <v>0</v>
      </c>
      <c r="Q14" s="12" t="inlineStr">
        <is>
          <t>105</t>
        </is>
      </c>
      <c r="R14" s="12" t="n"/>
      <c r="S14" s="12" t="inlineStr">
        <is>
          <t>43260954079636000108550010000025641087230517</t>
        </is>
      </c>
    </row>
    <row r="15">
      <c r="A15" s="12" t="inlineStr">
        <is>
          <t>NF-e</t>
        </is>
      </c>
      <c r="B15" s="12" t="inlineStr">
        <is>
          <t>Normal</t>
        </is>
      </c>
      <c r="C15" s="12" t="n">
        <v>5080</v>
      </c>
      <c r="D15" s="17" t="n">
        <v>46274</v>
      </c>
      <c r="E15" s="12" t="inlineStr">
        <is>
          <t>JOSE DOMINGOS LINARES LTDA</t>
        </is>
      </c>
      <c r="F15" s="12" t="inlineStr">
        <is>
          <t>03839251000152</t>
        </is>
      </c>
      <c r="G15" s="12" t="inlineStr">
        <is>
          <t>PR</t>
        </is>
      </c>
      <c r="H15" s="12" t="inlineStr">
        <is>
          <t>1924</t>
        </is>
      </c>
      <c r="I15" s="12" t="inlineStr">
        <is>
          <t>00</t>
        </is>
      </c>
      <c r="J15" s="12" t="inlineStr">
        <is>
          <t>remessa</t>
        </is>
      </c>
      <c r="K15" s="14" t="n">
        <v>5670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2" t="inlineStr">
        <is>
          <t>165</t>
        </is>
      </c>
      <c r="R15" s="12" t="n"/>
      <c r="S15" s="12" t="inlineStr">
        <is>
          <t>41260903839251000152550030000050801135229929</t>
        </is>
      </c>
    </row>
    <row r="16">
      <c r="A16" s="12" t="inlineStr">
        <is>
          <t>NF-e</t>
        </is>
      </c>
      <c r="B16" s="12" t="inlineStr">
        <is>
          <t>Normal</t>
        </is>
      </c>
      <c r="C16" s="12" t="n">
        <v>795</v>
      </c>
      <c r="D16" s="17" t="n">
        <v>46274</v>
      </c>
      <c r="E16" s="12" t="inlineStr">
        <is>
          <t>YAHWEH PRINT BRASIL LTDA</t>
        </is>
      </c>
      <c r="F16" s="12" t="inlineStr">
        <is>
          <t>52680145000184</t>
        </is>
      </c>
      <c r="G16" s="12" t="inlineStr">
        <is>
          <t>PR</t>
        </is>
      </c>
      <c r="H16" s="12" t="inlineStr">
        <is>
          <t>1101</t>
        </is>
      </c>
      <c r="I16" s="12" t="inlineStr">
        <is>
          <t>102</t>
        </is>
      </c>
      <c r="J16" s="12" t="inlineStr">
        <is>
          <t>insumo</t>
        </is>
      </c>
      <c r="K16" s="14" t="n">
        <v>4106.89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2" t="inlineStr">
        <is>
          <t>100</t>
        </is>
      </c>
      <c r="R16" s="12" t="n"/>
      <c r="S16" s="12" t="inlineStr">
        <is>
          <t>41260952680145000184550010000007951158784741</t>
        </is>
      </c>
    </row>
    <row r="17">
      <c r="A17" s="12" t="inlineStr">
        <is>
          <t>NF-e</t>
        </is>
      </c>
      <c r="B17" s="12" t="inlineStr">
        <is>
          <t>Normal</t>
        </is>
      </c>
      <c r="C17" s="12" t="n">
        <v>8099</v>
      </c>
      <c r="D17" s="17" t="n">
        <v>46279</v>
      </c>
      <c r="E17" s="12" t="inlineStr">
        <is>
          <t>BEPUMP IMPORTACAO E EXPORTACAO LTDA</t>
        </is>
      </c>
      <c r="F17" s="12" t="inlineStr">
        <is>
          <t>39237959000180</t>
        </is>
      </c>
      <c r="G17" s="12" t="inlineStr">
        <is>
          <t>SP</t>
        </is>
      </c>
      <c r="H17" s="12" t="inlineStr">
        <is>
          <t>2924</t>
        </is>
      </c>
      <c r="I17" s="12" t="inlineStr">
        <is>
          <t>101</t>
        </is>
      </c>
      <c r="J17" s="12" t="inlineStr">
        <is>
          <t>remessa</t>
        </is>
      </c>
      <c r="K17" s="14" t="n">
        <v>1408.12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2" t="inlineStr">
        <is>
          <t>164</t>
        </is>
      </c>
      <c r="R17" s="12" t="n"/>
      <c r="S17" s="12" t="inlineStr">
        <is>
          <t>35260939237959000180550010000080991000082318</t>
        </is>
      </c>
    </row>
    <row r="18">
      <c r="A18" s="12" t="inlineStr">
        <is>
          <t>NF-e</t>
        </is>
      </c>
      <c r="B18" s="12" t="inlineStr">
        <is>
          <t>Normal</t>
        </is>
      </c>
      <c r="C18" s="12" t="n">
        <v>13721</v>
      </c>
      <c r="D18" s="17" t="n">
        <v>46279</v>
      </c>
      <c r="E18" s="12" t="inlineStr">
        <is>
          <t>CAETANO PLASTICOS EMBALAGENS LTDA</t>
        </is>
      </c>
      <c r="F18" s="12" t="inlineStr">
        <is>
          <t>37295717000118</t>
        </is>
      </c>
      <c r="G18" s="12" t="inlineStr">
        <is>
          <t>PR</t>
        </is>
      </c>
      <c r="H18" s="12" t="inlineStr">
        <is>
          <t>1101</t>
        </is>
      </c>
      <c r="I18" s="12" t="inlineStr">
        <is>
          <t>102</t>
        </is>
      </c>
      <c r="J18" s="12" t="inlineStr">
        <is>
          <t>insumo</t>
        </is>
      </c>
      <c r="K18" s="14" t="n">
        <v>2286.82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2" t="inlineStr">
        <is>
          <t>100</t>
        </is>
      </c>
      <c r="R18" s="12" t="n"/>
      <c r="S18" s="12" t="inlineStr">
        <is>
          <t>41260937295717000118550010000137211931581334</t>
        </is>
      </c>
    </row>
    <row r="19">
      <c r="A19" s="12" t="inlineStr">
        <is>
          <t>NF-e</t>
        </is>
      </c>
      <c r="B19" s="12" t="inlineStr">
        <is>
          <t>Normal</t>
        </is>
      </c>
      <c r="C19" s="12" t="n">
        <v>5133</v>
      </c>
      <c r="D19" s="17" t="n">
        <v>46279</v>
      </c>
      <c r="E19" s="12" t="inlineStr">
        <is>
          <t>JOSE DOMINGOS LINARES LTDA</t>
        </is>
      </c>
      <c r="F19" s="12" t="inlineStr">
        <is>
          <t>03839251000152</t>
        </is>
      </c>
      <c r="G19" s="12" t="inlineStr">
        <is>
          <t>PR</t>
        </is>
      </c>
      <c r="H19" s="12" t="inlineStr">
        <is>
          <t>1924</t>
        </is>
      </c>
      <c r="I19" s="12" t="inlineStr">
        <is>
          <t>00</t>
        </is>
      </c>
      <c r="J19" s="12" t="inlineStr">
        <is>
          <t>remessa</t>
        </is>
      </c>
      <c r="K19" s="14" t="n">
        <v>2136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2" t="inlineStr">
        <is>
          <t>165</t>
        </is>
      </c>
      <c r="R19" s="12" t="n"/>
      <c r="S19" s="12" t="inlineStr">
        <is>
          <t>41260903839251000152550030000051331151580428</t>
        </is>
      </c>
    </row>
    <row r="20">
      <c r="A20" s="12" t="inlineStr">
        <is>
          <t>NF-e</t>
        </is>
      </c>
      <c r="B20" s="12" t="inlineStr">
        <is>
          <t>Normal</t>
        </is>
      </c>
      <c r="C20" s="12" t="n">
        <v>8112</v>
      </c>
      <c r="D20" s="17" t="n">
        <v>46279</v>
      </c>
      <c r="E20" s="12" t="inlineStr">
        <is>
          <t>OUTLET PREMIUM PACK LTDA</t>
        </is>
      </c>
      <c r="F20" s="12" t="inlineStr">
        <is>
          <t>34970658000148</t>
        </is>
      </c>
      <c r="G20" s="12" t="inlineStr">
        <is>
          <t>SP</t>
        </is>
      </c>
      <c r="H20" s="12" t="inlineStr">
        <is>
          <t>2924</t>
        </is>
      </c>
      <c r="I20" s="12" t="inlineStr">
        <is>
          <t>101</t>
        </is>
      </c>
      <c r="J20" s="12" t="inlineStr">
        <is>
          <t>remessa</t>
        </is>
      </c>
      <c r="K20" s="14" t="n">
        <v>2462.03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2" t="inlineStr">
        <is>
          <t>164</t>
        </is>
      </c>
      <c r="R20" s="12" t="n"/>
      <c r="S20" s="12" t="inlineStr">
        <is>
          <t>35260934970658000148550010000081121000087609</t>
        </is>
      </c>
    </row>
    <row r="21">
      <c r="A21" s="12" t="inlineStr">
        <is>
          <t>NF-e</t>
        </is>
      </c>
      <c r="B21" s="12" t="inlineStr">
        <is>
          <t>Normal</t>
        </is>
      </c>
      <c r="C21" s="12" t="n">
        <v>40451</v>
      </c>
      <c r="D21" s="17" t="n">
        <v>46280</v>
      </c>
      <c r="E21" s="12" t="inlineStr">
        <is>
          <t>ILS TECNOLOGIA EM EQUIP DE SEG DO TRABALHO LTDA</t>
        </is>
      </c>
      <c r="F21" s="12" t="inlineStr">
        <is>
          <t>10265455000192</t>
        </is>
      </c>
      <c r="G21" s="12" t="inlineStr">
        <is>
          <t>PR</t>
        </is>
      </c>
      <c r="H21" s="12" t="inlineStr">
        <is>
          <t>1556</t>
        </is>
      </c>
      <c r="I21" s="12" t="inlineStr">
        <is>
          <t>102</t>
        </is>
      </c>
      <c r="J21" s="12" t="inlineStr">
        <is>
          <t>uso</t>
        </is>
      </c>
      <c r="K21" s="14" t="n">
        <v>370.86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2" t="inlineStr">
        <is>
          <t>104</t>
        </is>
      </c>
      <c r="R21" s="12" t="n"/>
      <c r="S21" s="12" t="inlineStr">
        <is>
          <t>41260910265455000192550010000404511000405060</t>
        </is>
      </c>
    </row>
    <row r="22">
      <c r="A22" s="16" t="inlineStr">
        <is>
          <t>NF-e</t>
        </is>
      </c>
      <c r="B22" s="16" t="inlineStr">
        <is>
          <t>Normal</t>
        </is>
      </c>
      <c r="C22" s="16" t="n">
        <v>5162</v>
      </c>
      <c r="D22" s="19" t="n">
        <v>46280</v>
      </c>
      <c r="E22" s="16" t="inlineStr">
        <is>
          <t>JOSE DOMINGOS LINARES LTDA</t>
        </is>
      </c>
      <c r="F22" s="16" t="inlineStr">
        <is>
          <t>03839251000152</t>
        </is>
      </c>
      <c r="G22" s="16" t="inlineStr">
        <is>
          <t>PR</t>
        </is>
      </c>
      <c r="H22" s="16" t="inlineStr">
        <is>
          <t>1923</t>
        </is>
      </c>
      <c r="I22" s="16" t="inlineStr">
        <is>
          <t>41</t>
        </is>
      </c>
      <c r="J22" s="16" t="inlineStr">
        <is>
          <t>remessa</t>
        </is>
      </c>
      <c r="K22" s="20" t="n">
        <v>1112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0</v>
      </c>
      <c r="Q22" s="16" t="inlineStr"/>
      <c r="R22" s="16" t="inlineStr"/>
      <c r="S22" s="16" t="inlineStr">
        <is>
          <t>41260903839251000152550030000051621201311907</t>
        </is>
      </c>
    </row>
    <row r="23">
      <c r="A23" s="12" t="inlineStr">
        <is>
          <t>NF-e</t>
        </is>
      </c>
      <c r="B23" s="12" t="inlineStr">
        <is>
          <t>Normal</t>
        </is>
      </c>
      <c r="C23" s="12" t="n">
        <v>5170</v>
      </c>
      <c r="D23" s="17" t="n">
        <v>46281</v>
      </c>
      <c r="E23" s="12" t="inlineStr">
        <is>
          <t>JOSE DOMINGOS LINARES LTDA</t>
        </is>
      </c>
      <c r="F23" s="12" t="inlineStr">
        <is>
          <t>03839251000152</t>
        </is>
      </c>
      <c r="G23" s="12" t="inlineStr">
        <is>
          <t>PR</t>
        </is>
      </c>
      <c r="H23" s="12" t="inlineStr">
        <is>
          <t>1924</t>
        </is>
      </c>
      <c r="I23" s="12" t="inlineStr">
        <is>
          <t>41</t>
        </is>
      </c>
      <c r="J23" s="12" t="inlineStr">
        <is>
          <t>remessa</t>
        </is>
      </c>
      <c r="K23" s="14" t="n">
        <v>667.2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2" t="inlineStr">
        <is>
          <t>165</t>
        </is>
      </c>
      <c r="R23" s="12" t="n"/>
      <c r="S23" s="12" t="inlineStr">
        <is>
          <t>41260903839251000152550030000051701177572396</t>
        </is>
      </c>
    </row>
    <row r="24">
      <c r="A24" s="12" t="inlineStr">
        <is>
          <t>NF-e</t>
        </is>
      </c>
      <c r="B24" s="12" t="inlineStr">
        <is>
          <t>Normal</t>
        </is>
      </c>
      <c r="C24" s="12" t="n">
        <v>418</v>
      </c>
      <c r="D24" s="17" t="n">
        <v>46281</v>
      </c>
      <c r="E24" s="12" t="inlineStr">
        <is>
          <t>SAVATEC COMERCIO E SERVICOS LTDA</t>
        </is>
      </c>
      <c r="F24" s="12" t="inlineStr">
        <is>
          <t>59087034000108</t>
        </is>
      </c>
      <c r="G24" s="12" t="inlineStr">
        <is>
          <t>PR</t>
        </is>
      </c>
      <c r="H24" s="12" t="inlineStr">
        <is>
          <t>1556</t>
        </is>
      </c>
      <c r="I24" s="12" t="inlineStr">
        <is>
          <t>103</t>
        </is>
      </c>
      <c r="J24" s="12" t="inlineStr">
        <is>
          <t>uso</t>
        </is>
      </c>
      <c r="K24" s="14" t="n">
        <v>1320.74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2" t="inlineStr">
        <is>
          <t>104</t>
        </is>
      </c>
      <c r="R24" s="12" t="n"/>
      <c r="S24" s="12" t="inlineStr">
        <is>
          <t>41260959087034000108550010000004181258202600</t>
        </is>
      </c>
    </row>
    <row r="25">
      <c r="A25" s="12" t="inlineStr">
        <is>
          <t>NF-e</t>
        </is>
      </c>
      <c r="B25" s="12" t="inlineStr">
        <is>
          <t>Normal</t>
        </is>
      </c>
      <c r="C25" s="12" t="n">
        <v>30338</v>
      </c>
      <c r="D25" s="17" t="n">
        <v>46282</v>
      </c>
      <c r="E25" s="12" t="inlineStr">
        <is>
          <t>ALTEC IND.COM.IMP.E EXP.LTDA.</t>
        </is>
      </c>
      <c r="F25" s="12" t="inlineStr">
        <is>
          <t>67598292000187</t>
        </is>
      </c>
      <c r="G25" s="12" t="inlineStr">
        <is>
          <t>SP</t>
        </is>
      </c>
      <c r="H25" s="12" t="inlineStr">
        <is>
          <t>2101</t>
        </is>
      </c>
      <c r="I25" s="12" t="inlineStr">
        <is>
          <t>00</t>
        </is>
      </c>
      <c r="J25" s="12" t="inlineStr">
        <is>
          <t>insumo</t>
        </is>
      </c>
      <c r="K25" s="14" t="n">
        <v>2506.56</v>
      </c>
      <c r="L25" s="14" t="n">
        <v>2506.56</v>
      </c>
      <c r="M25" s="14" t="n">
        <v>300.79</v>
      </c>
      <c r="N25" s="14" t="n">
        <v>0</v>
      </c>
      <c r="O25" s="14" t="n">
        <v>0</v>
      </c>
      <c r="P25" s="14" t="n">
        <v>0</v>
      </c>
      <c r="Q25" s="12" t="inlineStr">
        <is>
          <t>101</t>
        </is>
      </c>
      <c r="R25" s="12" t="n"/>
      <c r="S25" s="12" t="inlineStr">
        <is>
          <t>35260967598292000187550010000303381000323387</t>
        </is>
      </c>
    </row>
    <row r="26">
      <c r="A26" s="12" t="inlineStr">
        <is>
          <t>NF-e</t>
        </is>
      </c>
      <c r="B26" s="12" t="inlineStr">
        <is>
          <t>Normal</t>
        </is>
      </c>
      <c r="C26" s="12" t="n">
        <v>23127</v>
      </c>
      <c r="D26" s="17" t="n">
        <v>46282</v>
      </c>
      <c r="E26" s="12" t="inlineStr">
        <is>
          <t>CARBON CIENTIFICA LTDA</t>
        </is>
      </c>
      <c r="F26" s="12" t="inlineStr">
        <is>
          <t>44114040000130</t>
        </is>
      </c>
      <c r="G26" s="12" t="inlineStr">
        <is>
          <t>PR</t>
        </is>
      </c>
      <c r="H26" s="12" t="inlineStr">
        <is>
          <t>1949</t>
        </is>
      </c>
      <c r="I26" s="12" t="inlineStr">
        <is>
          <t>00</t>
        </is>
      </c>
      <c r="J26" s="12" t="inlineStr">
        <is>
          <t>outras</t>
        </is>
      </c>
      <c r="K26" s="14" t="n">
        <v>1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2" t="inlineStr">
        <is>
          <t>155</t>
        </is>
      </c>
      <c r="R26" s="12" t="n"/>
      <c r="S26" s="12" t="inlineStr">
        <is>
          <t>41260944114040000130550010000231271000948452</t>
        </is>
      </c>
    </row>
    <row r="27">
      <c r="A27" s="12" t="inlineStr">
        <is>
          <t>NF-e</t>
        </is>
      </c>
      <c r="B27" s="12" t="inlineStr">
        <is>
          <t>Normal</t>
        </is>
      </c>
      <c r="C27" s="12" t="n">
        <v>6782</v>
      </c>
      <c r="D27" s="17" t="n">
        <v>46282</v>
      </c>
      <c r="E27" s="12" t="inlineStr">
        <is>
          <t>ELLOLIMP COMERCIO DE PRODUTOS DE HIGIENE E LIMPEZA LTDA</t>
        </is>
      </c>
      <c r="F27" s="12" t="inlineStr">
        <is>
          <t>49547438000183</t>
        </is>
      </c>
      <c r="G27" s="12" t="inlineStr">
        <is>
          <t>PR</t>
        </is>
      </c>
      <c r="H27" s="12" t="inlineStr">
        <is>
          <t>1556</t>
        </is>
      </c>
      <c r="I27" s="12" t="inlineStr">
        <is>
          <t>00</t>
        </is>
      </c>
      <c r="J27" s="12" t="inlineStr">
        <is>
          <t>uso</t>
        </is>
      </c>
      <c r="K27" s="14" t="n">
        <v>833.9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2" t="inlineStr">
        <is>
          <t>104</t>
        </is>
      </c>
      <c r="R27" s="12" t="n"/>
      <c r="S27" s="12" t="inlineStr">
        <is>
          <t>41260949547438000183550010000067821963905200</t>
        </is>
      </c>
    </row>
    <row r="28">
      <c r="A28" s="12" t="inlineStr">
        <is>
          <t>NF-e</t>
        </is>
      </c>
      <c r="B28" s="12" t="inlineStr">
        <is>
          <t>Normal</t>
        </is>
      </c>
      <c r="C28" s="12" t="n">
        <v>814</v>
      </c>
      <c r="D28" s="17" t="n">
        <v>46282</v>
      </c>
      <c r="E28" s="12" t="inlineStr">
        <is>
          <t>YAHWEH PRINT BRASIL LTDA</t>
        </is>
      </c>
      <c r="F28" s="12" t="inlineStr">
        <is>
          <t>52680145000184</t>
        </is>
      </c>
      <c r="G28" s="12" t="inlineStr">
        <is>
          <t>PR</t>
        </is>
      </c>
      <c r="H28" s="12" t="inlineStr">
        <is>
          <t>1101</t>
        </is>
      </c>
      <c r="I28" s="12" t="inlineStr">
        <is>
          <t>102</t>
        </is>
      </c>
      <c r="J28" s="12" t="inlineStr">
        <is>
          <t>insumo</t>
        </is>
      </c>
      <c r="K28" s="14" t="n">
        <v>273.5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2" t="inlineStr">
        <is>
          <t>100</t>
        </is>
      </c>
      <c r="R28" s="12" t="n"/>
      <c r="S28" s="12" t="inlineStr">
        <is>
          <t>41260952680145000184550010000008141610067850</t>
        </is>
      </c>
    </row>
    <row r="29">
      <c r="A29" s="12" t="inlineStr">
        <is>
          <t>NF-e</t>
        </is>
      </c>
      <c r="B29" s="12" t="inlineStr">
        <is>
          <t>Normal</t>
        </is>
      </c>
      <c r="C29" s="12" t="n">
        <v>17187</v>
      </c>
      <c r="D29" s="17" t="n">
        <v>46283</v>
      </c>
      <c r="E29" s="12" t="inlineStr">
        <is>
          <t>ONIXSUL COSMETICOS</t>
        </is>
      </c>
      <c r="F29" s="12" t="inlineStr">
        <is>
          <t>18074269000188</t>
        </is>
      </c>
      <c r="G29" s="12" t="inlineStr">
        <is>
          <t>PR</t>
        </is>
      </c>
      <c r="H29" s="12" t="inlineStr">
        <is>
          <t>1901</t>
        </is>
      </c>
      <c r="I29" s="12" t="inlineStr">
        <is>
          <t>400</t>
        </is>
      </c>
      <c r="J29" s="12" t="inlineStr">
        <is>
          <t>remessa</t>
        </is>
      </c>
      <c r="K29" s="14" t="n">
        <v>5700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2" t="inlineStr">
        <is>
          <t>149</t>
        </is>
      </c>
      <c r="R29" s="12" t="n"/>
      <c r="S29" s="12" t="inlineStr">
        <is>
          <t>41260918074269000188550010000171871932036922</t>
        </is>
      </c>
    </row>
    <row r="30">
      <c r="A30" s="12" t="inlineStr">
        <is>
          <t>NF-e</t>
        </is>
      </c>
      <c r="B30" s="12" t="inlineStr">
        <is>
          <t>Normal</t>
        </is>
      </c>
      <c r="C30" s="12" t="n">
        <v>3214</v>
      </c>
      <c r="D30" s="17" t="n">
        <v>46283</v>
      </c>
      <c r="E30" s="12" t="inlineStr">
        <is>
          <t>Sul Tape Comercio de Embalagens EIRELI</t>
        </is>
      </c>
      <c r="F30" s="12" t="inlineStr">
        <is>
          <t>25141658000144</t>
        </is>
      </c>
      <c r="G30" s="12" t="inlineStr">
        <is>
          <t>PR</t>
        </is>
      </c>
      <c r="H30" s="12" t="inlineStr">
        <is>
          <t>1556</t>
        </is>
      </c>
      <c r="I30" s="12" t="inlineStr">
        <is>
          <t>103</t>
        </is>
      </c>
      <c r="J30" s="12" t="inlineStr">
        <is>
          <t>uso</t>
        </is>
      </c>
      <c r="K30" s="14" t="n">
        <v>1140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2" t="inlineStr">
        <is>
          <t>104</t>
        </is>
      </c>
      <c r="R30" s="12" t="n"/>
      <c r="S30" s="12" t="inlineStr">
        <is>
          <t>41260925141658000144550020000032141236266620</t>
        </is>
      </c>
    </row>
    <row r="31">
      <c r="A31" s="12" t="inlineStr">
        <is>
          <t>NF-e</t>
        </is>
      </c>
      <c r="B31" s="12" t="inlineStr">
        <is>
          <t>Normal</t>
        </is>
      </c>
      <c r="C31" s="12" t="n">
        <v>4551</v>
      </c>
      <c r="D31" s="17" t="n">
        <v>46286</v>
      </c>
      <c r="E31" s="12" t="inlineStr">
        <is>
          <t>BB COSMETICOS LTDA</t>
        </is>
      </c>
      <c r="F31" s="12" t="inlineStr">
        <is>
          <t>21822008000103</t>
        </is>
      </c>
      <c r="G31" s="12" t="inlineStr">
        <is>
          <t>PR</t>
        </is>
      </c>
      <c r="H31" s="12" t="inlineStr">
        <is>
          <t>1901</t>
        </is>
      </c>
      <c r="I31" s="12" t="inlineStr">
        <is>
          <t>500</t>
        </is>
      </c>
      <c r="J31" s="12" t="inlineStr">
        <is>
          <t>remessa</t>
        </is>
      </c>
      <c r="K31" s="14" t="n">
        <v>65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2" t="inlineStr">
        <is>
          <t>149</t>
        </is>
      </c>
      <c r="R31" s="12" t="n"/>
      <c r="S31" s="12" t="inlineStr">
        <is>
          <t>41260921822008000103550020000045511028307079</t>
        </is>
      </c>
    </row>
    <row r="32">
      <c r="A32" s="12" t="inlineStr">
        <is>
          <t>NF-e</t>
        </is>
      </c>
      <c r="B32" s="12" t="inlineStr">
        <is>
          <t>Normal</t>
        </is>
      </c>
      <c r="C32" s="12" t="n">
        <v>117690</v>
      </c>
      <c r="D32" s="17" t="n">
        <v>46286</v>
      </c>
      <c r="E32" s="12" t="inlineStr">
        <is>
          <t>BISPHARMA EMBALAGENS LTDA</t>
        </is>
      </c>
      <c r="F32" s="12" t="inlineStr">
        <is>
          <t>59610485000188</t>
        </is>
      </c>
      <c r="G32" s="12" t="inlineStr">
        <is>
          <t>SP</t>
        </is>
      </c>
      <c r="H32" s="12" t="inlineStr">
        <is>
          <t>2101</t>
        </is>
      </c>
      <c r="I32" s="12" t="inlineStr">
        <is>
          <t>00</t>
        </is>
      </c>
      <c r="J32" s="12" t="inlineStr">
        <is>
          <t>insumo</t>
        </is>
      </c>
      <c r="K32" s="14" t="n">
        <v>26515.5</v>
      </c>
      <c r="L32" s="14" t="n">
        <v>24897.18</v>
      </c>
      <c r="M32" s="14" t="n">
        <v>2987.66</v>
      </c>
      <c r="N32" s="14" t="n">
        <v>1618.32</v>
      </c>
      <c r="O32" s="14" t="n">
        <v>0</v>
      </c>
      <c r="P32" s="14" t="n">
        <v>0</v>
      </c>
      <c r="Q32" s="12" t="inlineStr">
        <is>
          <t>101</t>
        </is>
      </c>
      <c r="R32" s="12" t="n"/>
      <c r="S32" s="12" t="inlineStr">
        <is>
          <t>35260959610485000188550050001176901971337303</t>
        </is>
      </c>
    </row>
    <row r="33">
      <c r="A33" s="12" t="inlineStr">
        <is>
          <t>NF-e</t>
        </is>
      </c>
      <c r="B33" s="12" t="inlineStr">
        <is>
          <t>Normal</t>
        </is>
      </c>
      <c r="C33" s="12" t="n">
        <v>5233</v>
      </c>
      <c r="D33" s="17" t="n">
        <v>46286</v>
      </c>
      <c r="E33" s="12" t="inlineStr">
        <is>
          <t>JOSE DOMINGOS LINARES LTDA</t>
        </is>
      </c>
      <c r="F33" s="12" t="inlineStr">
        <is>
          <t>03839251000152</t>
        </is>
      </c>
      <c r="G33" s="12" t="inlineStr">
        <is>
          <t>PR</t>
        </is>
      </c>
      <c r="H33" s="12" t="inlineStr">
        <is>
          <t>1924</t>
        </is>
      </c>
      <c r="I33" s="12" t="inlineStr">
        <is>
          <t>41</t>
        </is>
      </c>
      <c r="J33" s="12" t="inlineStr">
        <is>
          <t>remessa</t>
        </is>
      </c>
      <c r="K33" s="14" t="n">
        <v>2420.01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2" t="inlineStr">
        <is>
          <t>165</t>
        </is>
      </c>
      <c r="R33" s="12" t="n"/>
      <c r="S33" s="12" t="inlineStr">
        <is>
          <t>41260903839251000152550030000052331135756040</t>
        </is>
      </c>
    </row>
    <row r="34">
      <c r="A34" s="12" t="inlineStr">
        <is>
          <t>NF-e</t>
        </is>
      </c>
      <c r="B34" s="12" t="inlineStr">
        <is>
          <t>Normal</t>
        </is>
      </c>
      <c r="C34" s="12" t="n">
        <v>5235</v>
      </c>
      <c r="D34" s="17" t="n">
        <v>46286</v>
      </c>
      <c r="E34" s="12" t="inlineStr">
        <is>
          <t>JOSE DOMINGOS LINARES LTDA</t>
        </is>
      </c>
      <c r="F34" s="12" t="inlineStr">
        <is>
          <t>03839251000152</t>
        </is>
      </c>
      <c r="G34" s="12" t="inlineStr">
        <is>
          <t>PR</t>
        </is>
      </c>
      <c r="H34" s="12" t="inlineStr">
        <is>
          <t>1924</t>
        </is>
      </c>
      <c r="I34" s="12" t="inlineStr">
        <is>
          <t>00</t>
        </is>
      </c>
      <c r="J34" s="12" t="inlineStr">
        <is>
          <t>remessa</t>
        </is>
      </c>
      <c r="K34" s="14" t="n">
        <v>1760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2" t="inlineStr">
        <is>
          <t>165</t>
        </is>
      </c>
      <c r="R34" s="12" t="n"/>
      <c r="S34" s="12" t="inlineStr">
        <is>
          <t>41260903839251000152550030000052351191452986</t>
        </is>
      </c>
    </row>
    <row r="35">
      <c r="A35" s="12" t="inlineStr">
        <is>
          <t>NF-e</t>
        </is>
      </c>
      <c r="B35" s="12" t="inlineStr">
        <is>
          <t>Normal</t>
        </is>
      </c>
      <c r="C35" s="12" t="n">
        <v>55874</v>
      </c>
      <c r="D35" s="17" t="n">
        <v>46286</v>
      </c>
      <c r="E35" s="12" t="inlineStr">
        <is>
          <t>Mix Perfumaria</t>
        </is>
      </c>
      <c r="F35" s="12" t="inlineStr">
        <is>
          <t>06237330000181</t>
        </is>
      </c>
      <c r="G35" s="12" t="inlineStr">
        <is>
          <t>PR</t>
        </is>
      </c>
      <c r="H35" s="12" t="inlineStr">
        <is>
          <t>1901</t>
        </is>
      </c>
      <c r="I35" s="12" t="inlineStr">
        <is>
          <t>90</t>
        </is>
      </c>
      <c r="J35" s="12" t="inlineStr">
        <is>
          <t>remessa</t>
        </is>
      </c>
      <c r="K35" s="14" t="n">
        <v>600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2" t="inlineStr">
        <is>
          <t>149</t>
        </is>
      </c>
      <c r="R35" s="12" t="n"/>
      <c r="S35" s="12" t="inlineStr">
        <is>
          <t>41260906237330000181550010000558741118273450</t>
        </is>
      </c>
    </row>
    <row r="36">
      <c r="A36" s="12" t="inlineStr">
        <is>
          <t>NF-e</t>
        </is>
      </c>
      <c r="B36" s="12" t="inlineStr">
        <is>
          <t>Normal</t>
        </is>
      </c>
      <c r="C36" s="12" t="n">
        <v>275966</v>
      </c>
      <c r="D36" s="17" t="n">
        <v>46287</v>
      </c>
      <c r="E36" s="12" t="inlineStr">
        <is>
          <t>MCASSAB COMERCIO E INDUSTRIA LTDA</t>
        </is>
      </c>
      <c r="F36" s="12" t="inlineStr">
        <is>
          <t>49698723003110</t>
        </is>
      </c>
      <c r="G36" s="12" t="inlineStr">
        <is>
          <t>SP</t>
        </is>
      </c>
      <c r="H36" s="12" t="inlineStr">
        <is>
          <t>2101</t>
        </is>
      </c>
      <c r="I36" s="12" t="inlineStr">
        <is>
          <t>00</t>
        </is>
      </c>
      <c r="J36" s="12" t="inlineStr">
        <is>
          <t>insumo</t>
        </is>
      </c>
      <c r="K36" s="14" t="n">
        <v>3873.74</v>
      </c>
      <c r="L36" s="14" t="n">
        <v>3873.74</v>
      </c>
      <c r="M36" s="14" t="n">
        <v>154.95</v>
      </c>
      <c r="N36" s="14" t="n">
        <v>0</v>
      </c>
      <c r="O36" s="14" t="n">
        <v>0</v>
      </c>
      <c r="P36" s="14" t="n">
        <v>309.9</v>
      </c>
      <c r="Q36" s="12" t="inlineStr">
        <is>
          <t>101</t>
        </is>
      </c>
      <c r="R36" s="12" t="n"/>
      <c r="S36" s="12" t="inlineStr">
        <is>
          <t>35260949698723003110550550002759661838341135</t>
        </is>
      </c>
    </row>
    <row r="37">
      <c r="A37" s="12" t="inlineStr">
        <is>
          <t>NF-e</t>
        </is>
      </c>
      <c r="B37" s="12" t="inlineStr">
        <is>
          <t>Normal</t>
        </is>
      </c>
      <c r="C37" s="12" t="n">
        <v>48241</v>
      </c>
      <c r="D37" s="17" t="n">
        <v>46288</v>
      </c>
      <c r="E37" s="12" t="inlineStr">
        <is>
          <t>HS INKLASER LTDA</t>
        </is>
      </c>
      <c r="F37" s="12" t="inlineStr">
        <is>
          <t>18858535000163</t>
        </is>
      </c>
      <c r="G37" s="12" t="inlineStr">
        <is>
          <t>SP</t>
        </is>
      </c>
      <c r="H37" s="12" t="inlineStr">
        <is>
          <t>2101</t>
        </is>
      </c>
      <c r="I37" s="12" t="inlineStr">
        <is>
          <t>00</t>
        </is>
      </c>
      <c r="J37" s="12" t="inlineStr">
        <is>
          <t>insumo</t>
        </is>
      </c>
      <c r="K37" s="14" t="n">
        <v>1074.5</v>
      </c>
      <c r="L37" s="14" t="n">
        <v>1042.55</v>
      </c>
      <c r="M37" s="14" t="n">
        <v>125.11</v>
      </c>
      <c r="N37" s="14" t="n">
        <v>31.95</v>
      </c>
      <c r="O37" s="14" t="n">
        <v>0</v>
      </c>
      <c r="P37" s="14" t="n">
        <v>0</v>
      </c>
      <c r="Q37" s="12" t="inlineStr">
        <is>
          <t>101</t>
        </is>
      </c>
      <c r="R37" s="12" t="n"/>
      <c r="S37" s="12" t="inlineStr">
        <is>
          <t>35260918858535000163550010000482411465753374</t>
        </is>
      </c>
    </row>
    <row r="38">
      <c r="A38" s="12" t="inlineStr">
        <is>
          <t>NF-e</t>
        </is>
      </c>
      <c r="B38" s="12" t="inlineStr">
        <is>
          <t>Normal</t>
        </is>
      </c>
      <c r="C38" s="12" t="n">
        <v>14838</v>
      </c>
      <c r="D38" s="17" t="n">
        <v>46288</v>
      </c>
      <c r="E38" s="12" t="inlineStr">
        <is>
          <t>Mix Cosmeticos Ltda</t>
        </is>
      </c>
      <c r="F38" s="12" t="inlineStr">
        <is>
          <t>27697083000176</t>
        </is>
      </c>
      <c r="G38" s="12" t="inlineStr">
        <is>
          <t>MS</t>
        </is>
      </c>
      <c r="H38" s="12" t="inlineStr">
        <is>
          <t>2901</t>
        </is>
      </c>
      <c r="I38" s="12" t="inlineStr">
        <is>
          <t>90</t>
        </is>
      </c>
      <c r="J38" s="12" t="inlineStr">
        <is>
          <t>remessa</t>
        </is>
      </c>
      <c r="K38" s="14" t="n">
        <v>948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2" t="inlineStr">
        <is>
          <t>144</t>
        </is>
      </c>
      <c r="R38" s="12" t="n"/>
      <c r="S38" s="12" t="inlineStr">
        <is>
          <t>50260927697083000176550010000148381118293998</t>
        </is>
      </c>
    </row>
    <row r="39">
      <c r="A39" s="12" t="inlineStr">
        <is>
          <t>NF-e</t>
        </is>
      </c>
      <c r="B39" s="12" t="inlineStr">
        <is>
          <t>Normal</t>
        </is>
      </c>
      <c r="C39" s="12" t="n">
        <v>55913</v>
      </c>
      <c r="D39" s="17" t="n">
        <v>46288</v>
      </c>
      <c r="E39" s="12" t="inlineStr">
        <is>
          <t>Mix Perfumaria</t>
        </is>
      </c>
      <c r="F39" s="12" t="inlineStr">
        <is>
          <t>06237330000181</t>
        </is>
      </c>
      <c r="G39" s="12" t="inlineStr">
        <is>
          <t>PR</t>
        </is>
      </c>
      <c r="H39" s="12" t="inlineStr">
        <is>
          <t>1901</t>
        </is>
      </c>
      <c r="I39" s="12" t="inlineStr">
        <is>
          <t>90</t>
        </is>
      </c>
      <c r="J39" s="12" t="inlineStr">
        <is>
          <t>remessa</t>
        </is>
      </c>
      <c r="K39" s="14" t="n">
        <v>556.5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2" t="inlineStr">
        <is>
          <t>149</t>
        </is>
      </c>
      <c r="R39" s="12" t="n"/>
      <c r="S39" s="12" t="inlineStr">
        <is>
          <t>41260906237330000181550010000559131118294105</t>
        </is>
      </c>
    </row>
    <row r="40">
      <c r="A40" s="12" t="inlineStr">
        <is>
          <t>NF-e</t>
        </is>
      </c>
      <c r="B40" s="12" t="inlineStr">
        <is>
          <t>Normal</t>
        </is>
      </c>
      <c r="C40" s="12" t="n">
        <v>141811</v>
      </c>
      <c r="D40" s="17" t="n">
        <v>46288</v>
      </c>
      <c r="E40" s="12" t="inlineStr">
        <is>
          <t>SCENTEC ESSENCIAS E FRAGRANCIAS LTDA</t>
        </is>
      </c>
      <c r="F40" s="12" t="inlineStr">
        <is>
          <t>62514971000107</t>
        </is>
      </c>
      <c r="G40" s="12" t="inlineStr">
        <is>
          <t>SP</t>
        </is>
      </c>
      <c r="H40" s="12" t="inlineStr">
        <is>
          <t>2101</t>
        </is>
      </c>
      <c r="I40" s="12" t="inlineStr">
        <is>
          <t>00</t>
        </is>
      </c>
      <c r="J40" s="12" t="inlineStr">
        <is>
          <t>insumo</t>
        </is>
      </c>
      <c r="K40" s="14" t="n">
        <v>4794.99</v>
      </c>
      <c r="L40" s="14" t="n">
        <v>4644.06</v>
      </c>
      <c r="M40" s="14" t="n">
        <v>557.29</v>
      </c>
      <c r="N40" s="14" t="n">
        <v>150.93</v>
      </c>
      <c r="O40" s="14" t="n">
        <v>0</v>
      </c>
      <c r="P40" s="14" t="n">
        <v>0</v>
      </c>
      <c r="Q40" s="12" t="inlineStr">
        <is>
          <t>101</t>
        </is>
      </c>
      <c r="R40" s="12" t="n"/>
      <c r="S40" s="12" t="inlineStr">
        <is>
          <t>35260962514971000107550010001418111026832844</t>
        </is>
      </c>
    </row>
    <row r="41">
      <c r="A41" s="12" t="inlineStr">
        <is>
          <t>NF-e</t>
        </is>
      </c>
      <c r="B41" s="12" t="inlineStr">
        <is>
          <t>Normal</t>
        </is>
      </c>
      <c r="C41" s="12" t="n">
        <v>391</v>
      </c>
      <c r="D41" s="17" t="n">
        <v>46293</v>
      </c>
      <c r="E41" s="12" t="inlineStr">
        <is>
          <t>CHEMYUNION LTDA</t>
        </is>
      </c>
      <c r="F41" s="12" t="inlineStr">
        <is>
          <t>58309709000820</t>
        </is>
      </c>
      <c r="G41" s="12" t="inlineStr">
        <is>
          <t>MG</t>
        </is>
      </c>
      <c r="H41" s="12" t="inlineStr">
        <is>
          <t>2949</t>
        </is>
      </c>
      <c r="I41" s="12" t="inlineStr"/>
      <c r="J41" s="12" t="inlineStr">
        <is>
          <t>financeiro</t>
        </is>
      </c>
      <c r="K41" s="14" t="n">
        <v>8472.040000000001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2" t="inlineStr">
        <is>
          <t>155</t>
        </is>
      </c>
      <c r="R41" s="12" t="n"/>
      <c r="S41" s="12" t="inlineStr">
        <is>
          <t>31260958309709000820550070000003911550019201</t>
        </is>
      </c>
    </row>
    <row r="42">
      <c r="A42" s="12" t="inlineStr">
        <is>
          <t>NF-e</t>
        </is>
      </c>
      <c r="B42" s="12" t="inlineStr">
        <is>
          <t>Normal</t>
        </is>
      </c>
      <c r="C42" s="12" t="n">
        <v>392</v>
      </c>
      <c r="D42" s="17" t="n">
        <v>46294</v>
      </c>
      <c r="E42" s="12" t="inlineStr">
        <is>
          <t>CHEMYUNION LTDA</t>
        </is>
      </c>
      <c r="F42" s="12" t="inlineStr">
        <is>
          <t>58309709000820</t>
        </is>
      </c>
      <c r="G42" s="12" t="inlineStr">
        <is>
          <t>MG</t>
        </is>
      </c>
      <c r="H42" s="12" t="inlineStr">
        <is>
          <t>2949</t>
        </is>
      </c>
      <c r="I42" s="12" t="inlineStr"/>
      <c r="J42" s="12" t="inlineStr">
        <is>
          <t>financeiro</t>
        </is>
      </c>
      <c r="K42" s="14" t="n">
        <v>275.34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2" t="inlineStr">
        <is>
          <t>155</t>
        </is>
      </c>
      <c r="R42" s="12" t="n"/>
      <c r="S42" s="12" t="inlineStr">
        <is>
          <t>31260958309709000820550070000003921611175930</t>
        </is>
      </c>
    </row>
    <row r="43">
      <c r="A43" s="12" t="inlineStr">
        <is>
          <t>NF-e</t>
        </is>
      </c>
      <c r="B43" s="12" t="inlineStr">
        <is>
          <t>Normal</t>
        </is>
      </c>
      <c r="C43" s="12" t="n">
        <v>19303</v>
      </c>
      <c r="D43" s="17" t="n">
        <v>46294</v>
      </c>
      <c r="E43" s="12" t="inlineStr">
        <is>
          <t>CHEMYUNION LTDA</t>
        </is>
      </c>
      <c r="F43" s="12" t="inlineStr">
        <is>
          <t>58309709000820</t>
        </is>
      </c>
      <c r="G43" s="12" t="inlineStr">
        <is>
          <t>MG</t>
        </is>
      </c>
      <c r="H43" s="12" t="inlineStr">
        <is>
          <t>2101</t>
        </is>
      </c>
      <c r="I43" s="12" t="inlineStr">
        <is>
          <t>00</t>
        </is>
      </c>
      <c r="J43" s="12" t="inlineStr">
        <is>
          <t>insumo</t>
        </is>
      </c>
      <c r="K43" s="14" t="n">
        <v>8747.379999999999</v>
      </c>
      <c r="L43" s="14" t="n">
        <v>8472.040000000001</v>
      </c>
      <c r="M43" s="14" t="n">
        <v>1016.64</v>
      </c>
      <c r="N43" s="14" t="n">
        <v>275.34</v>
      </c>
      <c r="O43" s="14" t="n">
        <v>0</v>
      </c>
      <c r="P43" s="14" t="n">
        <v>0</v>
      </c>
      <c r="Q43" s="12" t="inlineStr">
        <is>
          <t>101</t>
        </is>
      </c>
      <c r="R43" s="12" t="n"/>
      <c r="S43" s="12" t="inlineStr">
        <is>
          <t>31260958309709000820550020000193031662295529</t>
        </is>
      </c>
    </row>
    <row r="44">
      <c r="A44" s="12" t="inlineStr">
        <is>
          <t>NF-e</t>
        </is>
      </c>
      <c r="B44" s="12" t="inlineStr">
        <is>
          <t>Normal</t>
        </is>
      </c>
      <c r="C44" s="12" t="n">
        <v>222098</v>
      </c>
      <c r="D44" s="17" t="n">
        <v>46294</v>
      </c>
      <c r="E44" s="12" t="inlineStr">
        <is>
          <t>FARMANILQUIMA COM. ANILINAS E PRODS.QUIM.LTDA</t>
        </is>
      </c>
      <c r="F44" s="12" t="inlineStr">
        <is>
          <t>76509488000149</t>
        </is>
      </c>
      <c r="G44" s="12" t="inlineStr">
        <is>
          <t>PR</t>
        </is>
      </c>
      <c r="H44" s="12" t="inlineStr">
        <is>
          <t>1101</t>
        </is>
      </c>
      <c r="I44" s="12" t="inlineStr">
        <is>
          <t>102</t>
        </is>
      </c>
      <c r="J44" s="12" t="inlineStr">
        <is>
          <t>insumo</t>
        </is>
      </c>
      <c r="K44" s="14" t="n">
        <v>200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2" t="inlineStr">
        <is>
          <t>100</t>
        </is>
      </c>
      <c r="R44" s="12" t="n"/>
      <c r="S44" s="12" t="inlineStr">
        <is>
          <t>41260976509488000149550010002220981017634246</t>
        </is>
      </c>
    </row>
    <row r="45">
      <c r="A45" s="12" t="inlineStr">
        <is>
          <t>NF-e</t>
        </is>
      </c>
      <c r="B45" s="12" t="inlineStr">
        <is>
          <t>Normal</t>
        </is>
      </c>
      <c r="C45" s="12" t="n">
        <v>5382</v>
      </c>
      <c r="D45" s="17" t="n">
        <v>46294</v>
      </c>
      <c r="E45" s="12" t="inlineStr">
        <is>
          <t>JOSE DOMINGOS LINARES LTDA</t>
        </is>
      </c>
      <c r="F45" s="12" t="inlineStr">
        <is>
          <t>03839251000152</t>
        </is>
      </c>
      <c r="G45" s="12" t="inlineStr">
        <is>
          <t>PR</t>
        </is>
      </c>
      <c r="H45" s="12" t="inlineStr">
        <is>
          <t>1949</t>
        </is>
      </c>
      <c r="I45" s="12" t="inlineStr">
        <is>
          <t>41</t>
        </is>
      </c>
      <c r="J45" s="12" t="inlineStr">
        <is>
          <t>outras</t>
        </is>
      </c>
      <c r="K45" s="14" t="n">
        <v>1893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2" t="inlineStr">
        <is>
          <t>155</t>
        </is>
      </c>
      <c r="R45" s="12" t="n"/>
      <c r="S45" s="12" t="inlineStr">
        <is>
          <t>41260903839251000152550030000053821102007626</t>
        </is>
      </c>
    </row>
    <row r="46">
      <c r="A46" s="12" t="inlineStr">
        <is>
          <t>NF-e</t>
        </is>
      </c>
      <c r="B46" s="12" t="inlineStr">
        <is>
          <t>Normal</t>
        </is>
      </c>
      <c r="C46" s="12" t="n">
        <v>14856</v>
      </c>
      <c r="D46" s="17" t="n">
        <v>46294</v>
      </c>
      <c r="E46" s="12" t="inlineStr">
        <is>
          <t>Mix Cosmeticos Ltda</t>
        </is>
      </c>
      <c r="F46" s="12" t="inlineStr">
        <is>
          <t>27697083000176</t>
        </is>
      </c>
      <c r="G46" s="12" t="inlineStr">
        <is>
          <t>MS</t>
        </is>
      </c>
      <c r="H46" s="12" t="inlineStr">
        <is>
          <t>2901</t>
        </is>
      </c>
      <c r="I46" s="12" t="inlineStr">
        <is>
          <t>90</t>
        </is>
      </c>
      <c r="J46" s="12" t="inlineStr">
        <is>
          <t>remessa</t>
        </is>
      </c>
      <c r="K46" s="14" t="n">
        <v>600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2" t="inlineStr">
        <is>
          <t>144</t>
        </is>
      </c>
      <c r="R46" s="12" t="n"/>
      <c r="S46" s="12" t="inlineStr">
        <is>
          <t>50260927697083000176550010000148561118323143</t>
        </is>
      </c>
    </row>
    <row r="47">
      <c r="A47" s="12" t="inlineStr">
        <is>
          <t>NF-e</t>
        </is>
      </c>
      <c r="B47" s="12" t="inlineStr">
        <is>
          <t>Normal</t>
        </is>
      </c>
      <c r="C47" s="12" t="n">
        <v>56004</v>
      </c>
      <c r="D47" s="17" t="n">
        <v>46294</v>
      </c>
      <c r="E47" s="12" t="inlineStr">
        <is>
          <t>Mix Perfumaria</t>
        </is>
      </c>
      <c r="F47" s="12" t="inlineStr">
        <is>
          <t>06237330000181</t>
        </is>
      </c>
      <c r="G47" s="12" t="inlineStr">
        <is>
          <t>PR</t>
        </is>
      </c>
      <c r="H47" s="12" t="inlineStr">
        <is>
          <t>1901</t>
        </is>
      </c>
      <c r="I47" s="12" t="inlineStr">
        <is>
          <t>90</t>
        </is>
      </c>
      <c r="J47" s="12" t="inlineStr">
        <is>
          <t>remessa</t>
        </is>
      </c>
      <c r="K47" s="14" t="n">
        <v>300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2" t="inlineStr">
        <is>
          <t>149</t>
        </is>
      </c>
      <c r="R47" s="12" t="n"/>
      <c r="S47" s="12" t="inlineStr">
        <is>
          <t>41260906237330000181550010000560041118322920</t>
        </is>
      </c>
    </row>
    <row r="48">
      <c r="A48" s="12" t="inlineStr">
        <is>
          <t>NF-e</t>
        </is>
      </c>
      <c r="B48" s="12" t="inlineStr">
        <is>
          <t>Normal</t>
        </is>
      </c>
      <c r="C48" s="12" t="n">
        <v>42285</v>
      </c>
      <c r="D48" s="17" t="n">
        <v>46294</v>
      </c>
      <c r="E48" s="12" t="inlineStr">
        <is>
          <t>PROVITAL DO BRASIL COM. DE INSUMOS PARA COSMETICOS LTDA</t>
        </is>
      </c>
      <c r="F48" s="12" t="inlineStr">
        <is>
          <t>11340087000162</t>
        </is>
      </c>
      <c r="G48" s="12" t="inlineStr">
        <is>
          <t>SP</t>
        </is>
      </c>
      <c r="H48" s="12" t="inlineStr">
        <is>
          <t>2101</t>
        </is>
      </c>
      <c r="I48" s="12" t="inlineStr">
        <is>
          <t>00</t>
        </is>
      </c>
      <c r="J48" s="12" t="inlineStr">
        <is>
          <t>insumo</t>
        </is>
      </c>
      <c r="K48" s="14" t="n">
        <v>4278.84</v>
      </c>
      <c r="L48" s="14" t="n">
        <v>4017.69</v>
      </c>
      <c r="M48" s="14" t="n">
        <v>160.71</v>
      </c>
      <c r="N48" s="14" t="n">
        <v>261.15</v>
      </c>
      <c r="O48" s="14" t="n">
        <v>0</v>
      </c>
      <c r="P48" s="14" t="n">
        <v>321.42</v>
      </c>
      <c r="Q48" s="12" t="inlineStr">
        <is>
          <t>101</t>
        </is>
      </c>
      <c r="R48" s="12" t="n"/>
      <c r="S48" s="12" t="inlineStr">
        <is>
          <t>35260911340087000162550010000422851305252223</t>
        </is>
      </c>
    </row>
    <row r="49">
      <c r="A49" s="12" t="inlineStr">
        <is>
          <t>NF-e</t>
        </is>
      </c>
      <c r="B49" s="12" t="inlineStr">
        <is>
          <t>Normal</t>
        </is>
      </c>
      <c r="C49" s="12" t="n">
        <v>38175</v>
      </c>
      <c r="D49" s="17" t="n">
        <v>46295</v>
      </c>
      <c r="E49" s="12" t="inlineStr">
        <is>
          <t>ALLOXY ESPECIALIDADES QUIMICAS LTDA</t>
        </is>
      </c>
      <c r="F49" s="12" t="inlineStr">
        <is>
          <t>16987597000140</t>
        </is>
      </c>
      <c r="G49" s="12" t="inlineStr">
        <is>
          <t>PR</t>
        </is>
      </c>
      <c r="H49" s="12" t="inlineStr">
        <is>
          <t>1101</t>
        </is>
      </c>
      <c r="I49" s="12" t="inlineStr">
        <is>
          <t>51</t>
        </is>
      </c>
      <c r="J49" s="12" t="inlineStr">
        <is>
          <t>insumo</t>
        </is>
      </c>
      <c r="K49" s="14" t="n">
        <v>5593.5</v>
      </c>
      <c r="L49" s="14" t="n">
        <v>5593.5</v>
      </c>
      <c r="M49" s="14" t="n">
        <v>671.22</v>
      </c>
      <c r="N49" s="14" t="n">
        <v>0</v>
      </c>
      <c r="O49" s="14" t="n">
        <v>0</v>
      </c>
      <c r="P49" s="14" t="n">
        <v>0</v>
      </c>
      <c r="Q49" s="12" t="inlineStr">
        <is>
          <t>100</t>
        </is>
      </c>
      <c r="R49" s="12" t="n"/>
      <c r="S49" s="12" t="inlineStr">
        <is>
          <t>41260916987597000140550010000381751288422874</t>
        </is>
      </c>
    </row>
    <row r="50">
      <c r="A50" s="12" t="inlineStr">
        <is>
          <t>NF-e</t>
        </is>
      </c>
      <c r="B50" s="12" t="inlineStr">
        <is>
          <t>Normal</t>
        </is>
      </c>
      <c r="C50" s="12" t="n">
        <v>42</v>
      </c>
      <c r="D50" s="17" t="n">
        <v>46295</v>
      </c>
      <c r="E50" s="12" t="inlineStr">
        <is>
          <t>MERCKPAR COMERCIAL LTDA</t>
        </is>
      </c>
      <c r="F50" s="12" t="inlineStr">
        <is>
          <t>63460684000124</t>
        </is>
      </c>
      <c r="G50" s="12" t="inlineStr">
        <is>
          <t>PR</t>
        </is>
      </c>
      <c r="H50" s="12" t="inlineStr">
        <is>
          <t>1101</t>
        </is>
      </c>
      <c r="I50" s="12" t="inlineStr">
        <is>
          <t>101</t>
        </is>
      </c>
      <c r="J50" s="12" t="inlineStr">
        <is>
          <t>insumo</t>
        </is>
      </c>
      <c r="K50" s="14" t="n">
        <v>1180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2" t="inlineStr">
        <is>
          <t>100</t>
        </is>
      </c>
      <c r="R50" s="12" t="n"/>
      <c r="S50" s="12" t="inlineStr">
        <is>
          <t>41260963460684000124550010000000421742919846</t>
        </is>
      </c>
    </row>
    <row r="51">
      <c r="A51" s="12" t="inlineStr">
        <is>
          <t>NF-e</t>
        </is>
      </c>
      <c r="B51" s="12" t="inlineStr">
        <is>
          <t>Normal</t>
        </is>
      </c>
      <c r="C51" s="12" t="n">
        <v>97145</v>
      </c>
      <c r="D51" s="17" t="n">
        <v>46295</v>
      </c>
      <c r="E51" s="12" t="inlineStr">
        <is>
          <t>Supermercado Boza Ltda</t>
        </is>
      </c>
      <c r="F51" s="12" t="inlineStr">
        <is>
          <t>73419905000174</t>
        </is>
      </c>
      <c r="G51" s="12" t="inlineStr">
        <is>
          <t>PR</t>
        </is>
      </c>
      <c r="H51" s="12" t="inlineStr">
        <is>
          <t>1556</t>
        </is>
      </c>
      <c r="I51" s="12" t="inlineStr">
        <is>
          <t>40</t>
        </is>
      </c>
      <c r="J51" s="12" t="inlineStr">
        <is>
          <t>uso</t>
        </is>
      </c>
      <c r="K51" s="14" t="n">
        <v>362.1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2" t="inlineStr">
        <is>
          <t>104</t>
        </is>
      </c>
      <c r="R51" s="12" t="n"/>
      <c r="S51" s="12" t="inlineStr">
        <is>
          <t>41260973419905000174550010000971451002693820</t>
        </is>
      </c>
    </row>
    <row r="52">
      <c r="A52" s="12" t="inlineStr">
        <is>
          <t>NF-e</t>
        </is>
      </c>
      <c r="B52" s="12" t="inlineStr">
        <is>
          <t>Normal</t>
        </is>
      </c>
      <c r="C52" s="12" t="n">
        <v>97145</v>
      </c>
      <c r="D52" s="17" t="n">
        <v>46295</v>
      </c>
      <c r="E52" s="12" t="inlineStr">
        <is>
          <t>Supermercado Boza Ltda</t>
        </is>
      </c>
      <c r="F52" s="12" t="inlineStr">
        <is>
          <t>73419905000174</t>
        </is>
      </c>
      <c r="G52" s="12" t="inlineStr">
        <is>
          <t>PR</t>
        </is>
      </c>
      <c r="H52" s="12" t="inlineStr">
        <is>
          <t>1556</t>
        </is>
      </c>
      <c r="I52" s="12" t="inlineStr">
        <is>
          <t>00</t>
        </is>
      </c>
      <c r="J52" s="12" t="inlineStr">
        <is>
          <t>uso</t>
        </is>
      </c>
      <c r="K52" s="14" t="n">
        <v>27.67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2" t="inlineStr">
        <is>
          <t>104</t>
        </is>
      </c>
      <c r="R52" s="12" t="n"/>
      <c r="S52" s="12" t="inlineStr">
        <is>
          <t>41260973419905000174550010000971451002693820</t>
        </is>
      </c>
    </row>
    <row r="53">
      <c r="A53" s="7" t="inlineStr">
        <is>
          <t>NF-e</t>
        </is>
      </c>
      <c r="B53" s="7" t="inlineStr">
        <is>
          <t>Cancelada (02)</t>
        </is>
      </c>
      <c r="C53" s="7" t="n">
        <v>794</v>
      </c>
      <c r="D53" s="18" t="n">
        <v>46274</v>
      </c>
      <c r="E53" s="7" t="inlineStr">
        <is>
          <t>YAHWEH PRINT BRASIL LTDA</t>
        </is>
      </c>
      <c r="F53" s="7" t="inlineStr">
        <is>
          <t>52680145000184</t>
        </is>
      </c>
      <c r="G53" s="7" t="inlineStr">
        <is>
          <t>PR</t>
        </is>
      </c>
      <c r="H53" s="7" t="inlineStr"/>
      <c r="I53" s="7" t="inlineStr"/>
      <c r="J53" s="7" t="inlineStr"/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7" t="inlineStr"/>
      <c r="R53" s="7" t="inlineStr"/>
      <c r="S53" s="7" t="inlineStr">
        <is>
          <t>41260952680145000184550010000007941049258979</t>
        </is>
      </c>
    </row>
    <row r="54">
      <c r="A54" s="12" t="inlineStr">
        <is>
          <t>CT-e</t>
        </is>
      </c>
      <c r="B54" s="12" t="inlineStr">
        <is>
          <t>Normal</t>
        </is>
      </c>
      <c r="C54" s="12" t="n">
        <v>5597996</v>
      </c>
      <c r="D54" s="17" t="n">
        <v>46269</v>
      </c>
      <c r="E54" s="12" t="inlineStr">
        <is>
          <t>CAXIAS DO SUL - EXPRESSO SAO MIGUEL S/A</t>
        </is>
      </c>
      <c r="F54" s="12" t="inlineStr"/>
      <c r="G54" s="12" t="inlineStr"/>
      <c r="H54" s="12" t="inlineStr">
        <is>
          <t>2352</t>
        </is>
      </c>
      <c r="I54" s="12" t="inlineStr"/>
      <c r="J54" s="12" t="inlineStr">
        <is>
          <t>frete</t>
        </is>
      </c>
      <c r="K54" s="14" t="n">
        <v>301.49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2" t="inlineStr">
        <is>
          <t>1001</t>
        </is>
      </c>
      <c r="R54" s="12" t="n"/>
      <c r="S54" s="12" t="inlineStr">
        <is>
          <t>43260900428307000600570010055979961055979961</t>
        </is>
      </c>
    </row>
    <row r="55">
      <c r="A55" s="12" t="inlineStr">
        <is>
          <t>CT-e</t>
        </is>
      </c>
      <c r="B55" s="12" t="inlineStr">
        <is>
          <t>Normal</t>
        </is>
      </c>
      <c r="C55" s="12" t="n">
        <v>25709</v>
      </c>
      <c r="D55" s="17" t="n">
        <v>46283</v>
      </c>
      <c r="E55" s="12" t="inlineStr">
        <is>
          <t>TRANS TOMAZ TRANSPORTES RODOV DE CARGAS EIREL</t>
        </is>
      </c>
      <c r="F55" s="12" t="inlineStr"/>
      <c r="G55" s="12" t="inlineStr"/>
      <c r="H55" s="12" t="inlineStr">
        <is>
          <t>2353</t>
        </is>
      </c>
      <c r="I55" s="12" t="inlineStr"/>
      <c r="J55" s="12" t="inlineStr">
        <is>
          <t>frete</t>
        </is>
      </c>
      <c r="K55" s="14" t="n">
        <v>116.03</v>
      </c>
      <c r="L55" s="14" t="n">
        <v>116.03</v>
      </c>
      <c r="M55" s="14" t="n">
        <v>13.92</v>
      </c>
      <c r="N55" s="14" t="n">
        <v>0</v>
      </c>
      <c r="O55" s="14" t="n">
        <v>0</v>
      </c>
      <c r="P55" s="14" t="n">
        <v>0</v>
      </c>
      <c r="Q55" s="12" t="inlineStr">
        <is>
          <t>1001</t>
        </is>
      </c>
      <c r="R55" s="12" t="n"/>
      <c r="S55" s="12" t="inlineStr">
        <is>
          <t>35260903867083000290570030000257091000483871</t>
        </is>
      </c>
    </row>
    <row r="56">
      <c r="A56" s="12" t="inlineStr">
        <is>
          <t>CT-e</t>
        </is>
      </c>
      <c r="B56" s="12" t="inlineStr">
        <is>
          <t>Normal</t>
        </is>
      </c>
      <c r="C56" s="12" t="n">
        <v>25910</v>
      </c>
      <c r="D56" s="17" t="n">
        <v>46287</v>
      </c>
      <c r="E56" s="12" t="inlineStr">
        <is>
          <t>TRANS TOMAZ TRANSPORTES RODOV DE CARGAS EIREL</t>
        </is>
      </c>
      <c r="F56" s="12" t="inlineStr"/>
      <c r="G56" s="12" t="inlineStr"/>
      <c r="H56" s="12" t="inlineStr">
        <is>
          <t>2353</t>
        </is>
      </c>
      <c r="I56" s="12" t="inlineStr"/>
      <c r="J56" s="12" t="inlineStr">
        <is>
          <t>frete</t>
        </is>
      </c>
      <c r="K56" s="14" t="n">
        <v>812.3</v>
      </c>
      <c r="L56" s="14" t="n">
        <v>812.3</v>
      </c>
      <c r="M56" s="14" t="n">
        <v>97.48</v>
      </c>
      <c r="N56" s="14" t="n">
        <v>0</v>
      </c>
      <c r="O56" s="14" t="n">
        <v>0</v>
      </c>
      <c r="P56" s="14" t="n">
        <v>0</v>
      </c>
      <c r="Q56" s="12" t="inlineStr">
        <is>
          <t>1001</t>
        </is>
      </c>
      <c r="R56" s="12" t="n"/>
      <c r="S56" s="12" t="inlineStr">
        <is>
          <t>35260903867083000290570030000259101000487488</t>
        </is>
      </c>
    </row>
    <row r="57">
      <c r="A57" s="12" t="inlineStr">
        <is>
          <t>CT-e</t>
        </is>
      </c>
      <c r="B57" s="12" t="inlineStr">
        <is>
          <t>Normal</t>
        </is>
      </c>
      <c r="C57" s="12" t="n">
        <v>26411</v>
      </c>
      <c r="D57" s="17" t="n">
        <v>46290</v>
      </c>
      <c r="E57" s="12" t="inlineStr">
        <is>
          <t>TRANS TOMAZ TRANSPORTES RODOV DE CARGAS EIREL</t>
        </is>
      </c>
      <c r="F57" s="12" t="inlineStr"/>
      <c r="G57" s="12" t="inlineStr"/>
      <c r="H57" s="12" t="inlineStr">
        <is>
          <t>2353</t>
        </is>
      </c>
      <c r="I57" s="12" t="inlineStr"/>
      <c r="J57" s="12" t="inlineStr">
        <is>
          <t>frete</t>
        </is>
      </c>
      <c r="K57" s="14" t="n">
        <v>126.02</v>
      </c>
      <c r="L57" s="14" t="n">
        <v>126.02</v>
      </c>
      <c r="M57" s="14" t="n">
        <v>15.12</v>
      </c>
      <c r="N57" s="14" t="n">
        <v>0</v>
      </c>
      <c r="O57" s="14" t="n">
        <v>0</v>
      </c>
      <c r="P57" s="14" t="n">
        <v>0</v>
      </c>
      <c r="Q57" s="12" t="inlineStr">
        <is>
          <t>1001</t>
        </is>
      </c>
      <c r="R57" s="12" t="n"/>
      <c r="S57" s="12" t="inlineStr">
        <is>
          <t>35260903867083000290570030000264111000496392</t>
        </is>
      </c>
    </row>
    <row r="58">
      <c r="A58" s="12" t="inlineStr">
        <is>
          <t>CT-e</t>
        </is>
      </c>
      <c r="B58" s="12" t="inlineStr">
        <is>
          <t>Normal</t>
        </is>
      </c>
      <c r="C58" s="12" t="n">
        <v>26730</v>
      </c>
      <c r="D58" s="17" t="n">
        <v>46295</v>
      </c>
      <c r="E58" s="12" t="inlineStr">
        <is>
          <t>TRANS TOMAZ TRANSPORTES RODOV DE CARGAS EIREL</t>
        </is>
      </c>
      <c r="F58" s="12" t="inlineStr"/>
      <c r="G58" s="12" t="inlineStr"/>
      <c r="H58" s="12" t="inlineStr">
        <is>
          <t>2353</t>
        </is>
      </c>
      <c r="I58" s="12" t="inlineStr"/>
      <c r="J58" s="12" t="inlineStr">
        <is>
          <t>frete</t>
        </is>
      </c>
      <c r="K58" s="14" t="n">
        <v>188.49</v>
      </c>
      <c r="L58" s="14" t="n">
        <v>188.49</v>
      </c>
      <c r="M58" s="14" t="n">
        <v>22.62</v>
      </c>
      <c r="N58" s="14" t="n">
        <v>0</v>
      </c>
      <c r="O58" s="14" t="n">
        <v>0</v>
      </c>
      <c r="P58" s="14" t="n">
        <v>0</v>
      </c>
      <c r="Q58" s="12" t="inlineStr">
        <is>
          <t>1001</t>
        </is>
      </c>
      <c r="R58" s="12" t="n"/>
      <c r="S58" s="12" t="inlineStr">
        <is>
          <t>35260903867083000290570030000267301000504028</t>
        </is>
      </c>
    </row>
    <row r="59">
      <c r="A59" s="7" t="inlineStr">
        <is>
          <t>CT-e</t>
        </is>
      </c>
      <c r="B59" s="7" t="inlineStr">
        <is>
          <t>Normal - XML pendente</t>
        </is>
      </c>
      <c r="C59" s="7" t="n">
        <v>4011462</v>
      </c>
      <c r="D59" s="18" t="n">
        <v>46286</v>
      </c>
      <c r="E59" s="7" t="inlineStr">
        <is>
          <t>BRASPRESS TRANSPORTES URGENTES LTDA</t>
        </is>
      </c>
      <c r="F59" s="7" t="inlineStr"/>
      <c r="G59" s="7" t="inlineStr"/>
      <c r="H59" s="7" t="inlineStr">
        <is>
          <t>2352</t>
        </is>
      </c>
      <c r="I59" s="7" t="inlineStr"/>
      <c r="J59" s="7" t="inlineStr">
        <is>
          <t>frete</t>
        </is>
      </c>
      <c r="K59" s="8" t="n">
        <v>280.52</v>
      </c>
      <c r="L59" s="8" t="inlineStr"/>
      <c r="M59" s="8" t="n">
        <v>19.35</v>
      </c>
      <c r="N59" s="8" t="n">
        <v>0</v>
      </c>
      <c r="O59" s="8" t="n">
        <v>0</v>
      </c>
      <c r="P59" s="8" t="n">
        <v>0</v>
      </c>
      <c r="Q59" s="7" t="inlineStr">
        <is>
          <t>1001</t>
        </is>
      </c>
      <c r="R59" s="7" t="n"/>
      <c r="S59" s="7" t="inlineStr"/>
    </row>
    <row r="60">
      <c r="A60" s="7" t="inlineStr">
        <is>
          <t>CT-e</t>
        </is>
      </c>
      <c r="B60" s="7" t="inlineStr">
        <is>
          <t>Normal - XML pendente</t>
        </is>
      </c>
      <c r="C60" s="7" t="n">
        <v>4016484</v>
      </c>
      <c r="D60" s="18" t="n">
        <v>46289</v>
      </c>
      <c r="E60" s="7" t="inlineStr">
        <is>
          <t>BRASPRESS TRANSPORTES URGENTES LTDA</t>
        </is>
      </c>
      <c r="F60" s="7" t="inlineStr"/>
      <c r="G60" s="7" t="inlineStr"/>
      <c r="H60" s="7" t="inlineStr">
        <is>
          <t>2352</t>
        </is>
      </c>
      <c r="I60" s="7" t="inlineStr"/>
      <c r="J60" s="7" t="inlineStr">
        <is>
          <t>frete</t>
        </is>
      </c>
      <c r="K60" s="8" t="n">
        <v>692.92</v>
      </c>
      <c r="L60" s="8" t="inlineStr"/>
      <c r="M60" s="8" t="n">
        <v>47.93</v>
      </c>
      <c r="N60" s="8" t="n">
        <v>0</v>
      </c>
      <c r="O60" s="8" t="n">
        <v>0</v>
      </c>
      <c r="P60" s="8" t="n">
        <v>0</v>
      </c>
      <c r="Q60" s="7" t="inlineStr">
        <is>
          <t>1001</t>
        </is>
      </c>
      <c r="R60" s="7" t="n"/>
      <c r="S60" s="7" t="inlineStr"/>
    </row>
    <row r="61">
      <c r="A61" s="7" t="inlineStr">
        <is>
          <t>CT-e</t>
        </is>
      </c>
      <c r="B61" s="7" t="inlineStr">
        <is>
          <t>Normal - XML pendente</t>
        </is>
      </c>
      <c r="C61" s="7" t="n">
        <v>3999629</v>
      </c>
      <c r="D61" s="18" t="n">
        <v>46274</v>
      </c>
      <c r="E61" s="7" t="inlineStr">
        <is>
          <t>BRASPRESS TRANSPORTES URGENTES LTDA</t>
        </is>
      </c>
      <c r="F61" s="7" t="inlineStr"/>
      <c r="G61" s="7" t="inlineStr"/>
      <c r="H61" s="7" t="inlineStr">
        <is>
          <t>2352</t>
        </is>
      </c>
      <c r="I61" s="7" t="inlineStr"/>
      <c r="J61" s="7" t="inlineStr">
        <is>
          <t>frete</t>
        </is>
      </c>
      <c r="K61" s="8" t="n">
        <v>249.59</v>
      </c>
      <c r="L61" s="8" t="inlineStr"/>
      <c r="M61" s="8" t="n">
        <v>17.18</v>
      </c>
      <c r="N61" s="8" t="n">
        <v>0</v>
      </c>
      <c r="O61" s="8" t="n">
        <v>0</v>
      </c>
      <c r="P61" s="8" t="n">
        <v>0</v>
      </c>
      <c r="Q61" s="7" t="inlineStr">
        <is>
          <t>1001</t>
        </is>
      </c>
      <c r="R61" s="7" t="n"/>
      <c r="S61" s="7" t="inlineStr"/>
    </row>
    <row r="62">
      <c r="A62" s="7" t="inlineStr">
        <is>
          <t>CT-e</t>
        </is>
      </c>
      <c r="B62" s="7" t="inlineStr">
        <is>
          <t>Normal - XML pendente</t>
        </is>
      </c>
      <c r="C62" s="7" t="n">
        <v>4014896</v>
      </c>
      <c r="D62" s="18" t="n">
        <v>46288</v>
      </c>
      <c r="E62" s="7" t="inlineStr">
        <is>
          <t>BRASPRESS TRANSPORTES URGENTES LTDA</t>
        </is>
      </c>
      <c r="F62" s="7" t="inlineStr"/>
      <c r="G62" s="7" t="inlineStr"/>
      <c r="H62" s="7" t="inlineStr">
        <is>
          <t>2352</t>
        </is>
      </c>
      <c r="I62" s="7" t="inlineStr"/>
      <c r="J62" s="7" t="inlineStr">
        <is>
          <t>frete</t>
        </is>
      </c>
      <c r="K62" s="8" t="n">
        <v>240.43</v>
      </c>
      <c r="L62" s="8" t="inlineStr"/>
      <c r="M62" s="8" t="n">
        <v>28.36</v>
      </c>
      <c r="N62" s="8" t="n">
        <v>0</v>
      </c>
      <c r="O62" s="8" t="n">
        <v>0</v>
      </c>
      <c r="P62" s="8" t="n">
        <v>0</v>
      </c>
      <c r="Q62" s="7" t="inlineStr">
        <is>
          <t>1001</t>
        </is>
      </c>
      <c r="R62" s="7" t="n"/>
      <c r="S62" s="7" t="inlineStr"/>
    </row>
    <row r="63">
      <c r="A63" s="7" t="inlineStr">
        <is>
          <t>CT-e</t>
        </is>
      </c>
      <c r="B63" s="7" t="inlineStr">
        <is>
          <t>Normal - XML pendente</t>
        </is>
      </c>
      <c r="C63" s="7" t="n">
        <v>3999630</v>
      </c>
      <c r="D63" s="18" t="n">
        <v>46274</v>
      </c>
      <c r="E63" s="7" t="inlineStr">
        <is>
          <t>BRASPRESS TRANSPORTES URGENTES LTDA</t>
        </is>
      </c>
      <c r="F63" s="7" t="inlineStr"/>
      <c r="G63" s="7" t="inlineStr"/>
      <c r="H63" s="7" t="inlineStr">
        <is>
          <t>2352</t>
        </is>
      </c>
      <c r="I63" s="7" t="inlineStr"/>
      <c r="J63" s="7" t="inlineStr">
        <is>
          <t>frete</t>
        </is>
      </c>
      <c r="K63" s="8" t="n">
        <v>264.86</v>
      </c>
      <c r="L63" s="8" t="inlineStr"/>
      <c r="M63" s="8" t="n">
        <v>18.25</v>
      </c>
      <c r="N63" s="8" t="n">
        <v>0</v>
      </c>
      <c r="O63" s="8" t="n">
        <v>0</v>
      </c>
      <c r="P63" s="8" t="n">
        <v>0</v>
      </c>
      <c r="Q63" s="7" t="inlineStr">
        <is>
          <t>1001</t>
        </is>
      </c>
      <c r="R63" s="7" t="n"/>
      <c r="S63" s="7" t="inlineStr"/>
    </row>
    <row r="64">
      <c r="A64" s="7" t="inlineStr">
        <is>
          <t>CT-e</t>
        </is>
      </c>
      <c r="B64" s="7" t="inlineStr">
        <is>
          <t>Normal - XML pendente</t>
        </is>
      </c>
      <c r="C64" s="7" t="n">
        <v>4010194</v>
      </c>
      <c r="D64" s="18" t="n">
        <v>46283</v>
      </c>
      <c r="E64" s="7" t="inlineStr">
        <is>
          <t>BRASPRESS TRANSPORTES URGENTES LTDA</t>
        </is>
      </c>
      <c r="F64" s="7" t="inlineStr"/>
      <c r="G64" s="7" t="inlineStr"/>
      <c r="H64" s="7" t="inlineStr">
        <is>
          <t>2352</t>
        </is>
      </c>
      <c r="I64" s="7" t="inlineStr"/>
      <c r="J64" s="7" t="inlineStr">
        <is>
          <t>frete</t>
        </is>
      </c>
      <c r="K64" s="8" t="n">
        <v>507.65</v>
      </c>
      <c r="L64" s="8" t="inlineStr"/>
      <c r="M64" s="8" t="n">
        <v>34.96</v>
      </c>
      <c r="N64" s="8" t="n">
        <v>0</v>
      </c>
      <c r="O64" s="8" t="n">
        <v>0</v>
      </c>
      <c r="P64" s="8" t="n">
        <v>0</v>
      </c>
      <c r="Q64" s="7" t="inlineStr">
        <is>
          <t>1001</t>
        </is>
      </c>
      <c r="R64" s="7" t="n"/>
      <c r="S64" s="7" t="inlineStr"/>
    </row>
    <row r="65">
      <c r="A65" s="7" t="inlineStr">
        <is>
          <t>CT-e</t>
        </is>
      </c>
      <c r="B65" s="7" t="inlineStr">
        <is>
          <t>Normal - XML pendente</t>
        </is>
      </c>
      <c r="C65" s="7" t="n">
        <v>2081291</v>
      </c>
      <c r="D65" s="18" t="n">
        <v>46286</v>
      </c>
      <c r="E65" s="7" t="inlineStr">
        <is>
          <t>EXPRESSO SAO MIGUEL S/A</t>
        </is>
      </c>
      <c r="F65" s="7" t="inlineStr"/>
      <c r="G65" s="7" t="inlineStr"/>
      <c r="H65" s="7" t="inlineStr">
        <is>
          <t>2352</t>
        </is>
      </c>
      <c r="I65" s="7" t="inlineStr"/>
      <c r="J65" s="7" t="inlineStr">
        <is>
          <t>frete</t>
        </is>
      </c>
      <c r="K65" s="8" t="n">
        <v>115.56</v>
      </c>
      <c r="L65" s="8" t="inlineStr"/>
      <c r="M65" s="8" t="n">
        <v>13.41</v>
      </c>
      <c r="N65" s="8" t="n">
        <v>0</v>
      </c>
      <c r="O65" s="8" t="n">
        <v>0</v>
      </c>
      <c r="P65" s="8" t="n">
        <v>0</v>
      </c>
      <c r="Q65" s="7" t="inlineStr">
        <is>
          <t>1001</t>
        </is>
      </c>
      <c r="R65" s="7" t="n"/>
      <c r="S65" s="7" t="inlineStr"/>
    </row>
    <row r="66">
      <c r="A66" s="7" t="inlineStr">
        <is>
          <t>CT-e</t>
        </is>
      </c>
      <c r="B66" s="7" t="inlineStr">
        <is>
          <t>Normal - XML pendente</t>
        </is>
      </c>
      <c r="C66" s="7" t="n">
        <v>2081292</v>
      </c>
      <c r="D66" s="18" t="n">
        <v>46286</v>
      </c>
      <c r="E66" s="7" t="inlineStr">
        <is>
          <t>EXPRESSO SAO MIGUEL S/A</t>
        </is>
      </c>
      <c r="F66" s="7" t="inlineStr"/>
      <c r="G66" s="7" t="inlineStr"/>
      <c r="H66" s="7" t="inlineStr">
        <is>
          <t>2352</t>
        </is>
      </c>
      <c r="I66" s="7" t="inlineStr"/>
      <c r="J66" s="7" t="inlineStr">
        <is>
          <t>frete</t>
        </is>
      </c>
      <c r="K66" s="8" t="n">
        <v>138.62</v>
      </c>
      <c r="L66" s="8" t="inlineStr"/>
      <c r="M66" s="8" t="n">
        <v>16.18</v>
      </c>
      <c r="N66" s="8" t="n">
        <v>0</v>
      </c>
      <c r="O66" s="8" t="n">
        <v>0</v>
      </c>
      <c r="P66" s="8" t="n">
        <v>0</v>
      </c>
      <c r="Q66" s="7" t="inlineStr">
        <is>
          <t>1001</t>
        </is>
      </c>
      <c r="R66" s="7" t="n"/>
      <c r="S66" s="7" t="inlineStr"/>
    </row>
    <row r="67">
      <c r="A67" s="7" t="inlineStr">
        <is>
          <t>CT-e</t>
        </is>
      </c>
      <c r="B67" s="7" t="inlineStr">
        <is>
          <t>Normal - XML pendente</t>
        </is>
      </c>
      <c r="C67" s="7" t="n">
        <v>2098798</v>
      </c>
      <c r="D67" s="18" t="n">
        <v>46294</v>
      </c>
      <c r="E67" s="7" t="inlineStr">
        <is>
          <t>EXPRESSO SAO MIGUEL S/A</t>
        </is>
      </c>
      <c r="F67" s="7" t="inlineStr"/>
      <c r="G67" s="7" t="inlineStr"/>
      <c r="H67" s="7" t="inlineStr">
        <is>
          <t>2352</t>
        </is>
      </c>
      <c r="I67" s="7" t="inlineStr"/>
      <c r="J67" s="7" t="inlineStr">
        <is>
          <t>frete</t>
        </is>
      </c>
      <c r="K67" s="8" t="n">
        <v>445.46</v>
      </c>
      <c r="L67" s="8" t="inlineStr"/>
      <c r="M67" s="8" t="n">
        <v>52.09</v>
      </c>
      <c r="N67" s="8" t="n">
        <v>0</v>
      </c>
      <c r="O67" s="8" t="n">
        <v>0</v>
      </c>
      <c r="P67" s="8" t="n">
        <v>0</v>
      </c>
      <c r="Q67" s="7" t="inlineStr">
        <is>
          <t>1001</t>
        </is>
      </c>
      <c r="R67" s="7" t="n"/>
      <c r="S67" s="7" t="inlineStr"/>
    </row>
    <row r="68">
      <c r="A68" s="7" t="inlineStr">
        <is>
          <t>CT-e</t>
        </is>
      </c>
      <c r="B68" s="7" t="inlineStr">
        <is>
          <t>Normal - XML pendente</t>
        </is>
      </c>
      <c r="C68" s="7" t="n">
        <v>2079447</v>
      </c>
      <c r="D68" s="18" t="n">
        <v>46286</v>
      </c>
      <c r="E68" s="7" t="inlineStr">
        <is>
          <t>EXPRESSO SAO MIGUEL S/A</t>
        </is>
      </c>
      <c r="F68" s="7" t="inlineStr"/>
      <c r="G68" s="7" t="inlineStr"/>
      <c r="H68" s="7" t="inlineStr">
        <is>
          <t>2352</t>
        </is>
      </c>
      <c r="I68" s="7" t="inlineStr"/>
      <c r="J68" s="7" t="inlineStr">
        <is>
          <t>frete</t>
        </is>
      </c>
      <c r="K68" s="8" t="n">
        <v>81.81999999999999</v>
      </c>
      <c r="L68" s="8" t="inlineStr"/>
      <c r="M68" s="8" t="n">
        <v>9.359999999999999</v>
      </c>
      <c r="N68" s="8" t="n">
        <v>0</v>
      </c>
      <c r="O68" s="8" t="n">
        <v>0</v>
      </c>
      <c r="P68" s="8" t="n">
        <v>0</v>
      </c>
      <c r="Q68" s="7" t="inlineStr">
        <is>
          <t>1001</t>
        </is>
      </c>
      <c r="R68" s="7" t="n"/>
      <c r="S68" s="7" t="inlineStr"/>
    </row>
    <row r="69">
      <c r="A69" s="7" t="inlineStr">
        <is>
          <t>CT-e</t>
        </is>
      </c>
      <c r="B69" s="7" t="inlineStr">
        <is>
          <t>Normal - XML pendente</t>
        </is>
      </c>
      <c r="C69" s="7" t="n">
        <v>2095396</v>
      </c>
      <c r="D69" s="18" t="n">
        <v>46293</v>
      </c>
      <c r="E69" s="7" t="inlineStr">
        <is>
          <t>EXPRESSO SAO MIGUEL S/A</t>
        </is>
      </c>
      <c r="F69" s="7" t="inlineStr"/>
      <c r="G69" s="7" t="inlineStr"/>
      <c r="H69" s="7" t="inlineStr">
        <is>
          <t>2352</t>
        </is>
      </c>
      <c r="I69" s="7" t="inlineStr"/>
      <c r="J69" s="7" t="inlineStr">
        <is>
          <t>frete</t>
        </is>
      </c>
      <c r="K69" s="8" t="n">
        <v>146.44</v>
      </c>
      <c r="L69" s="8" t="inlineStr"/>
      <c r="M69" s="8" t="n">
        <v>17.12</v>
      </c>
      <c r="N69" s="8" t="n">
        <v>0</v>
      </c>
      <c r="O69" s="8" t="n">
        <v>0</v>
      </c>
      <c r="P69" s="8" t="n">
        <v>0</v>
      </c>
      <c r="Q69" s="7" t="inlineStr">
        <is>
          <t>1001</t>
        </is>
      </c>
      <c r="R69" s="7" t="n"/>
      <c r="S69" s="7" t="inlineStr"/>
    </row>
    <row r="70">
      <c r="A70" s="7" t="inlineStr">
        <is>
          <t>CT-e</t>
        </is>
      </c>
      <c r="B70" s="7" t="inlineStr">
        <is>
          <t>Normal - XML pendente</t>
        </is>
      </c>
      <c r="C70" s="7" t="n">
        <v>4687986</v>
      </c>
      <c r="D70" s="18" t="n">
        <v>46268</v>
      </c>
      <c r="E70" s="7" t="inlineStr">
        <is>
          <t>RODONAVES TRANSPORTES E ENCOMENDAS LTDA</t>
        </is>
      </c>
      <c r="F70" s="7" t="inlineStr"/>
      <c r="G70" s="7" t="inlineStr"/>
      <c r="H70" s="7" t="inlineStr">
        <is>
          <t>2352</t>
        </is>
      </c>
      <c r="I70" s="7" t="inlineStr"/>
      <c r="J70" s="7" t="inlineStr">
        <is>
          <t>frete</t>
        </is>
      </c>
      <c r="K70" s="8" t="n">
        <v>172.64</v>
      </c>
      <c r="L70" s="8" t="inlineStr"/>
      <c r="M70" s="8" t="n">
        <v>19.87</v>
      </c>
      <c r="N70" s="8" t="n">
        <v>0</v>
      </c>
      <c r="O70" s="8" t="n">
        <v>0</v>
      </c>
      <c r="P70" s="8" t="n">
        <v>0</v>
      </c>
      <c r="Q70" s="7" t="inlineStr">
        <is>
          <t>1001</t>
        </is>
      </c>
      <c r="R70" s="7" t="n"/>
      <c r="S70" s="7" t="inlineStr"/>
    </row>
    <row r="71">
      <c r="A71" s="7" t="inlineStr">
        <is>
          <t>CT-e</t>
        </is>
      </c>
      <c r="B71" s="7" t="inlineStr">
        <is>
          <t>Normal - XML pendente</t>
        </is>
      </c>
      <c r="C71" s="7" t="n">
        <v>36425929</v>
      </c>
      <c r="D71" s="18" t="n">
        <v>46276</v>
      </c>
      <c r="E71" s="7" t="inlineStr">
        <is>
          <t>TEX COURIER S.A</t>
        </is>
      </c>
      <c r="F71" s="7" t="inlineStr"/>
      <c r="G71" s="7" t="inlineStr"/>
      <c r="H71" s="7" t="inlineStr">
        <is>
          <t>2353</t>
        </is>
      </c>
      <c r="I71" s="7" t="inlineStr"/>
      <c r="J71" s="7" t="inlineStr">
        <is>
          <t>frete</t>
        </is>
      </c>
      <c r="K71" s="8" t="n">
        <v>54.83</v>
      </c>
      <c r="L71" s="8" t="inlineStr"/>
      <c r="M71" s="8" t="n">
        <v>6.58</v>
      </c>
      <c r="N71" s="8" t="n">
        <v>0</v>
      </c>
      <c r="O71" s="8" t="n">
        <v>0</v>
      </c>
      <c r="P71" s="8" t="n">
        <v>0</v>
      </c>
      <c r="Q71" s="7" t="inlineStr">
        <is>
          <t>1001</t>
        </is>
      </c>
      <c r="R71" s="7" t="n"/>
      <c r="S71" s="7" t="inlineStr"/>
    </row>
    <row r="72">
      <c r="A72" s="7" t="inlineStr">
        <is>
          <t>CT-e</t>
        </is>
      </c>
      <c r="B72" s="7" t="inlineStr">
        <is>
          <t>Normal - XML pendente</t>
        </is>
      </c>
      <c r="C72" s="7" t="n">
        <v>17890190</v>
      </c>
      <c r="D72" s="18" t="n">
        <v>46289</v>
      </c>
      <c r="E72" s="7" t="inlineStr">
        <is>
          <t>TEX COURIER S.A</t>
        </is>
      </c>
      <c r="F72" s="7" t="inlineStr"/>
      <c r="G72" s="7" t="inlineStr"/>
      <c r="H72" s="7" t="inlineStr">
        <is>
          <t>2353</t>
        </is>
      </c>
      <c r="I72" s="7" t="inlineStr"/>
      <c r="J72" s="7" t="inlineStr">
        <is>
          <t>frete</t>
        </is>
      </c>
      <c r="K72" s="8" t="n">
        <v>221.5</v>
      </c>
      <c r="L72" s="8" t="inlineStr"/>
      <c r="M72" s="8" t="n">
        <v>15.51</v>
      </c>
      <c r="N72" s="8" t="n">
        <v>0</v>
      </c>
      <c r="O72" s="8" t="n">
        <v>0</v>
      </c>
      <c r="P72" s="8" t="n">
        <v>0</v>
      </c>
      <c r="Q72" s="7" t="inlineStr">
        <is>
          <t>1001</t>
        </is>
      </c>
      <c r="R72" s="7" t="n"/>
      <c r="S72" s="7" t="inlineStr"/>
    </row>
    <row r="73">
      <c r="A73" s="7" t="inlineStr">
        <is>
          <t>CT-e</t>
        </is>
      </c>
      <c r="B73" s="7" t="inlineStr">
        <is>
          <t>Normal - XML pendente</t>
        </is>
      </c>
      <c r="C73" s="7" t="n">
        <v>17901568</v>
      </c>
      <c r="D73" s="18" t="n">
        <v>46290</v>
      </c>
      <c r="E73" s="7" t="inlineStr">
        <is>
          <t>TEX COURIER S.A</t>
        </is>
      </c>
      <c r="F73" s="7" t="inlineStr"/>
      <c r="G73" s="7" t="inlineStr"/>
      <c r="H73" s="7" t="inlineStr">
        <is>
          <t>2353</t>
        </is>
      </c>
      <c r="I73" s="7" t="inlineStr"/>
      <c r="J73" s="7" t="inlineStr">
        <is>
          <t>frete</t>
        </is>
      </c>
      <c r="K73" s="8" t="n">
        <v>20.82</v>
      </c>
      <c r="L73" s="8" t="inlineStr"/>
      <c r="M73" s="8" t="n">
        <v>2.5</v>
      </c>
      <c r="N73" s="8" t="n">
        <v>0</v>
      </c>
      <c r="O73" s="8" t="n">
        <v>0</v>
      </c>
      <c r="P73" s="8" t="n">
        <v>0</v>
      </c>
      <c r="Q73" s="7" t="inlineStr">
        <is>
          <t>1001</t>
        </is>
      </c>
      <c r="R73" s="7" t="n"/>
      <c r="S73" s="7" t="inlineStr"/>
    </row>
    <row r="74">
      <c r="A74" s="7" t="inlineStr">
        <is>
          <t>CT-e</t>
        </is>
      </c>
      <c r="B74" s="7" t="inlineStr">
        <is>
          <t>Normal - XML pendente</t>
        </is>
      </c>
      <c r="C74" s="7" t="n">
        <v>17901583</v>
      </c>
      <c r="D74" s="18" t="n">
        <v>46290</v>
      </c>
      <c r="E74" s="7" t="inlineStr">
        <is>
          <t>TEX COURIER S.A</t>
        </is>
      </c>
      <c r="F74" s="7" t="inlineStr"/>
      <c r="G74" s="7" t="inlineStr"/>
      <c r="H74" s="7" t="inlineStr">
        <is>
          <t>2353</t>
        </is>
      </c>
      <c r="I74" s="7" t="inlineStr"/>
      <c r="J74" s="7" t="inlineStr">
        <is>
          <t>frete</t>
        </is>
      </c>
      <c r="K74" s="8" t="n">
        <v>19.44</v>
      </c>
      <c r="L74" s="8" t="inlineStr"/>
      <c r="M74" s="8" t="n">
        <v>2.33</v>
      </c>
      <c r="N74" s="8" t="n">
        <v>0</v>
      </c>
      <c r="O74" s="8" t="n">
        <v>0</v>
      </c>
      <c r="P74" s="8" t="n">
        <v>0</v>
      </c>
      <c r="Q74" s="7" t="inlineStr">
        <is>
          <t>1001</t>
        </is>
      </c>
      <c r="R74" s="7" t="n"/>
      <c r="S74" s="7" t="inlineStr"/>
    </row>
    <row r="75">
      <c r="A75" s="7" t="inlineStr">
        <is>
          <t>CT-e</t>
        </is>
      </c>
      <c r="B75" s="7" t="inlineStr">
        <is>
          <t>Normal - XML pendente</t>
        </is>
      </c>
      <c r="C75" s="7" t="n">
        <v>17915091</v>
      </c>
      <c r="D75" s="18" t="n">
        <v>46293</v>
      </c>
      <c r="E75" s="7" t="inlineStr">
        <is>
          <t>TEX COURIER S.A</t>
        </is>
      </c>
      <c r="F75" s="7" t="inlineStr"/>
      <c r="G75" s="7" t="inlineStr"/>
      <c r="H75" s="7" t="inlineStr">
        <is>
          <t>2353</t>
        </is>
      </c>
      <c r="I75" s="7" t="inlineStr"/>
      <c r="J75" s="7" t="inlineStr">
        <is>
          <t>frete</t>
        </is>
      </c>
      <c r="K75" s="8" t="n">
        <v>27.56</v>
      </c>
      <c r="L75" s="8" t="inlineStr"/>
      <c r="M75" s="8" t="n">
        <v>3.31</v>
      </c>
      <c r="N75" s="8" t="n">
        <v>0</v>
      </c>
      <c r="O75" s="8" t="n">
        <v>0</v>
      </c>
      <c r="P75" s="8" t="n">
        <v>0</v>
      </c>
      <c r="Q75" s="7" t="inlineStr">
        <is>
          <t>1001</t>
        </is>
      </c>
      <c r="R75" s="7" t="n"/>
      <c r="S75" s="7" t="inlineStr"/>
    </row>
    <row r="76">
      <c r="A76" s="7" t="inlineStr">
        <is>
          <t>CT-e</t>
        </is>
      </c>
      <c r="B76" s="7" t="inlineStr">
        <is>
          <t>Normal - XML pendente</t>
        </is>
      </c>
      <c r="C76" s="7" t="n">
        <v>17896252</v>
      </c>
      <c r="D76" s="18" t="n">
        <v>46290</v>
      </c>
      <c r="E76" s="7" t="inlineStr">
        <is>
          <t>TEX COURIER S.A</t>
        </is>
      </c>
      <c r="F76" s="7" t="inlineStr"/>
      <c r="G76" s="7" t="inlineStr"/>
      <c r="H76" s="7" t="inlineStr">
        <is>
          <t>2353</t>
        </is>
      </c>
      <c r="I76" s="7" t="inlineStr"/>
      <c r="J76" s="7" t="inlineStr">
        <is>
          <t>frete</t>
        </is>
      </c>
      <c r="K76" s="8" t="n">
        <v>38.66</v>
      </c>
      <c r="L76" s="8" t="inlineStr"/>
      <c r="M76" s="8" t="n">
        <v>4.64</v>
      </c>
      <c r="N76" s="8" t="n">
        <v>0</v>
      </c>
      <c r="O76" s="8" t="n">
        <v>0</v>
      </c>
      <c r="P76" s="8" t="n">
        <v>0</v>
      </c>
      <c r="Q76" s="7" t="inlineStr">
        <is>
          <t>1001</t>
        </is>
      </c>
      <c r="R76" s="7" t="n"/>
      <c r="S76" s="7" t="inlineStr"/>
    </row>
    <row r="77">
      <c r="A77" s="7" t="inlineStr">
        <is>
          <t>CT-e</t>
        </is>
      </c>
      <c r="B77" s="7" t="inlineStr">
        <is>
          <t>Normal - XML pendente</t>
        </is>
      </c>
      <c r="C77" s="7" t="n">
        <v>17901624</v>
      </c>
      <c r="D77" s="18" t="n">
        <v>46290</v>
      </c>
      <c r="E77" s="7" t="inlineStr">
        <is>
          <t>TEX COURIER S.A</t>
        </is>
      </c>
      <c r="F77" s="7" t="inlineStr"/>
      <c r="G77" s="7" t="inlineStr"/>
      <c r="H77" s="7" t="inlineStr">
        <is>
          <t>2353</t>
        </is>
      </c>
      <c r="I77" s="7" t="inlineStr"/>
      <c r="J77" s="7" t="inlineStr">
        <is>
          <t>frete</t>
        </is>
      </c>
      <c r="K77" s="8" t="n">
        <v>28.31</v>
      </c>
      <c r="L77" s="8" t="inlineStr"/>
      <c r="M77" s="8" t="n">
        <v>1.98</v>
      </c>
      <c r="N77" s="8" t="n">
        <v>0</v>
      </c>
      <c r="O77" s="8" t="n">
        <v>0</v>
      </c>
      <c r="P77" s="8" t="n">
        <v>0</v>
      </c>
      <c r="Q77" s="7" t="inlineStr">
        <is>
          <t>1001</t>
        </is>
      </c>
      <c r="R77" s="7" t="n"/>
      <c r="S77" s="7" t="inlineStr"/>
    </row>
    <row r="78">
      <c r="A78" s="7" t="inlineStr">
        <is>
          <t>CT-e</t>
        </is>
      </c>
      <c r="B78" s="7" t="inlineStr">
        <is>
          <t>Normal - XML pendente</t>
        </is>
      </c>
      <c r="C78" s="7" t="n">
        <v>17924737</v>
      </c>
      <c r="D78" s="18" t="n">
        <v>46294</v>
      </c>
      <c r="E78" s="7" t="inlineStr">
        <is>
          <t>TEX COURIER S.A</t>
        </is>
      </c>
      <c r="F78" s="7" t="inlineStr"/>
      <c r="G78" s="7" t="inlineStr"/>
      <c r="H78" s="7" t="inlineStr">
        <is>
          <t>2353</t>
        </is>
      </c>
      <c r="I78" s="7" t="inlineStr"/>
      <c r="J78" s="7" t="inlineStr">
        <is>
          <t>frete</t>
        </is>
      </c>
      <c r="K78" s="8" t="n">
        <v>55.04</v>
      </c>
      <c r="L78" s="8" t="inlineStr"/>
      <c r="M78" s="8" t="n">
        <v>6.6</v>
      </c>
      <c r="N78" s="8" t="n">
        <v>0</v>
      </c>
      <c r="O78" s="8" t="n">
        <v>0</v>
      </c>
      <c r="P78" s="8" t="n">
        <v>0</v>
      </c>
      <c r="Q78" s="7" t="inlineStr">
        <is>
          <t>1001</t>
        </is>
      </c>
      <c r="R78" s="7" t="n"/>
      <c r="S78" s="7" t="inlineStr"/>
    </row>
    <row r="79">
      <c r="A79" s="7" t="inlineStr">
        <is>
          <t>CT-e</t>
        </is>
      </c>
      <c r="B79" s="7" t="inlineStr">
        <is>
          <t>Normal - XML pendente</t>
        </is>
      </c>
      <c r="C79" s="7" t="n">
        <v>17924803</v>
      </c>
      <c r="D79" s="18" t="n">
        <v>46294</v>
      </c>
      <c r="E79" s="7" t="inlineStr">
        <is>
          <t>TEX COURIER S.A</t>
        </is>
      </c>
      <c r="F79" s="7" t="inlineStr"/>
      <c r="G79" s="7" t="inlineStr"/>
      <c r="H79" s="7" t="inlineStr">
        <is>
          <t>2353</t>
        </is>
      </c>
      <c r="I79" s="7" t="inlineStr"/>
      <c r="J79" s="7" t="inlineStr">
        <is>
          <t>frete</t>
        </is>
      </c>
      <c r="K79" s="8" t="n">
        <v>28.56</v>
      </c>
      <c r="L79" s="8" t="inlineStr"/>
      <c r="M79" s="8" t="n">
        <v>3.43</v>
      </c>
      <c r="N79" s="8" t="n">
        <v>0</v>
      </c>
      <c r="O79" s="8" t="n">
        <v>0</v>
      </c>
      <c r="P79" s="8" t="n">
        <v>0</v>
      </c>
      <c r="Q79" s="7" t="inlineStr">
        <is>
          <t>1001</t>
        </is>
      </c>
      <c r="R79" s="7" t="n"/>
      <c r="S79" s="7" t="inlineStr"/>
    </row>
    <row r="80">
      <c r="A80" s="7" t="inlineStr">
        <is>
          <t>CT-e</t>
        </is>
      </c>
      <c r="B80" s="7" t="inlineStr">
        <is>
          <t>Normal - XML pendente</t>
        </is>
      </c>
      <c r="C80" s="7" t="n">
        <v>17817538</v>
      </c>
      <c r="D80" s="18" t="n">
        <v>46281</v>
      </c>
      <c r="E80" s="7" t="inlineStr">
        <is>
          <t>TEX COURIER S.A</t>
        </is>
      </c>
      <c r="F80" s="7" t="inlineStr"/>
      <c r="G80" s="7" t="inlineStr"/>
      <c r="H80" s="7" t="inlineStr">
        <is>
          <t>2353</t>
        </is>
      </c>
      <c r="I80" s="7" t="inlineStr"/>
      <c r="J80" s="7" t="inlineStr">
        <is>
          <t>frete</t>
        </is>
      </c>
      <c r="K80" s="8" t="n">
        <v>40.22</v>
      </c>
      <c r="L80" s="8" t="inlineStr"/>
      <c r="M80" s="8" t="n">
        <v>4.83</v>
      </c>
      <c r="N80" s="8" t="n">
        <v>0</v>
      </c>
      <c r="O80" s="8" t="n">
        <v>0</v>
      </c>
      <c r="P80" s="8" t="n">
        <v>0</v>
      </c>
      <c r="Q80" s="7" t="inlineStr">
        <is>
          <t>1001</t>
        </is>
      </c>
      <c r="R80" s="7" t="n"/>
      <c r="S80" s="7" t="inlineStr"/>
    </row>
    <row r="81">
      <c r="A81" s="7" t="inlineStr">
        <is>
          <t>CT-e</t>
        </is>
      </c>
      <c r="B81" s="7" t="inlineStr">
        <is>
          <t>Normal - XML pendente</t>
        </is>
      </c>
      <c r="C81" s="7" t="n">
        <v>17817833</v>
      </c>
      <c r="D81" s="18" t="n">
        <v>46281</v>
      </c>
      <c r="E81" s="7" t="inlineStr">
        <is>
          <t>TEX COURIER S.A</t>
        </is>
      </c>
      <c r="F81" s="7" t="inlineStr"/>
      <c r="G81" s="7" t="inlineStr"/>
      <c r="H81" s="7" t="inlineStr">
        <is>
          <t>2353</t>
        </is>
      </c>
      <c r="I81" s="7" t="inlineStr"/>
      <c r="J81" s="7" t="inlineStr">
        <is>
          <t>frete</t>
        </is>
      </c>
      <c r="K81" s="8" t="n">
        <v>55.55</v>
      </c>
      <c r="L81" s="8" t="inlineStr"/>
      <c r="M81" s="8" t="n">
        <v>6.67</v>
      </c>
      <c r="N81" s="8" t="n">
        <v>0</v>
      </c>
      <c r="O81" s="8" t="n">
        <v>0</v>
      </c>
      <c r="P81" s="8" t="n">
        <v>0</v>
      </c>
      <c r="Q81" s="7" t="inlineStr">
        <is>
          <t>1001</t>
        </is>
      </c>
      <c r="R81" s="7" t="n"/>
      <c r="S81" s="7" t="inlineStr"/>
    </row>
    <row r="82">
      <c r="A82" s="7" t="inlineStr">
        <is>
          <t>CT-e</t>
        </is>
      </c>
      <c r="B82" s="7" t="inlineStr">
        <is>
          <t>Normal - XML pendente</t>
        </is>
      </c>
      <c r="C82" s="7" t="n">
        <v>17826831</v>
      </c>
      <c r="D82" s="18" t="n">
        <v>46282</v>
      </c>
      <c r="E82" s="7" t="inlineStr">
        <is>
          <t>TEX COURIER S.A</t>
        </is>
      </c>
      <c r="F82" s="7" t="inlineStr"/>
      <c r="G82" s="7" t="inlineStr"/>
      <c r="H82" s="7" t="inlineStr">
        <is>
          <t>2353</t>
        </is>
      </c>
      <c r="I82" s="7" t="inlineStr"/>
      <c r="J82" s="7" t="inlineStr">
        <is>
          <t>frete</t>
        </is>
      </c>
      <c r="K82" s="8" t="n">
        <v>55.85</v>
      </c>
      <c r="L82" s="8" t="inlineStr"/>
      <c r="M82" s="8" t="n">
        <v>6.7</v>
      </c>
      <c r="N82" s="8" t="n">
        <v>0</v>
      </c>
      <c r="O82" s="8" t="n">
        <v>0</v>
      </c>
      <c r="P82" s="8" t="n">
        <v>0</v>
      </c>
      <c r="Q82" s="7" t="inlineStr">
        <is>
          <t>1001</t>
        </is>
      </c>
      <c r="R82" s="7" t="n"/>
      <c r="S82" s="7" t="inlineStr"/>
    </row>
    <row r="83">
      <c r="A83" s="7" t="inlineStr">
        <is>
          <t>CT-e</t>
        </is>
      </c>
      <c r="B83" s="7" t="inlineStr">
        <is>
          <t>Normal - XML pendente</t>
        </is>
      </c>
      <c r="C83" s="7" t="n">
        <v>17924811</v>
      </c>
      <c r="D83" s="18" t="n">
        <v>46294</v>
      </c>
      <c r="E83" s="7" t="inlineStr">
        <is>
          <t>TEX COURIER S.A</t>
        </is>
      </c>
      <c r="F83" s="7" t="inlineStr"/>
      <c r="G83" s="7" t="inlineStr"/>
      <c r="H83" s="7" t="inlineStr">
        <is>
          <t>2353</t>
        </is>
      </c>
      <c r="I83" s="7" t="inlineStr"/>
      <c r="J83" s="7" t="inlineStr">
        <is>
          <t>frete</t>
        </is>
      </c>
      <c r="K83" s="8" t="n">
        <v>24.74</v>
      </c>
      <c r="L83" s="8" t="inlineStr"/>
      <c r="M83" s="8" t="n">
        <v>2.97</v>
      </c>
      <c r="N83" s="8" t="n">
        <v>0</v>
      </c>
      <c r="O83" s="8" t="n">
        <v>0</v>
      </c>
      <c r="P83" s="8" t="n">
        <v>0</v>
      </c>
      <c r="Q83" s="7" t="inlineStr">
        <is>
          <t>1001</t>
        </is>
      </c>
      <c r="R83" s="7" t="n"/>
      <c r="S83" s="7" t="inlineStr"/>
    </row>
    <row r="84">
      <c r="A84" s="7" t="inlineStr">
        <is>
          <t>CT-e</t>
        </is>
      </c>
      <c r="B84" s="7" t="inlineStr">
        <is>
          <t>Normal - XML pendente</t>
        </is>
      </c>
      <c r="C84" s="7" t="n">
        <v>17901596</v>
      </c>
      <c r="D84" s="18" t="n">
        <v>46290</v>
      </c>
      <c r="E84" s="7" t="inlineStr">
        <is>
          <t>TEX COURIER S.A</t>
        </is>
      </c>
      <c r="F84" s="7" t="inlineStr"/>
      <c r="G84" s="7" t="inlineStr"/>
      <c r="H84" s="7" t="inlineStr">
        <is>
          <t>2353</t>
        </is>
      </c>
      <c r="I84" s="7" t="inlineStr"/>
      <c r="J84" s="7" t="inlineStr">
        <is>
          <t>frete</t>
        </is>
      </c>
      <c r="K84" s="8" t="n">
        <v>22.97</v>
      </c>
      <c r="L84" s="8" t="inlineStr"/>
      <c r="M84" s="8" t="n">
        <v>2.76</v>
      </c>
      <c r="N84" s="8" t="n">
        <v>0</v>
      </c>
      <c r="O84" s="8" t="n">
        <v>0</v>
      </c>
      <c r="P84" s="8" t="n">
        <v>0</v>
      </c>
      <c r="Q84" s="7" t="inlineStr">
        <is>
          <t>1001</t>
        </is>
      </c>
      <c r="R84" s="7" t="n"/>
      <c r="S84" s="7" t="inlineStr"/>
    </row>
    <row r="85">
      <c r="A85" s="7" t="inlineStr">
        <is>
          <t>CT-e</t>
        </is>
      </c>
      <c r="B85" s="7" t="inlineStr">
        <is>
          <t>Normal - XML pendente</t>
        </is>
      </c>
      <c r="C85" s="7" t="n">
        <v>17901582</v>
      </c>
      <c r="D85" s="18" t="n">
        <v>46290</v>
      </c>
      <c r="E85" s="7" t="inlineStr">
        <is>
          <t>TEX COURIER S.A</t>
        </is>
      </c>
      <c r="F85" s="7" t="inlineStr"/>
      <c r="G85" s="7" t="inlineStr"/>
      <c r="H85" s="7" t="inlineStr">
        <is>
          <t>2353</t>
        </is>
      </c>
      <c r="I85" s="7" t="inlineStr"/>
      <c r="J85" s="7" t="inlineStr">
        <is>
          <t>frete</t>
        </is>
      </c>
      <c r="K85" s="8" t="n">
        <v>51.09</v>
      </c>
      <c r="L85" s="8" t="inlineStr"/>
      <c r="M85" s="8" t="n">
        <v>6.13</v>
      </c>
      <c r="N85" s="8" t="n">
        <v>0</v>
      </c>
      <c r="O85" s="8" t="n">
        <v>0</v>
      </c>
      <c r="P85" s="8" t="n">
        <v>0</v>
      </c>
      <c r="Q85" s="7" t="inlineStr">
        <is>
          <t>1001</t>
        </is>
      </c>
      <c r="R85" s="7" t="n"/>
      <c r="S85" s="7" t="inlineStr"/>
    </row>
    <row r="86">
      <c r="A86" s="7" t="inlineStr">
        <is>
          <t>CT-e</t>
        </is>
      </c>
      <c r="B86" s="7" t="inlineStr">
        <is>
          <t>Normal - XML pendente</t>
        </is>
      </c>
      <c r="C86" s="7" t="n">
        <v>17901597</v>
      </c>
      <c r="D86" s="18" t="n">
        <v>46290</v>
      </c>
      <c r="E86" s="7" t="inlineStr">
        <is>
          <t>TEX COURIER S.A</t>
        </is>
      </c>
      <c r="F86" s="7" t="inlineStr"/>
      <c r="G86" s="7" t="inlineStr"/>
      <c r="H86" s="7" t="inlineStr">
        <is>
          <t>2353</t>
        </is>
      </c>
      <c r="I86" s="7" t="inlineStr"/>
      <c r="J86" s="7" t="inlineStr">
        <is>
          <t>frete</t>
        </is>
      </c>
      <c r="K86" s="8" t="n">
        <v>26.16</v>
      </c>
      <c r="L86" s="8" t="inlineStr"/>
      <c r="M86" s="8" t="n">
        <v>3.14</v>
      </c>
      <c r="N86" s="8" t="n">
        <v>0</v>
      </c>
      <c r="O86" s="8" t="n">
        <v>0</v>
      </c>
      <c r="P86" s="8" t="n">
        <v>0</v>
      </c>
      <c r="Q86" s="7" t="inlineStr">
        <is>
          <t>1001</t>
        </is>
      </c>
      <c r="R86" s="7" t="n"/>
      <c r="S86" s="7" t="inlineStr"/>
    </row>
    <row r="87">
      <c r="A87" s="7" t="inlineStr">
        <is>
          <t>CT-e</t>
        </is>
      </c>
      <c r="B87" s="7" t="inlineStr">
        <is>
          <t>Normal - XML pendente</t>
        </is>
      </c>
      <c r="C87" s="7" t="n">
        <v>17890191</v>
      </c>
      <c r="D87" s="18" t="n">
        <v>46289</v>
      </c>
      <c r="E87" s="7" t="inlineStr">
        <is>
          <t>TEX COURIER S.A</t>
        </is>
      </c>
      <c r="F87" s="7" t="inlineStr"/>
      <c r="G87" s="7" t="inlineStr"/>
      <c r="H87" s="7" t="inlineStr">
        <is>
          <t>2353</t>
        </is>
      </c>
      <c r="I87" s="7" t="inlineStr"/>
      <c r="J87" s="7" t="inlineStr">
        <is>
          <t>frete</t>
        </is>
      </c>
      <c r="K87" s="8" t="n">
        <v>47.65</v>
      </c>
      <c r="L87" s="8" t="inlineStr"/>
      <c r="M87" s="8" t="n">
        <v>5.72</v>
      </c>
      <c r="N87" s="8" t="n">
        <v>0</v>
      </c>
      <c r="O87" s="8" t="n">
        <v>0</v>
      </c>
      <c r="P87" s="8" t="n">
        <v>0</v>
      </c>
      <c r="Q87" s="7" t="inlineStr">
        <is>
          <t>1001</t>
        </is>
      </c>
      <c r="R87" s="7" t="n"/>
      <c r="S87" s="7" t="inlineStr"/>
    </row>
    <row r="88">
      <c r="A88" s="7" t="inlineStr">
        <is>
          <t>CT-e</t>
        </is>
      </c>
      <c r="B88" s="7" t="inlineStr">
        <is>
          <t>Cancelado (02)</t>
        </is>
      </c>
      <c r="C88" s="7" t="n">
        <v>4683984</v>
      </c>
      <c r="D88" s="18" t="n">
        <v>46268</v>
      </c>
      <c r="E88" s="7" t="inlineStr">
        <is>
          <t>RODONAVES TRANSPORTES E ENCOMENDAS LTDA</t>
        </is>
      </c>
      <c r="F88" s="7" t="inlineStr"/>
      <c r="G88" s="7" t="inlineStr"/>
      <c r="H88" s="7" t="inlineStr">
        <is>
          <t>2352</t>
        </is>
      </c>
      <c r="I88" s="7" t="inlineStr"/>
      <c r="J88" s="7" t="inlineStr">
        <is>
          <t>frete</t>
        </is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7" t="inlineStr">
        <is>
          <t>1001</t>
        </is>
      </c>
      <c r="R88" s="7" t="n"/>
      <c r="S88" s="7" t="inlineStr">
        <is>
          <t>41260944914992003820570030046839841046839848</t>
        </is>
      </c>
    </row>
    <row r="89">
      <c r="A89" s="9" t="inlineStr">
        <is>
          <t>Total</t>
        </is>
      </c>
      <c r="B89" s="9" t="inlineStr"/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10">
        <f>SUM(K4:K88)</f>
        <v/>
      </c>
      <c r="L89" s="10">
        <f>SUM(L4:L88)</f>
        <v/>
      </c>
      <c r="M89" s="10">
        <f>SUM(M4:M88)</f>
        <v/>
      </c>
      <c r="N89" s="10">
        <f>SUM(N4:N88)</f>
        <v/>
      </c>
      <c r="O89" s="10">
        <f>SUM(O4:O88)</f>
        <v/>
      </c>
      <c r="P89" s="10">
        <f>SUM(P4:P88)</f>
        <v/>
      </c>
      <c r="Q89" s="9" t="inlineStr"/>
      <c r="R89" s="9" t="inlineStr"/>
      <c r="S89" s="9" t="inlineStr"/>
    </row>
  </sheetData>
  <autoFilter ref="A3:S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6" customWidth="1" min="4" max="4"/>
    <col width="7" customWidth="1" min="5" max="5"/>
    <col width="8" customWidth="1" min="6" max="6"/>
    <col width="20" customWidth="1" min="7" max="7"/>
    <col width="10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1" customWidth="1" min="17" max="17"/>
    <col width="12" customWidth="1" min="18" max="18"/>
    <col width="10" customWidth="1" min="19" max="19"/>
  </cols>
  <sheetData>
    <row r="1">
      <c r="A1" s="1" t="inlineStr">
        <is>
          <t>Serviços tomados - valores e retenções exatamente como constam na nota (sem recálculo nem correção)</t>
        </is>
      </c>
    </row>
    <row r="3">
      <c r="A3" s="4" t="inlineStr">
        <is>
          <t>NFS-e</t>
        </is>
      </c>
      <c r="B3" s="4" t="inlineStr">
        <is>
          <t>Data</t>
        </is>
      </c>
      <c r="C3" s="4" t="inlineStr">
        <is>
          <t>Prestador</t>
        </is>
      </c>
      <c r="D3" s="4" t="inlineStr">
        <is>
          <t>CNPJ</t>
        </is>
      </c>
      <c r="E3" s="4" t="inlineStr">
        <is>
          <t>Simples</t>
        </is>
      </c>
      <c r="F3" s="4" t="inlineStr">
        <is>
          <t>Cód. serviço</t>
        </is>
      </c>
      <c r="G3" s="4" t="inlineStr">
        <is>
          <t>Município prestador</t>
        </is>
      </c>
      <c r="H3" s="4" t="inlineStr">
        <is>
          <t>Situação</t>
        </is>
      </c>
      <c r="I3" s="4" t="inlineStr">
        <is>
          <t>Valor</t>
        </is>
      </c>
      <c r="J3" s="4" t="inlineStr">
        <is>
          <t>Base ISS</t>
        </is>
      </c>
      <c r="K3" s="4" t="inlineStr">
        <is>
          <t>ISS</t>
        </is>
      </c>
      <c r="L3" s="4" t="inlineStr">
        <is>
          <t>ISS retido</t>
        </is>
      </c>
      <c r="M3" s="4" t="inlineStr">
        <is>
          <t>IRRF</t>
        </is>
      </c>
      <c r="N3" s="4" t="inlineStr">
        <is>
          <t>PIS</t>
        </is>
      </c>
      <c r="O3" s="4" t="inlineStr">
        <is>
          <t>COFINS</t>
        </is>
      </c>
      <c r="P3" s="4" t="inlineStr">
        <is>
          <t>Outras retenções</t>
        </is>
      </c>
      <c r="Q3" s="4" t="inlineStr">
        <is>
          <t>Líquido</t>
        </is>
      </c>
      <c r="R3" s="4" t="inlineStr">
        <is>
          <t>Total descontado (valor - líquido)</t>
        </is>
      </c>
      <c r="S3" s="4" t="inlineStr">
        <is>
          <t>Acumulador</t>
        </is>
      </c>
    </row>
    <row r="4">
      <c r="A4" s="12" t="inlineStr">
        <is>
          <t>2709751</t>
        </is>
      </c>
      <c r="B4" s="12" t="inlineStr">
        <is>
          <t>01/09/2026</t>
        </is>
      </c>
      <c r="C4" s="12" t="inlineStr">
        <is>
          <t>LIGGA</t>
        </is>
      </c>
      <c r="D4" s="12" t="inlineStr">
        <is>
          <t>65649511000184</t>
        </is>
      </c>
      <c r="E4" s="12" t="inlineStr">
        <is>
          <t>Não</t>
        </is>
      </c>
      <c r="F4" s="12" t="inlineStr">
        <is>
          <t>0109</t>
        </is>
      </c>
      <c r="G4" s="12" t="inlineStr"/>
      <c r="H4" s="12" t="inlineStr">
        <is>
          <t>Normal</t>
        </is>
      </c>
      <c r="I4" s="14" t="n">
        <v>195.97</v>
      </c>
      <c r="J4" s="14" t="n">
        <v>195.97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s="14" t="n">
        <v>195.97</v>
      </c>
      <c r="R4" s="14" t="n">
        <v>0</v>
      </c>
      <c r="S4" s="12" t="inlineStr">
        <is>
          <t>819 (83,99 serviços técnicos) / 820 (195,97 biblioteca)</t>
        </is>
      </c>
    </row>
    <row r="5">
      <c r="A5" s="12" t="inlineStr">
        <is>
          <t>469</t>
        </is>
      </c>
      <c r="B5" s="12" t="inlineStr">
        <is>
          <t>01/09/2026</t>
        </is>
      </c>
      <c r="C5" s="12" t="inlineStr">
        <is>
          <t>OFICINA DO IMPRESSO</t>
        </is>
      </c>
      <c r="D5" s="12" t="inlineStr">
        <is>
          <t>00495545000116</t>
        </is>
      </c>
      <c r="E5" s="12" t="inlineStr">
        <is>
          <t>Não</t>
        </is>
      </c>
      <c r="F5" s="12" t="inlineStr">
        <is>
          <t>1305</t>
        </is>
      </c>
      <c r="G5" s="12" t="inlineStr"/>
      <c r="H5" s="12" t="inlineStr">
        <is>
          <t>Normal</t>
        </is>
      </c>
      <c r="I5" s="14" t="n">
        <v>1998</v>
      </c>
      <c r="J5" s="14" t="n">
        <v>1998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1998</v>
      </c>
      <c r="R5" s="14" t="n">
        <v>0</v>
      </c>
      <c r="S5" s="12" t="inlineStr">
        <is>
          <t>830</t>
        </is>
      </c>
    </row>
    <row r="6">
      <c r="A6" s="12" t="inlineStr">
        <is>
          <t>18</t>
        </is>
      </c>
      <c r="B6" s="12" t="inlineStr">
        <is>
          <t>01/09/2026</t>
        </is>
      </c>
      <c r="C6" s="12" t="inlineStr">
        <is>
          <t>GENESIS ALIANCA</t>
        </is>
      </c>
      <c r="D6" s="12" t="inlineStr">
        <is>
          <t>67742984000157</t>
        </is>
      </c>
      <c r="E6" s="12" t="inlineStr">
        <is>
          <t>Não</t>
        </is>
      </c>
      <c r="F6" s="12" t="inlineStr">
        <is>
          <t>0401</t>
        </is>
      </c>
      <c r="G6" s="12" t="inlineStr"/>
      <c r="H6" s="12" t="inlineStr">
        <is>
          <t>Normal</t>
        </is>
      </c>
      <c r="I6" s="14" t="n">
        <v>728.14</v>
      </c>
      <c r="J6" s="14" t="n">
        <v>728.14</v>
      </c>
      <c r="K6" s="14" t="n">
        <v>0</v>
      </c>
      <c r="L6" s="14" t="n">
        <v>0</v>
      </c>
      <c r="M6" s="14" t="n">
        <v>10.92</v>
      </c>
      <c r="N6" s="14" t="n">
        <v>0</v>
      </c>
      <c r="O6" s="14" t="n">
        <v>0</v>
      </c>
      <c r="P6" s="14" t="n">
        <v>0</v>
      </c>
      <c r="Q6" s="14" t="n">
        <v>717.22</v>
      </c>
      <c r="R6" s="14" t="n">
        <v>10.92</v>
      </c>
      <c r="S6" s="12" t="inlineStr">
        <is>
          <t>definir</t>
        </is>
      </c>
    </row>
    <row r="7">
      <c r="A7" s="12" t="inlineStr">
        <is>
          <t>974</t>
        </is>
      </c>
      <c r="B7" s="12" t="inlineStr">
        <is>
          <t>01/09/2026</t>
        </is>
      </c>
      <c r="C7" s="12" t="inlineStr">
        <is>
          <t>TIPOGRAFIA IGUACU</t>
        </is>
      </c>
      <c r="D7" s="12" t="inlineStr">
        <is>
          <t>75114363000157</t>
        </is>
      </c>
      <c r="E7" s="12" t="inlineStr">
        <is>
          <t>Sim</t>
        </is>
      </c>
      <c r="F7" s="12" t="inlineStr">
        <is>
          <t>1305</t>
        </is>
      </c>
      <c r="G7" s="12" t="inlineStr"/>
      <c r="H7" s="12" t="inlineStr">
        <is>
          <t>Normal</t>
        </is>
      </c>
      <c r="I7" s="14" t="n">
        <v>72.59999999999999</v>
      </c>
      <c r="J7" s="14" t="n">
        <v>72.59999999999999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72.59999999999999</v>
      </c>
      <c r="R7" s="14" t="n">
        <v>0</v>
      </c>
      <c r="S7" s="12" t="inlineStr">
        <is>
          <t>definir</t>
        </is>
      </c>
    </row>
    <row r="8">
      <c r="A8" s="12" t="inlineStr">
        <is>
          <t>908</t>
        </is>
      </c>
      <c r="B8" s="12" t="inlineStr">
        <is>
          <t>01/09/2026</t>
        </is>
      </c>
      <c r="C8" s="12" t="inlineStr">
        <is>
          <t>CRM TECNOLOGIA</t>
        </is>
      </c>
      <c r="D8" s="12" t="inlineStr">
        <is>
          <t>24891333000116</t>
        </is>
      </c>
      <c r="E8" s="12" t="inlineStr">
        <is>
          <t>Sim</t>
        </is>
      </c>
      <c r="F8" s="12" t="inlineStr">
        <is>
          <t>0101</t>
        </is>
      </c>
      <c r="G8" s="12" t="inlineStr"/>
      <c r="H8" s="12" t="inlineStr">
        <is>
          <t>Normal</t>
        </is>
      </c>
      <c r="I8" s="14" t="n">
        <v>2859.58</v>
      </c>
      <c r="J8" s="14" t="n">
        <v>2859.58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2859.58</v>
      </c>
      <c r="R8" s="14" t="n">
        <v>0</v>
      </c>
      <c r="S8" s="12" t="inlineStr">
        <is>
          <t>811</t>
        </is>
      </c>
    </row>
    <row r="9">
      <c r="A9" s="12" t="inlineStr">
        <is>
          <t>5588821</t>
        </is>
      </c>
      <c r="B9" s="12" t="inlineStr">
        <is>
          <t>01/09/2026</t>
        </is>
      </c>
      <c r="C9" s="12" t="inlineStr">
        <is>
          <t>FLASH</t>
        </is>
      </c>
      <c r="D9" s="12" t="inlineStr">
        <is>
          <t>32223020000118</t>
        </is>
      </c>
      <c r="E9" s="12" t="inlineStr">
        <is>
          <t>Não</t>
        </is>
      </c>
      <c r="F9" s="12" t="inlineStr">
        <is>
          <t>1712</t>
        </is>
      </c>
      <c r="G9" s="12" t="inlineStr"/>
      <c r="H9" s="12" t="inlineStr">
        <is>
          <t>Normal</t>
        </is>
      </c>
      <c r="I9" s="14" t="n">
        <v>6105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6105</v>
      </c>
      <c r="R9" s="14" t="n">
        <v>0</v>
      </c>
      <c r="S9" s="12" t="inlineStr">
        <is>
          <t>816</t>
        </is>
      </c>
    </row>
    <row r="10">
      <c r="A10" s="12" t="inlineStr">
        <is>
          <t>9530</t>
        </is>
      </c>
      <c r="B10" s="12" t="inlineStr">
        <is>
          <t>01/09/2026</t>
        </is>
      </c>
      <c r="C10" s="12" t="inlineStr">
        <is>
          <t>INSETCONTROL</t>
        </is>
      </c>
      <c r="D10" s="12" t="inlineStr">
        <is>
          <t>14309879000162</t>
        </is>
      </c>
      <c r="E10" s="12" t="inlineStr">
        <is>
          <t>Sim</t>
        </is>
      </c>
      <c r="F10" s="12" t="inlineStr">
        <is>
          <t>0713</t>
        </is>
      </c>
      <c r="G10" s="12" t="inlineStr"/>
      <c r="H10" s="12" t="inlineStr">
        <is>
          <t>Normal</t>
        </is>
      </c>
      <c r="I10" s="14" t="n">
        <v>730</v>
      </c>
      <c r="J10" s="14" t="n">
        <v>730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730</v>
      </c>
      <c r="R10" s="14" t="n">
        <v>0</v>
      </c>
      <c r="S10" s="12" t="inlineStr">
        <is>
          <t>826</t>
        </is>
      </c>
    </row>
    <row r="11">
      <c r="A11" s="12" t="inlineStr">
        <is>
          <t>10</t>
        </is>
      </c>
      <c r="B11" s="12" t="inlineStr">
        <is>
          <t>01/09/2026</t>
        </is>
      </c>
      <c r="C11" s="12" t="inlineStr">
        <is>
          <t>BIOACTIVE</t>
        </is>
      </c>
      <c r="D11" s="12" t="inlineStr">
        <is>
          <t>59684382000162</t>
        </is>
      </c>
      <c r="E11" s="12" t="inlineStr">
        <is>
          <t>Sim</t>
        </is>
      </c>
      <c r="F11" s="12" t="inlineStr">
        <is>
          <t>0201</t>
        </is>
      </c>
      <c r="G11" s="12" t="inlineStr"/>
      <c r="H11" s="12" t="inlineStr">
        <is>
          <t>Normal</t>
        </is>
      </c>
      <c r="I11" s="14" t="n">
        <v>1000</v>
      </c>
      <c r="J11" s="14" t="n">
        <v>1000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1000</v>
      </c>
      <c r="R11" s="14" t="n">
        <v>0</v>
      </c>
      <c r="S11" s="12" t="inlineStr">
        <is>
          <t>810</t>
        </is>
      </c>
    </row>
    <row r="12">
      <c r="A12" s="12" t="inlineStr">
        <is>
          <t>45454</t>
        </is>
      </c>
      <c r="B12" s="12" t="inlineStr">
        <is>
          <t>01/09/2026</t>
        </is>
      </c>
      <c r="C12" s="12" t="inlineStr">
        <is>
          <t>GL HOTEIS</t>
        </is>
      </c>
      <c r="D12" s="12" t="inlineStr">
        <is>
          <t>48395289000111</t>
        </is>
      </c>
      <c r="E12" s="12" t="inlineStr">
        <is>
          <t>Não</t>
        </is>
      </c>
      <c r="F12" s="12" t="inlineStr">
        <is>
          <t>0901</t>
        </is>
      </c>
      <c r="G12" s="12" t="inlineStr"/>
      <c r="H12" s="12" t="inlineStr">
        <is>
          <t>Normal</t>
        </is>
      </c>
      <c r="I12" s="14" t="n">
        <v>12980</v>
      </c>
      <c r="J12" s="14" t="n">
        <v>12980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12980</v>
      </c>
      <c r="R12" s="14" t="n">
        <v>0</v>
      </c>
      <c r="S12" s="12" t="inlineStr">
        <is>
          <t>definir</t>
        </is>
      </c>
    </row>
    <row r="13">
      <c r="A13" s="12" t="inlineStr">
        <is>
          <t>507</t>
        </is>
      </c>
      <c r="B13" s="12" t="inlineStr">
        <is>
          <t>01/09/2026</t>
        </is>
      </c>
      <c r="C13" s="12" t="inlineStr">
        <is>
          <t>ANDRADE ENGENHARIA</t>
        </is>
      </c>
      <c r="D13" s="12" t="inlineStr">
        <is>
          <t>80402860000190</t>
        </is>
      </c>
      <c r="E13" s="12" t="inlineStr">
        <is>
          <t>Sim</t>
        </is>
      </c>
      <c r="F13" s="12" t="inlineStr">
        <is>
          <t>1701</t>
        </is>
      </c>
      <c r="G13" s="12" t="inlineStr"/>
      <c r="H13" s="12" t="inlineStr">
        <is>
          <t>Normal</t>
        </is>
      </c>
      <c r="I13" s="14" t="n">
        <v>1124.56</v>
      </c>
      <c r="J13" s="14" t="n">
        <v>1124.56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1124.56</v>
      </c>
      <c r="R13" s="14" t="n">
        <v>0</v>
      </c>
      <c r="S13" s="12" t="inlineStr">
        <is>
          <t>825</t>
        </is>
      </c>
    </row>
    <row r="14">
      <c r="A14" s="12" t="inlineStr">
        <is>
          <t>8798</t>
        </is>
      </c>
      <c r="B14" s="12" t="inlineStr">
        <is>
          <t>01/09/2026</t>
        </is>
      </c>
      <c r="C14" s="12" t="inlineStr">
        <is>
          <t>DOM RICARDO HOTEL</t>
        </is>
      </c>
      <c r="D14" s="12" t="inlineStr">
        <is>
          <t>01790040000147</t>
        </is>
      </c>
      <c r="E14" s="12" t="inlineStr">
        <is>
          <t>Não</t>
        </is>
      </c>
      <c r="F14" s="12" t="inlineStr">
        <is>
          <t>0901</t>
        </is>
      </c>
      <c r="G14" s="12" t="inlineStr"/>
      <c r="H14" s="12" t="inlineStr">
        <is>
          <t>Normal</t>
        </is>
      </c>
      <c r="I14" s="14" t="n">
        <v>3510.88</v>
      </c>
      <c r="J14" s="14" t="n">
        <v>3510.88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3510.88</v>
      </c>
      <c r="R14" s="14" t="n">
        <v>0</v>
      </c>
      <c r="S14" s="12" t="inlineStr">
        <is>
          <t>definir</t>
        </is>
      </c>
    </row>
    <row r="15">
      <c r="A15" s="12" t="inlineStr">
        <is>
          <t>2709747</t>
        </is>
      </c>
      <c r="B15" s="12" t="inlineStr">
        <is>
          <t>01/09/2026</t>
        </is>
      </c>
      <c r="C15" s="12" t="inlineStr">
        <is>
          <t>LIGGA</t>
        </is>
      </c>
      <c r="D15" s="12" t="inlineStr">
        <is>
          <t>65649511000184</t>
        </is>
      </c>
      <c r="E15" s="12" t="inlineStr">
        <is>
          <t>Não</t>
        </is>
      </c>
      <c r="F15" s="12" t="inlineStr">
        <is>
          <t>3101</t>
        </is>
      </c>
      <c r="G15" s="12" t="inlineStr"/>
      <c r="H15" s="12" t="inlineStr">
        <is>
          <t>Normal</t>
        </is>
      </c>
      <c r="I15" s="14" t="n">
        <v>83.98999999999999</v>
      </c>
      <c r="J15" s="14" t="n">
        <v>83.98999999999999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83.98999999999999</v>
      </c>
      <c r="R15" s="14" t="n">
        <v>0</v>
      </c>
      <c r="S15" s="12" t="inlineStr">
        <is>
          <t>819 (83,99 serviços técnicos) / 820 (195,97 biblioteca)</t>
        </is>
      </c>
    </row>
    <row r="16">
      <c r="A16" s="12" t="inlineStr">
        <is>
          <t>817660</t>
        </is>
      </c>
      <c r="B16" s="12" t="inlineStr">
        <is>
          <t>01/09/2026</t>
        </is>
      </c>
      <c r="C16" s="12" t="inlineStr">
        <is>
          <t>DENTAL UNI</t>
        </is>
      </c>
      <c r="D16" s="12" t="inlineStr">
        <is>
          <t>78738101000151</t>
        </is>
      </c>
      <c r="E16" s="12" t="inlineStr">
        <is>
          <t>Não</t>
        </is>
      </c>
      <c r="F16" s="12" t="inlineStr">
        <is>
          <t>0422</t>
        </is>
      </c>
      <c r="G16" s="12" t="inlineStr"/>
      <c r="H16" s="12" t="inlineStr">
        <is>
          <t>Normal</t>
        </is>
      </c>
      <c r="I16" s="14" t="n">
        <v>107.56</v>
      </c>
      <c r="J16" s="14" t="n">
        <v>18.29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107.56</v>
      </c>
      <c r="R16" s="14" t="n">
        <v>0</v>
      </c>
      <c r="S16" s="12" t="inlineStr">
        <is>
          <t>824</t>
        </is>
      </c>
    </row>
    <row r="17">
      <c r="A17" s="12" t="inlineStr">
        <is>
          <t>1547</t>
        </is>
      </c>
      <c r="B17" s="12" t="inlineStr">
        <is>
          <t>01/09/2026</t>
        </is>
      </c>
      <c r="C17" s="12" t="inlineStr">
        <is>
          <t>PENSU EXACTU</t>
        </is>
      </c>
      <c r="D17" s="12" t="inlineStr">
        <is>
          <t>07768652000110</t>
        </is>
      </c>
      <c r="E17" s="12" t="inlineStr">
        <is>
          <t>Sim</t>
        </is>
      </c>
      <c r="F17" s="12" t="inlineStr">
        <is>
          <t>1709</t>
        </is>
      </c>
      <c r="G17" s="12" t="inlineStr"/>
      <c r="H17" s="12" t="inlineStr">
        <is>
          <t>Normal</t>
        </is>
      </c>
      <c r="I17" s="14" t="n">
        <v>612.25</v>
      </c>
      <c r="J17" s="14" t="n">
        <v>612.25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612.25</v>
      </c>
      <c r="R17" s="14" t="n">
        <v>0</v>
      </c>
      <c r="S17" s="12" t="inlineStr">
        <is>
          <t>803</t>
        </is>
      </c>
    </row>
    <row r="18">
      <c r="A18" s="12" t="inlineStr">
        <is>
          <t>11</t>
        </is>
      </c>
      <c r="B18" s="12" t="inlineStr">
        <is>
          <t>01/09/2026</t>
        </is>
      </c>
      <c r="C18" s="12" t="inlineStr">
        <is>
          <t>BIOACTIVE</t>
        </is>
      </c>
      <c r="D18" s="12" t="inlineStr">
        <is>
          <t>59684382000162</t>
        </is>
      </c>
      <c r="E18" s="12" t="inlineStr">
        <is>
          <t>Sim</t>
        </is>
      </c>
      <c r="F18" s="12" t="inlineStr">
        <is>
          <t>0201</t>
        </is>
      </c>
      <c r="G18" s="12" t="inlineStr"/>
      <c r="H18" s="12" t="inlineStr">
        <is>
          <t>Normal</t>
        </is>
      </c>
      <c r="I18" s="14" t="n">
        <v>7456.04</v>
      </c>
      <c r="J18" s="14" t="n">
        <v>7456.04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7456.04</v>
      </c>
      <c r="R18" s="14" t="n">
        <v>0</v>
      </c>
      <c r="S18" s="12" t="inlineStr">
        <is>
          <t>810</t>
        </is>
      </c>
    </row>
    <row r="19">
      <c r="A19" s="12" t="inlineStr">
        <is>
          <t>72</t>
        </is>
      </c>
      <c r="B19" s="12" t="inlineStr">
        <is>
          <t>01/09/2026</t>
        </is>
      </c>
      <c r="C19" s="12" t="inlineStr">
        <is>
          <t>SAVATEC</t>
        </is>
      </c>
      <c r="D19" s="12" t="inlineStr">
        <is>
          <t>59087034000108</t>
        </is>
      </c>
      <c r="E19" s="12" t="inlineStr">
        <is>
          <t>Sim</t>
        </is>
      </c>
      <c r="F19" s="12" t="inlineStr">
        <is>
          <t>1401</t>
        </is>
      </c>
      <c r="G19" s="12" t="inlineStr"/>
      <c r="H19" s="12" t="inlineStr">
        <is>
          <t>Normal</t>
        </is>
      </c>
      <c r="I19" s="14" t="n">
        <v>1090</v>
      </c>
      <c r="J19" s="14" t="n">
        <v>1090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1090</v>
      </c>
      <c r="R19" s="14" t="n">
        <v>0</v>
      </c>
      <c r="S19" s="12" t="inlineStr">
        <is>
          <t>definir</t>
        </is>
      </c>
    </row>
    <row r="20">
      <c r="A20" s="12" t="inlineStr">
        <is>
          <t>173228</t>
        </is>
      </c>
      <c r="B20" s="12" t="inlineStr">
        <is>
          <t>01/09/2026</t>
        </is>
      </c>
      <c r="C20" s="12" t="inlineStr">
        <is>
          <t>TECNOPONTO</t>
        </is>
      </c>
      <c r="D20" s="12" t="inlineStr">
        <is>
          <t>77800407000128</t>
        </is>
      </c>
      <c r="E20" s="12" t="inlineStr">
        <is>
          <t>Não</t>
        </is>
      </c>
      <c r="F20" s="12" t="inlineStr">
        <is>
          <t>0107</t>
        </is>
      </c>
      <c r="G20" s="12" t="inlineStr"/>
      <c r="H20" s="12" t="inlineStr">
        <is>
          <t>Normal</t>
        </is>
      </c>
      <c r="I20" s="14" t="n">
        <v>74.90000000000001</v>
      </c>
      <c r="J20" s="14" t="n">
        <v>74.90000000000001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74.90000000000001</v>
      </c>
      <c r="R20" s="14" t="n">
        <v>0</v>
      </c>
      <c r="S20" s="12" t="inlineStr">
        <is>
          <t>823</t>
        </is>
      </c>
    </row>
    <row r="21">
      <c r="A21" s="12" t="inlineStr">
        <is>
          <t>9227</t>
        </is>
      </c>
      <c r="B21" s="12" t="inlineStr">
        <is>
          <t>01/09/2026</t>
        </is>
      </c>
      <c r="C21" s="12" t="inlineStr">
        <is>
          <t>PLUS SANTE</t>
        </is>
      </c>
      <c r="D21" s="12" t="inlineStr">
        <is>
          <t>04523560000181</t>
        </is>
      </c>
      <c r="E21" s="12" t="inlineStr">
        <is>
          <t>Não</t>
        </is>
      </c>
      <c r="F21" s="12" t="inlineStr">
        <is>
          <t>0421</t>
        </is>
      </c>
      <c r="G21" s="12" t="inlineStr"/>
      <c r="H21" s="12" t="inlineStr">
        <is>
          <t>Normal</t>
        </is>
      </c>
      <c r="I21" s="14" t="n">
        <v>342.3</v>
      </c>
      <c r="J21" s="14" t="n">
        <v>342.3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342.3</v>
      </c>
      <c r="R21" s="14" t="n">
        <v>0</v>
      </c>
      <c r="S21" s="12" t="inlineStr">
        <is>
          <t>821</t>
        </is>
      </c>
    </row>
    <row r="22">
      <c r="A22" s="12" t="inlineStr">
        <is>
          <t>243079</t>
        </is>
      </c>
      <c r="B22" s="12" t="inlineStr">
        <is>
          <t>01/09/2026</t>
        </is>
      </c>
      <c r="C22" s="12" t="inlineStr">
        <is>
          <t>NEXTAR</t>
        </is>
      </c>
      <c r="D22" s="12" t="inlineStr">
        <is>
          <t>04580911000196</t>
        </is>
      </c>
      <c r="E22" s="12" t="inlineStr">
        <is>
          <t>Não</t>
        </is>
      </c>
      <c r="F22" s="12" t="inlineStr">
        <is>
          <t>0105</t>
        </is>
      </c>
      <c r="G22" s="12" t="inlineStr"/>
      <c r="H22" s="12" t="inlineStr">
        <is>
          <t>Normal</t>
        </is>
      </c>
      <c r="I22" s="14" t="n">
        <v>119</v>
      </c>
      <c r="J22" s="14" t="n">
        <v>119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119</v>
      </c>
      <c r="R22" s="14" t="n">
        <v>0</v>
      </c>
      <c r="S22" s="12" t="inlineStr">
        <is>
          <t>818</t>
        </is>
      </c>
    </row>
    <row r="23">
      <c r="A23" s="12" t="inlineStr">
        <is>
          <t>43</t>
        </is>
      </c>
      <c r="B23" s="12" t="inlineStr">
        <is>
          <t>01/09/2026</t>
        </is>
      </c>
      <c r="C23" s="12" t="inlineStr">
        <is>
          <t>EXTRALAB</t>
        </is>
      </c>
      <c r="D23" s="12" t="inlineStr">
        <is>
          <t>04665405000108</t>
        </is>
      </c>
      <c r="E23" s="12" t="inlineStr">
        <is>
          <t>Não</t>
        </is>
      </c>
      <c r="F23" s="12" t="inlineStr">
        <is>
          <t>1401</t>
        </is>
      </c>
      <c r="G23" s="12" t="inlineStr"/>
      <c r="H23" s="12" t="inlineStr">
        <is>
          <t>Normal</t>
        </is>
      </c>
      <c r="I23" s="14" t="n">
        <v>1835.5</v>
      </c>
      <c r="J23" s="14" t="n">
        <v>1835.5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1750.15</v>
      </c>
      <c r="R23" s="14" t="n">
        <v>85.34999999999999</v>
      </c>
      <c r="S23" s="12" t="inlineStr">
        <is>
          <t>definir</t>
        </is>
      </c>
    </row>
    <row r="24">
      <c r="A24" s="12" t="inlineStr">
        <is>
          <t>5661351</t>
        </is>
      </c>
      <c r="B24" s="12" t="inlineStr">
        <is>
          <t>01/09/2026</t>
        </is>
      </c>
      <c r="C24" s="12" t="inlineStr">
        <is>
          <t>FLASH</t>
        </is>
      </c>
      <c r="D24" s="12" t="inlineStr">
        <is>
          <t>32223020000118</t>
        </is>
      </c>
      <c r="E24" s="12" t="inlineStr">
        <is>
          <t>Não</t>
        </is>
      </c>
      <c r="F24" s="12" t="inlineStr">
        <is>
          <t>1712</t>
        </is>
      </c>
      <c r="G24" s="12" t="inlineStr"/>
      <c r="H24" s="12" t="inlineStr">
        <is>
          <t>Normal</t>
        </is>
      </c>
      <c r="I24" s="14" t="n">
        <v>4142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4142</v>
      </c>
      <c r="R24" s="14" t="n">
        <v>0</v>
      </c>
      <c r="S24" s="12" t="inlineStr">
        <is>
          <t>816</t>
        </is>
      </c>
    </row>
    <row r="25">
      <c r="A25" s="9" t="inlineStr">
        <is>
          <t>Total</t>
        </is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10">
        <f>SUM(I4:I24)</f>
        <v/>
      </c>
      <c r="J25" s="10">
        <f>SUM(J4:J24)</f>
        <v/>
      </c>
      <c r="K25" s="10">
        <f>SUM(K4:K24)</f>
        <v/>
      </c>
      <c r="L25" s="10">
        <f>SUM(L4:L24)</f>
        <v/>
      </c>
      <c r="M25" s="10">
        <f>SUM(M4:M24)</f>
        <v/>
      </c>
      <c r="N25" s="10">
        <f>SUM(N4:N24)</f>
        <v/>
      </c>
      <c r="O25" s="10">
        <f>SUM(O4:O24)</f>
        <v/>
      </c>
      <c r="P25" s="10">
        <f>SUM(P4:P24)</f>
        <v/>
      </c>
      <c r="Q25" s="10">
        <f>SUM(Q4:Q24)</f>
        <v/>
      </c>
      <c r="R25" s="10">
        <f>SUM(R4:R24)</f>
        <v/>
      </c>
      <c r="S25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0" customWidth="1" min="9" max="9"/>
    <col width="10" customWidth="1" min="10" max="10"/>
    <col width="50" customWidth="1" min="11" max="11"/>
  </cols>
  <sheetData>
    <row r="1">
      <c r="A1" s="1" t="inlineStr">
        <is>
          <t>Saídas: XML x relatório de faturamento do ERP (Cosmos) x relatório SIEG</t>
        </is>
      </c>
    </row>
    <row r="3">
      <c r="A3" s="4" t="inlineStr">
        <is>
          <t>NF</t>
        </is>
      </c>
      <c r="B3" s="4" t="inlineStr">
        <is>
          <t>Emissão</t>
        </is>
      </c>
      <c r="C3" s="4" t="inlineStr">
        <is>
          <t>Cliente</t>
        </is>
      </c>
      <c r="D3" s="4" t="inlineStr">
        <is>
          <t>Vlr XML</t>
        </is>
      </c>
      <c r="E3" s="4" t="inlineStr">
        <is>
          <t>Vlr ERP</t>
        </is>
      </c>
      <c r="F3" s="4" t="inlineStr">
        <is>
          <t>Vlr SIEG</t>
        </is>
      </c>
      <c r="G3" s="4" t="inlineStr">
        <is>
          <t>ICMS XML</t>
        </is>
      </c>
      <c r="H3" s="4" t="inlineStr">
        <is>
          <t>ICMS ERP</t>
        </is>
      </c>
      <c r="I3" s="4" t="inlineStr">
        <is>
          <t>IPI XML</t>
        </is>
      </c>
      <c r="J3" s="4" t="inlineStr">
        <is>
          <t>IPI ERP</t>
        </is>
      </c>
      <c r="K3" s="4" t="inlineStr">
        <is>
          <t>Resultado</t>
        </is>
      </c>
    </row>
    <row r="4">
      <c r="A4" s="12" t="n">
        <v>8939</v>
      </c>
      <c r="B4" s="17" t="n">
        <v>46267</v>
      </c>
      <c r="C4" s="12" t="inlineStr">
        <is>
          <t>CANDIDO COMERCIO DE COSMETICOS - EIRELI</t>
        </is>
      </c>
      <c r="D4" s="14" t="n">
        <v>556.05</v>
      </c>
      <c r="E4" s="14" t="n">
        <v>556.05</v>
      </c>
      <c r="F4" s="14" t="n">
        <v>556.05</v>
      </c>
      <c r="G4" s="14" t="n">
        <v>108.44</v>
      </c>
      <c r="H4" s="14" t="n">
        <v>108.44</v>
      </c>
      <c r="I4" s="14" t="n">
        <v>0</v>
      </c>
      <c r="J4" s="14" t="n">
        <v>0</v>
      </c>
      <c r="K4" s="12" t="inlineStr">
        <is>
          <t>OK</t>
        </is>
      </c>
    </row>
    <row r="5">
      <c r="A5" s="7" t="n">
        <v>8940</v>
      </c>
      <c r="B5" s="7" t="n"/>
      <c r="C5" s="7" t="n"/>
      <c r="D5" s="8" t="n"/>
      <c r="E5" s="8" t="n"/>
      <c r="F5" s="8" t="n">
        <v>7368</v>
      </c>
      <c r="G5" s="8" t="n"/>
      <c r="H5" s="8" t="n"/>
      <c r="I5" s="8" t="n"/>
      <c r="J5" s="8" t="n"/>
      <c r="K5" s="7" t="inlineStr">
        <is>
          <t>cancelada</t>
        </is>
      </c>
    </row>
    <row r="6">
      <c r="A6" s="12" t="n">
        <v>8941</v>
      </c>
      <c r="B6" s="17" t="n">
        <v>46267</v>
      </c>
      <c r="C6" s="12" t="inlineStr">
        <is>
          <t>R&amp;S COMERCIO DE COSMETICOS LTDA</t>
        </is>
      </c>
      <c r="D6" s="14" t="n">
        <v>7368</v>
      </c>
      <c r="E6" s="14" t="n">
        <v>7368</v>
      </c>
      <c r="F6" s="14" t="n">
        <v>7368</v>
      </c>
      <c r="G6" s="14" t="n">
        <v>884.16</v>
      </c>
      <c r="H6" s="14" t="n">
        <v>884.16</v>
      </c>
      <c r="I6" s="14" t="n">
        <v>0</v>
      </c>
      <c r="J6" s="14" t="n">
        <v>0</v>
      </c>
      <c r="K6" s="12" t="inlineStr">
        <is>
          <t>OK</t>
        </is>
      </c>
    </row>
    <row r="7">
      <c r="A7" s="12" t="n">
        <v>8942</v>
      </c>
      <c r="B7" s="17" t="n">
        <v>46267</v>
      </c>
      <c r="C7" s="12" t="inlineStr">
        <is>
          <t>R&amp;S COMERCIO DE COSMETICOS LTDA</t>
        </is>
      </c>
      <c r="D7" s="14" t="n">
        <v>1050.6</v>
      </c>
      <c r="E7" s="14" t="n">
        <v>1050.6</v>
      </c>
      <c r="F7" s="14" t="n">
        <v>1050.6</v>
      </c>
      <c r="G7" s="14" t="n">
        <v>0</v>
      </c>
      <c r="H7" s="14" t="n">
        <v>0</v>
      </c>
      <c r="I7" s="14" t="n">
        <v>0</v>
      </c>
      <c r="J7" s="14" t="n">
        <v>0</v>
      </c>
      <c r="K7" s="12" t="inlineStr">
        <is>
          <t>OK</t>
        </is>
      </c>
    </row>
    <row r="8">
      <c r="A8" s="12" t="n">
        <v>8943</v>
      </c>
      <c r="B8" s="17" t="n">
        <v>46267</v>
      </c>
      <c r="C8" s="12" t="inlineStr">
        <is>
          <t>MIX PERFUMARIA LTDA</t>
        </is>
      </c>
      <c r="D8" s="14" t="n">
        <v>5366.4</v>
      </c>
      <c r="E8" s="14" t="n">
        <v>5366.4</v>
      </c>
      <c r="F8" s="14" t="n">
        <v>5366.4</v>
      </c>
      <c r="G8" s="14" t="n">
        <v>0</v>
      </c>
      <c r="H8" s="14" t="n">
        <v>0</v>
      </c>
      <c r="I8" s="14" t="n">
        <v>0</v>
      </c>
      <c r="J8" s="14" t="n">
        <v>0</v>
      </c>
      <c r="K8" s="12" t="inlineStr">
        <is>
          <t>OK</t>
        </is>
      </c>
    </row>
    <row r="9">
      <c r="A9" s="12" t="n">
        <v>8944</v>
      </c>
      <c r="B9" s="17" t="n">
        <v>46267</v>
      </c>
      <c r="C9" s="12" t="inlineStr">
        <is>
          <t>MIX PERFUMARIA LTDA</t>
        </is>
      </c>
      <c r="D9" s="14" t="n">
        <v>421.2</v>
      </c>
      <c r="E9" s="14" t="n">
        <v>421.2</v>
      </c>
      <c r="F9" s="14" t="n">
        <v>421.2</v>
      </c>
      <c r="G9" s="14" t="n">
        <v>0</v>
      </c>
      <c r="H9" s="14" t="n">
        <v>0</v>
      </c>
      <c r="I9" s="14" t="n">
        <v>0</v>
      </c>
      <c r="J9" s="14" t="n">
        <v>0</v>
      </c>
      <c r="K9" s="12" t="inlineStr">
        <is>
          <t>OK</t>
        </is>
      </c>
    </row>
    <row r="10">
      <c r="A10" s="12" t="n">
        <v>8945</v>
      </c>
      <c r="B10" s="17" t="n">
        <v>46267</v>
      </c>
      <c r="C10" s="12" t="inlineStr">
        <is>
          <t>MIX PERFUMARIA LTDA</t>
        </is>
      </c>
      <c r="D10" s="14" t="n">
        <v>4570.8</v>
      </c>
      <c r="E10" s="14" t="n">
        <v>4570.8</v>
      </c>
      <c r="F10" s="14" t="n">
        <v>4570.8</v>
      </c>
      <c r="G10" s="14" t="n">
        <v>0</v>
      </c>
      <c r="H10" s="14" t="n">
        <v>0</v>
      </c>
      <c r="I10" s="14" t="n">
        <v>0</v>
      </c>
      <c r="J10" s="14" t="n">
        <v>0</v>
      </c>
      <c r="K10" s="12" t="inlineStr">
        <is>
          <t>OK</t>
        </is>
      </c>
    </row>
    <row r="11">
      <c r="A11" s="12" t="n">
        <v>8946</v>
      </c>
      <c r="B11" s="17" t="n">
        <v>46268</v>
      </c>
      <c r="C11" s="12" t="inlineStr">
        <is>
          <t>VENUS COMERCIO VAREJISTA DE COSMETICOS PERFUMARIA E REPRESEN</t>
        </is>
      </c>
      <c r="D11" s="14" t="n">
        <v>2838</v>
      </c>
      <c r="E11" s="14" t="n">
        <v>2838</v>
      </c>
      <c r="F11" s="14" t="n">
        <v>2838</v>
      </c>
      <c r="G11" s="14" t="n">
        <v>198.66</v>
      </c>
      <c r="H11" s="14" t="n">
        <v>198.66</v>
      </c>
      <c r="I11" s="14" t="n">
        <v>0</v>
      </c>
      <c r="J11" s="14" t="n">
        <v>0</v>
      </c>
      <c r="K11" s="12" t="inlineStr">
        <is>
          <t>OK</t>
        </is>
      </c>
    </row>
    <row r="12">
      <c r="A12" s="12" t="n">
        <v>8947</v>
      </c>
      <c r="B12" s="17" t="n">
        <v>46268</v>
      </c>
      <c r="C12" s="12" t="inlineStr">
        <is>
          <t>VENUS COMERCIO VAREJISTA DE COSMETICOS PERFUMARIA E REPRESEN</t>
        </is>
      </c>
      <c r="D12" s="14" t="n">
        <v>222.6</v>
      </c>
      <c r="E12" s="14" t="n">
        <v>222.6</v>
      </c>
      <c r="F12" s="14" t="n">
        <v>222.6</v>
      </c>
      <c r="G12" s="14" t="n">
        <v>0</v>
      </c>
      <c r="H12" s="14" t="n">
        <v>0</v>
      </c>
      <c r="I12" s="14" t="n">
        <v>0</v>
      </c>
      <c r="J12" s="14" t="n">
        <v>0</v>
      </c>
      <c r="K12" s="12" t="inlineStr">
        <is>
          <t>OK</t>
        </is>
      </c>
    </row>
    <row r="13">
      <c r="A13" s="12" t="n">
        <v>8949</v>
      </c>
      <c r="B13" s="17" t="n">
        <v>46268</v>
      </c>
      <c r="C13" s="12" t="inlineStr">
        <is>
          <t>M. K. COSMETICOS LTDA</t>
        </is>
      </c>
      <c r="D13" s="14" t="n">
        <v>2034</v>
      </c>
      <c r="E13" s="14" t="n">
        <v>2034</v>
      </c>
      <c r="F13" s="14" t="n">
        <v>2034</v>
      </c>
      <c r="G13" s="14" t="n">
        <v>142.38</v>
      </c>
      <c r="H13" s="14" t="n">
        <v>142.38</v>
      </c>
      <c r="I13" s="14" t="n">
        <v>0</v>
      </c>
      <c r="J13" s="14" t="n">
        <v>0</v>
      </c>
      <c r="K13" s="12" t="inlineStr">
        <is>
          <t>OK</t>
        </is>
      </c>
    </row>
    <row r="14">
      <c r="A14" s="12" t="n">
        <v>8950</v>
      </c>
      <c r="B14" s="17" t="n">
        <v>46268</v>
      </c>
      <c r="C14" s="12" t="inlineStr">
        <is>
          <t>M. K. COSMETICOS LTDA</t>
        </is>
      </c>
      <c r="D14" s="14" t="n">
        <v>159</v>
      </c>
      <c r="E14" s="14" t="n">
        <v>159</v>
      </c>
      <c r="F14" s="14" t="n">
        <v>159</v>
      </c>
      <c r="G14" s="14" t="n">
        <v>0</v>
      </c>
      <c r="H14" s="14" t="n">
        <v>0</v>
      </c>
      <c r="I14" s="14" t="n">
        <v>0</v>
      </c>
      <c r="J14" s="14" t="n">
        <v>0</v>
      </c>
      <c r="K14" s="12" t="inlineStr">
        <is>
          <t>OK</t>
        </is>
      </c>
    </row>
    <row r="15">
      <c r="A15" s="7" t="n">
        <v>8952</v>
      </c>
      <c r="B15" s="7" t="n"/>
      <c r="C15" s="7" t="n"/>
      <c r="D15" s="8" t="n"/>
      <c r="E15" s="8" t="n"/>
      <c r="F15" s="8" t="n">
        <v>6307.1</v>
      </c>
      <c r="G15" s="8" t="n"/>
      <c r="H15" s="8" t="n"/>
      <c r="I15" s="8" t="n"/>
      <c r="J15" s="8" t="n"/>
      <c r="K15" s="7" t="inlineStr">
        <is>
          <t>cancelada</t>
        </is>
      </c>
    </row>
    <row r="16">
      <c r="A16" s="12" t="n">
        <v>8953</v>
      </c>
      <c r="B16" s="17" t="n">
        <v>46268</v>
      </c>
      <c r="C16" s="12" t="inlineStr">
        <is>
          <t>GUIDI COSMETICOS LTDA</t>
        </is>
      </c>
      <c r="D16" s="14" t="n">
        <v>6307.1</v>
      </c>
      <c r="E16" s="14" t="n">
        <v>6307.1</v>
      </c>
      <c r="F16" s="14" t="n">
        <v>6307.1</v>
      </c>
      <c r="G16" s="14" t="n">
        <v>756.8</v>
      </c>
      <c r="H16" s="14" t="n">
        <v>756.8</v>
      </c>
      <c r="I16" s="14" t="n">
        <v>0</v>
      </c>
      <c r="J16" s="14" t="n">
        <v>0</v>
      </c>
      <c r="K16" s="12" t="inlineStr">
        <is>
          <t>OK</t>
        </is>
      </c>
    </row>
    <row r="17">
      <c r="A17" s="12" t="n">
        <v>8954</v>
      </c>
      <c r="B17" s="17" t="n">
        <v>46268</v>
      </c>
      <c r="C17" s="12" t="inlineStr">
        <is>
          <t>GUIDI COSMETICOS LTDA</t>
        </is>
      </c>
      <c r="D17" s="14" t="n">
        <v>614.16</v>
      </c>
      <c r="E17" s="14" t="n">
        <v>614.16</v>
      </c>
      <c r="F17" s="14" t="n">
        <v>614.16</v>
      </c>
      <c r="G17" s="14" t="n">
        <v>0</v>
      </c>
      <c r="H17" s="14" t="n">
        <v>0</v>
      </c>
      <c r="I17" s="14" t="n">
        <v>0</v>
      </c>
      <c r="J17" s="14" t="n">
        <v>0</v>
      </c>
      <c r="K17" s="12" t="inlineStr">
        <is>
          <t>OK</t>
        </is>
      </c>
    </row>
    <row r="18">
      <c r="A18" s="12" t="n">
        <v>8955</v>
      </c>
      <c r="B18" s="17" t="n">
        <v>46268</v>
      </c>
      <c r="C18" s="12" t="inlineStr">
        <is>
          <t>GULA COSMETICOS LTDA</t>
        </is>
      </c>
      <c r="D18" s="14" t="n">
        <v>4050.02</v>
      </c>
      <c r="E18" s="14" t="n">
        <v>4050.02</v>
      </c>
      <c r="F18" s="14" t="n">
        <v>4050.02</v>
      </c>
      <c r="G18" s="14" t="n">
        <v>334.39</v>
      </c>
      <c r="H18" s="14" t="n">
        <v>334.39</v>
      </c>
      <c r="I18" s="14" t="n">
        <v>398.46</v>
      </c>
      <c r="J18" s="14" t="n">
        <v>398.46</v>
      </c>
      <c r="K18" s="12" t="inlineStr">
        <is>
          <t>OK</t>
        </is>
      </c>
    </row>
    <row r="19">
      <c r="A19" s="12" t="n">
        <v>8957</v>
      </c>
      <c r="B19" s="17" t="n">
        <v>46269</v>
      </c>
      <c r="C19" s="12" t="inlineStr">
        <is>
          <t>BARIGUI COSMETICOS LTDA</t>
        </is>
      </c>
      <c r="D19" s="14" t="n">
        <v>1764</v>
      </c>
      <c r="E19" s="14" t="n">
        <v>1764</v>
      </c>
      <c r="F19" s="14" t="n">
        <v>1764</v>
      </c>
      <c r="G19" s="14" t="n">
        <v>0</v>
      </c>
      <c r="H19" s="14" t="n">
        <v>0</v>
      </c>
      <c r="I19" s="14" t="n">
        <v>0</v>
      </c>
      <c r="J19" s="14" t="n">
        <v>0</v>
      </c>
      <c r="K19" s="12" t="inlineStr">
        <is>
          <t>OK</t>
        </is>
      </c>
    </row>
    <row r="20">
      <c r="A20" s="12" t="n">
        <v>8958</v>
      </c>
      <c r="B20" s="17" t="n">
        <v>46269</v>
      </c>
      <c r="C20" s="12" t="inlineStr">
        <is>
          <t>BARIGUI COSMETICOS LTDA</t>
        </is>
      </c>
      <c r="D20" s="14" t="n">
        <v>182.4</v>
      </c>
      <c r="E20" s="14" t="n">
        <v>182.4</v>
      </c>
      <c r="F20" s="14" t="n">
        <v>182.4</v>
      </c>
      <c r="G20" s="14" t="n">
        <v>0</v>
      </c>
      <c r="H20" s="14" t="n">
        <v>0</v>
      </c>
      <c r="I20" s="14" t="n">
        <v>0</v>
      </c>
      <c r="J20" s="14" t="n">
        <v>0</v>
      </c>
      <c r="K20" s="12" t="inlineStr">
        <is>
          <t>OK</t>
        </is>
      </c>
    </row>
    <row r="21">
      <c r="A21" s="12" t="n">
        <v>8959</v>
      </c>
      <c r="B21" s="17" t="n">
        <v>46269</v>
      </c>
      <c r="C21" s="12" t="inlineStr">
        <is>
          <t>ONIXSUL COSMETICOS LTDA</t>
        </is>
      </c>
      <c r="D21" s="14" t="n">
        <v>5016</v>
      </c>
      <c r="E21" s="14" t="n">
        <v>5016</v>
      </c>
      <c r="F21" s="14" t="n">
        <v>5016</v>
      </c>
      <c r="G21" s="14" t="n">
        <v>0</v>
      </c>
      <c r="H21" s="14" t="n">
        <v>0</v>
      </c>
      <c r="I21" s="14" t="n">
        <v>0</v>
      </c>
      <c r="J21" s="14" t="n">
        <v>0</v>
      </c>
      <c r="K21" s="12" t="inlineStr">
        <is>
          <t>OK</t>
        </is>
      </c>
    </row>
    <row r="22">
      <c r="A22" s="12" t="n">
        <v>8960</v>
      </c>
      <c r="B22" s="17" t="n">
        <v>46269</v>
      </c>
      <c r="C22" s="12" t="inlineStr">
        <is>
          <t>ONIXSUL COSMETICOS LTDA</t>
        </is>
      </c>
      <c r="D22" s="14" t="n">
        <v>266.4</v>
      </c>
      <c r="E22" s="14" t="n">
        <v>266.4</v>
      </c>
      <c r="F22" s="14" t="n">
        <v>266.4</v>
      </c>
      <c r="G22" s="14" t="n">
        <v>0</v>
      </c>
      <c r="H22" s="14" t="n">
        <v>0</v>
      </c>
      <c r="I22" s="14" t="n">
        <v>0</v>
      </c>
      <c r="J22" s="14" t="n">
        <v>0</v>
      </c>
      <c r="K22" s="12" t="inlineStr">
        <is>
          <t>OK</t>
        </is>
      </c>
    </row>
    <row r="23">
      <c r="A23" s="12" t="n">
        <v>8961</v>
      </c>
      <c r="B23" s="17" t="n">
        <v>46273</v>
      </c>
      <c r="C23" s="12" t="inlineStr">
        <is>
          <t>CRISTIANO MARCELO NUNES SCHILLING</t>
        </is>
      </c>
      <c r="D23" s="14" t="n">
        <v>1620</v>
      </c>
      <c r="E23" s="14" t="n">
        <v>1620</v>
      </c>
      <c r="F23" s="14" t="n">
        <v>1620</v>
      </c>
      <c r="G23" s="14" t="n">
        <v>194.4</v>
      </c>
      <c r="H23" s="14" t="n">
        <v>194.4</v>
      </c>
      <c r="I23" s="14" t="n">
        <v>0</v>
      </c>
      <c r="J23" s="14" t="n">
        <v>0</v>
      </c>
      <c r="K23" s="12" t="inlineStr">
        <is>
          <t>OK</t>
        </is>
      </c>
    </row>
    <row r="24">
      <c r="A24" s="12" t="n">
        <v>8962</v>
      </c>
      <c r="B24" s="17" t="n">
        <v>46273</v>
      </c>
      <c r="C24" s="12" t="inlineStr">
        <is>
          <t>CRISTIANO MARCELO NUNES SCHILLING</t>
        </is>
      </c>
      <c r="D24" s="14" t="n">
        <v>1805.6</v>
      </c>
      <c r="E24" s="14" t="n">
        <v>1805.6</v>
      </c>
      <c r="F24" s="14" t="n">
        <v>1805.6</v>
      </c>
      <c r="G24" s="14" t="n">
        <v>0</v>
      </c>
      <c r="H24" s="14" t="n">
        <v>0</v>
      </c>
      <c r="I24" s="14" t="n">
        <v>0</v>
      </c>
      <c r="J24" s="14" t="n">
        <v>0</v>
      </c>
      <c r="K24" s="12" t="inlineStr">
        <is>
          <t>OK</t>
        </is>
      </c>
    </row>
    <row r="25">
      <c r="A25" s="12" t="n">
        <v>8963</v>
      </c>
      <c r="B25" s="17" t="n">
        <v>46273</v>
      </c>
      <c r="C25" s="12" t="inlineStr">
        <is>
          <t>BB COSMETICOS - EIRELI</t>
        </is>
      </c>
      <c r="D25" s="14" t="n">
        <v>1379.7</v>
      </c>
      <c r="E25" s="14" t="n">
        <v>1379.7</v>
      </c>
      <c r="F25" s="14" t="n">
        <v>1379.7</v>
      </c>
      <c r="G25" s="14" t="n">
        <v>0</v>
      </c>
      <c r="H25" s="14" t="n">
        <v>0</v>
      </c>
      <c r="I25" s="14" t="n">
        <v>0</v>
      </c>
      <c r="J25" s="14" t="n">
        <v>0</v>
      </c>
      <c r="K25" s="12" t="inlineStr">
        <is>
          <t>OK</t>
        </is>
      </c>
    </row>
    <row r="26">
      <c r="A26" s="12" t="n">
        <v>8964</v>
      </c>
      <c r="B26" s="17" t="n">
        <v>46273</v>
      </c>
      <c r="C26" s="12" t="inlineStr">
        <is>
          <t>BB COSMETICOS - EIRELI</t>
        </is>
      </c>
      <c r="D26" s="14" t="n">
        <v>417.6</v>
      </c>
      <c r="E26" s="14" t="n">
        <v>417.6</v>
      </c>
      <c r="F26" s="14" t="n">
        <v>417.6</v>
      </c>
      <c r="G26" s="14" t="n">
        <v>0</v>
      </c>
      <c r="H26" s="14" t="n">
        <v>0</v>
      </c>
      <c r="I26" s="14" t="n">
        <v>0</v>
      </c>
      <c r="J26" s="14" t="n">
        <v>0</v>
      </c>
      <c r="K26" s="12" t="inlineStr">
        <is>
          <t>OK</t>
        </is>
      </c>
    </row>
    <row r="27">
      <c r="A27" s="12" t="n">
        <v>8966</v>
      </c>
      <c r="B27" s="17" t="n">
        <v>46275</v>
      </c>
      <c r="C27" s="12" t="inlineStr">
        <is>
          <t>GULA COSMETICOS LTDA</t>
        </is>
      </c>
      <c r="D27" s="14" t="n">
        <v>667.6799999999999</v>
      </c>
      <c r="E27" s="14" t="n">
        <v>667.6799999999999</v>
      </c>
      <c r="F27" s="14" t="n">
        <v>667.6799999999999</v>
      </c>
      <c r="G27" s="14" t="n">
        <v>80.12</v>
      </c>
      <c r="H27" s="14" t="n">
        <v>80.12</v>
      </c>
      <c r="I27" s="14" t="n">
        <v>0</v>
      </c>
      <c r="J27" s="14" t="n">
        <v>0</v>
      </c>
      <c r="K27" s="12" t="inlineStr">
        <is>
          <t>OK</t>
        </is>
      </c>
    </row>
    <row r="28">
      <c r="A28" s="12" t="n">
        <v>8967</v>
      </c>
      <c r="B28" s="17" t="n">
        <v>46276</v>
      </c>
      <c r="C28" s="12" t="inlineStr">
        <is>
          <t>GULA COSMETICOS LTDA</t>
        </is>
      </c>
      <c r="D28" s="14" t="n">
        <v>370.33</v>
      </c>
      <c r="E28" s="14" t="n">
        <v>370.33</v>
      </c>
      <c r="F28" s="14" t="n">
        <v>370.33</v>
      </c>
      <c r="G28" s="14" t="n">
        <v>44.44</v>
      </c>
      <c r="H28" s="14" t="n">
        <v>44.44</v>
      </c>
      <c r="I28" s="14" t="n">
        <v>46.33</v>
      </c>
      <c r="J28" s="14" t="n">
        <v>46.33</v>
      </c>
      <c r="K28" s="12" t="inlineStr">
        <is>
          <t>OK</t>
        </is>
      </c>
    </row>
    <row r="29">
      <c r="A29" s="12" t="n">
        <v>8968</v>
      </c>
      <c r="B29" s="17" t="n">
        <v>46279</v>
      </c>
      <c r="C29" s="12" t="inlineStr">
        <is>
          <t>GULA COSMETICOS LTDA</t>
        </is>
      </c>
      <c r="D29" s="14" t="n">
        <v>157.2</v>
      </c>
      <c r="E29" s="14" t="n">
        <v>157.2</v>
      </c>
      <c r="F29" s="14" t="n">
        <v>157.2</v>
      </c>
      <c r="G29" s="14" t="n">
        <v>30.65</v>
      </c>
      <c r="H29" s="14" t="n">
        <v>30.65</v>
      </c>
      <c r="I29" s="14" t="n">
        <v>0</v>
      </c>
      <c r="J29" s="14" t="n">
        <v>0</v>
      </c>
      <c r="K29" s="12" t="inlineStr">
        <is>
          <t>OK</t>
        </is>
      </c>
    </row>
    <row r="30">
      <c r="A30" s="12" t="n">
        <v>8969</v>
      </c>
      <c r="B30" s="17" t="n">
        <v>46279</v>
      </c>
      <c r="C30" s="12" t="inlineStr">
        <is>
          <t>GULA COSMETICOS LTDA</t>
        </is>
      </c>
      <c r="D30" s="14" t="n">
        <v>811.99</v>
      </c>
      <c r="E30" s="14" t="n">
        <v>811.99</v>
      </c>
      <c r="F30" s="14" t="n">
        <v>811.99</v>
      </c>
      <c r="G30" s="14" t="n">
        <v>158.33</v>
      </c>
      <c r="H30" s="14" t="n">
        <v>158.33</v>
      </c>
      <c r="I30" s="14" t="n">
        <v>101.59</v>
      </c>
      <c r="J30" s="14" t="n">
        <v>101.59</v>
      </c>
      <c r="K30" s="12" t="inlineStr">
        <is>
          <t>OK</t>
        </is>
      </c>
    </row>
    <row r="31">
      <c r="A31" s="12" t="n">
        <v>8970</v>
      </c>
      <c r="B31" s="17" t="n">
        <v>46280</v>
      </c>
      <c r="C31" s="12" t="inlineStr">
        <is>
          <t>CANDIDO COMERCIO DE COSMETICOS - EIRELI</t>
        </is>
      </c>
      <c r="D31" s="14" t="n">
        <v>995.01</v>
      </c>
      <c r="E31" s="14" t="n">
        <v>995.01</v>
      </c>
      <c r="F31" s="14" t="n">
        <v>995.01</v>
      </c>
      <c r="G31" s="14" t="n">
        <v>194.03</v>
      </c>
      <c r="H31" s="14" t="n">
        <v>194.03</v>
      </c>
      <c r="I31" s="14" t="n">
        <v>0</v>
      </c>
      <c r="J31" s="14" t="n">
        <v>0</v>
      </c>
      <c r="K31" s="12" t="inlineStr">
        <is>
          <t>OK</t>
        </is>
      </c>
    </row>
    <row r="32">
      <c r="A32" s="12" t="n">
        <v>8971</v>
      </c>
      <c r="B32" s="17" t="n">
        <v>46280</v>
      </c>
      <c r="C32" s="12" t="inlineStr">
        <is>
          <t>LUCIANE LORENCATTO - COSMETICOS</t>
        </is>
      </c>
      <c r="D32" s="14" t="n">
        <v>3318</v>
      </c>
      <c r="E32" s="14" t="n">
        <v>3318</v>
      </c>
      <c r="F32" s="14" t="n">
        <v>3318</v>
      </c>
      <c r="G32" s="14" t="n">
        <v>398.16</v>
      </c>
      <c r="H32" s="14" t="n">
        <v>398.16</v>
      </c>
      <c r="I32" s="14" t="n">
        <v>0</v>
      </c>
      <c r="J32" s="14" t="n">
        <v>0</v>
      </c>
      <c r="K32" s="12" t="inlineStr">
        <is>
          <t>OK</t>
        </is>
      </c>
    </row>
    <row r="33">
      <c r="A33" s="12" t="n">
        <v>8973</v>
      </c>
      <c r="B33" s="17" t="n">
        <v>46281</v>
      </c>
      <c r="C33" s="12" t="inlineStr">
        <is>
          <t>JORGE LEAO FERREIRA</t>
        </is>
      </c>
      <c r="D33" s="14" t="n">
        <v>4049.52</v>
      </c>
      <c r="E33" s="14" t="n">
        <v>4049.52</v>
      </c>
      <c r="F33" s="14" t="n">
        <v>4049.52</v>
      </c>
      <c r="G33" s="14" t="n">
        <v>283.47</v>
      </c>
      <c r="H33" s="14" t="n">
        <v>283.47</v>
      </c>
      <c r="I33" s="14" t="n">
        <v>0</v>
      </c>
      <c r="J33" s="14" t="n">
        <v>0</v>
      </c>
      <c r="K33" s="12" t="inlineStr">
        <is>
          <t>OK</t>
        </is>
      </c>
    </row>
    <row r="34">
      <c r="A34" s="12" t="n">
        <v>8974</v>
      </c>
      <c r="B34" s="17" t="n">
        <v>46281</v>
      </c>
      <c r="C34" s="12" t="inlineStr">
        <is>
          <t>JORGE LEAO FERREIRA</t>
        </is>
      </c>
      <c r="D34" s="14" t="n">
        <v>299.52</v>
      </c>
      <c r="E34" s="14" t="n">
        <v>299.52</v>
      </c>
      <c r="F34" s="14" t="n">
        <v>299.52</v>
      </c>
      <c r="G34" s="14" t="n">
        <v>0</v>
      </c>
      <c r="H34" s="14" t="n">
        <v>0</v>
      </c>
      <c r="I34" s="14" t="n">
        <v>0</v>
      </c>
      <c r="J34" s="14" t="n">
        <v>0</v>
      </c>
      <c r="K34" s="12" t="inlineStr">
        <is>
          <t>OK</t>
        </is>
      </c>
    </row>
    <row r="35">
      <c r="A35" s="12" t="n">
        <v>8975</v>
      </c>
      <c r="B35" s="17" t="n">
        <v>46281</v>
      </c>
      <c r="C35" s="12" t="inlineStr">
        <is>
          <t>ESAINT COMERCIO DE COSMETICOS LTDA</t>
        </is>
      </c>
      <c r="D35" s="14" t="n">
        <v>4098</v>
      </c>
      <c r="E35" s="14" t="n">
        <v>4098</v>
      </c>
      <c r="F35" s="14" t="n">
        <v>4098</v>
      </c>
      <c r="G35" s="14" t="n">
        <v>0</v>
      </c>
      <c r="H35" s="14" t="n">
        <v>0</v>
      </c>
      <c r="I35" s="14" t="n">
        <v>0</v>
      </c>
      <c r="J35" s="14" t="n">
        <v>0</v>
      </c>
      <c r="K35" s="12" t="inlineStr">
        <is>
          <t>OK</t>
        </is>
      </c>
    </row>
    <row r="36">
      <c r="A36" s="12" t="n">
        <v>8976</v>
      </c>
      <c r="B36" s="17" t="n">
        <v>46281</v>
      </c>
      <c r="C36" s="12" t="inlineStr">
        <is>
          <t>ESAINT COMERCIO DE COSMETICOS LTDA</t>
        </is>
      </c>
      <c r="D36" s="14" t="n">
        <v>588</v>
      </c>
      <c r="E36" s="14" t="n">
        <v>588</v>
      </c>
      <c r="F36" s="14" t="n">
        <v>588</v>
      </c>
      <c r="G36" s="14" t="n">
        <v>0</v>
      </c>
      <c r="H36" s="14" t="n">
        <v>0</v>
      </c>
      <c r="I36" s="14" t="n">
        <v>0</v>
      </c>
      <c r="J36" s="14" t="n">
        <v>0</v>
      </c>
      <c r="K36" s="12" t="inlineStr">
        <is>
          <t>OK</t>
        </is>
      </c>
    </row>
    <row r="37">
      <c r="A37" s="12" t="n">
        <v>8977</v>
      </c>
      <c r="B37" s="17" t="n">
        <v>46281</v>
      </c>
      <c r="C37" s="12" t="inlineStr">
        <is>
          <t>ESAINT COMERCIO DE COSMETICOS LTDA</t>
        </is>
      </c>
      <c r="D37" s="14" t="n">
        <v>2740</v>
      </c>
      <c r="E37" s="14" t="n">
        <v>2740</v>
      </c>
      <c r="F37" s="14" t="n">
        <v>2740</v>
      </c>
      <c r="G37" s="14" t="n">
        <v>0</v>
      </c>
      <c r="H37" s="14" t="n">
        <v>0</v>
      </c>
      <c r="I37" s="14" t="n">
        <v>0</v>
      </c>
      <c r="J37" s="14" t="n">
        <v>0</v>
      </c>
      <c r="K37" s="12" t="inlineStr">
        <is>
          <t>OK</t>
        </is>
      </c>
    </row>
    <row r="38">
      <c r="A38" s="12" t="n">
        <v>8978</v>
      </c>
      <c r="B38" s="17" t="n">
        <v>46281</v>
      </c>
      <c r="C38" s="12" t="inlineStr">
        <is>
          <t>GULA COSMETICOS LTDA</t>
        </is>
      </c>
      <c r="D38" s="14" t="n">
        <v>1698.59</v>
      </c>
      <c r="E38" s="14" t="n">
        <v>1698.59</v>
      </c>
      <c r="F38" s="14" t="n">
        <v>1698.59</v>
      </c>
      <c r="G38" s="14" t="n">
        <v>331.22</v>
      </c>
      <c r="H38" s="14" t="n">
        <v>331.22</v>
      </c>
      <c r="I38" s="14" t="n">
        <v>212.51</v>
      </c>
      <c r="J38" s="14" t="n">
        <v>212.51</v>
      </c>
      <c r="K38" s="12" t="inlineStr">
        <is>
          <t>OK</t>
        </is>
      </c>
    </row>
    <row r="39">
      <c r="A39" s="12" t="n">
        <v>8979</v>
      </c>
      <c r="B39" s="17" t="n">
        <v>46282</v>
      </c>
      <c r="C39" s="12" t="inlineStr">
        <is>
          <t>BARBARA KAROLAINY DE SOUZA SILVA</t>
        </is>
      </c>
      <c r="D39" s="14" t="n">
        <v>4098</v>
      </c>
      <c r="E39" s="14" t="n">
        <v>4098</v>
      </c>
      <c r="F39" s="14" t="n">
        <v>4098</v>
      </c>
      <c r="G39" s="14" t="n">
        <v>286.86</v>
      </c>
      <c r="H39" s="14" t="n">
        <v>286.86</v>
      </c>
      <c r="I39" s="14" t="n">
        <v>0</v>
      </c>
      <c r="J39" s="14" t="n">
        <v>0</v>
      </c>
      <c r="K39" s="12" t="inlineStr">
        <is>
          <t>OK</t>
        </is>
      </c>
    </row>
    <row r="40">
      <c r="A40" s="12" t="n">
        <v>8980</v>
      </c>
      <c r="B40" s="17" t="n">
        <v>46282</v>
      </c>
      <c r="C40" s="12" t="inlineStr">
        <is>
          <t>GULA COSMETICOS LTDA</t>
        </is>
      </c>
      <c r="D40" s="14" t="n">
        <v>17771.69</v>
      </c>
      <c r="E40" s="14" t="n">
        <v>17771.69</v>
      </c>
      <c r="F40" s="14" t="n">
        <v>17771.69</v>
      </c>
      <c r="G40" s="14" t="n">
        <v>3465.51</v>
      </c>
      <c r="H40" s="14" t="n">
        <v>3465.51</v>
      </c>
      <c r="I40" s="14" t="n">
        <v>1453.87</v>
      </c>
      <c r="J40" s="14" t="n">
        <v>1453.87</v>
      </c>
      <c r="K40" s="12" t="inlineStr">
        <is>
          <t>OK</t>
        </is>
      </c>
    </row>
    <row r="41">
      <c r="A41" s="12" t="n">
        <v>8981</v>
      </c>
      <c r="B41" s="17" t="n">
        <v>46282</v>
      </c>
      <c r="C41" s="12" t="inlineStr">
        <is>
          <t>GULA COSMETICOS LTDA</t>
        </is>
      </c>
      <c r="D41" s="14" t="n">
        <v>1691.57</v>
      </c>
      <c r="E41" s="14" t="n">
        <v>1691.57</v>
      </c>
      <c r="F41" s="14" t="n">
        <v>1691.57</v>
      </c>
      <c r="G41" s="14" t="n">
        <v>329.86</v>
      </c>
      <c r="H41" s="14" t="n">
        <v>329.86</v>
      </c>
      <c r="I41" s="14" t="n">
        <v>211.63</v>
      </c>
      <c r="J41" s="14" t="n">
        <v>211.63</v>
      </c>
      <c r="K41" s="12" t="inlineStr">
        <is>
          <t>OK</t>
        </is>
      </c>
    </row>
    <row r="42">
      <c r="A42" s="12" t="n">
        <v>8982</v>
      </c>
      <c r="B42" s="17" t="n">
        <v>46283</v>
      </c>
      <c r="C42" s="12" t="inlineStr">
        <is>
          <t>GULA COSMETICOS LTDA</t>
        </is>
      </c>
      <c r="D42" s="14" t="n">
        <v>6901.45</v>
      </c>
      <c r="E42" s="14" t="n">
        <v>6901.45</v>
      </c>
      <c r="F42" s="14" t="n">
        <v>6901.45</v>
      </c>
      <c r="G42" s="14" t="n">
        <v>1345.78</v>
      </c>
      <c r="H42" s="14" t="n">
        <v>1345.78</v>
      </c>
      <c r="I42" s="14" t="n">
        <v>863.4400000000001</v>
      </c>
      <c r="J42" s="14" t="n">
        <v>863.4400000000001</v>
      </c>
      <c r="K42" s="12" t="inlineStr">
        <is>
          <t>OK</t>
        </is>
      </c>
    </row>
    <row r="43">
      <c r="A43" s="12" t="n">
        <v>8983</v>
      </c>
      <c r="B43" s="17" t="n">
        <v>46283</v>
      </c>
      <c r="C43" s="12" t="inlineStr">
        <is>
          <t>COSMETICS COMERCIO DE PRODUTOS DE BELEZA LTDA</t>
        </is>
      </c>
      <c r="D43" s="14" t="n">
        <v>967.5</v>
      </c>
      <c r="E43" s="14" t="n">
        <v>967.5</v>
      </c>
      <c r="F43" s="14" t="n">
        <v>967.5</v>
      </c>
      <c r="G43" s="14" t="n">
        <v>67.75</v>
      </c>
      <c r="H43" s="14" t="n">
        <v>67.75</v>
      </c>
      <c r="I43" s="14" t="n">
        <v>0</v>
      </c>
      <c r="J43" s="14" t="n">
        <v>0</v>
      </c>
      <c r="K43" s="12" t="inlineStr">
        <is>
          <t>OK</t>
        </is>
      </c>
    </row>
    <row r="44">
      <c r="A44" s="12" t="n">
        <v>8984</v>
      </c>
      <c r="B44" s="17" t="n">
        <v>46283</v>
      </c>
      <c r="C44" s="12" t="inlineStr">
        <is>
          <t>COSMETICS COMERCIO DE PRODUTOS DE BELEZA LTDA</t>
        </is>
      </c>
      <c r="D44" s="14" t="n">
        <v>334.8</v>
      </c>
      <c r="E44" s="14" t="n">
        <v>334.8</v>
      </c>
      <c r="F44" s="14" t="n">
        <v>334.8</v>
      </c>
      <c r="G44" s="14" t="n">
        <v>0</v>
      </c>
      <c r="H44" s="14" t="n">
        <v>0</v>
      </c>
      <c r="I44" s="14" t="n">
        <v>0</v>
      </c>
      <c r="J44" s="14" t="n">
        <v>0</v>
      </c>
      <c r="K44" s="12" t="inlineStr">
        <is>
          <t>OK</t>
        </is>
      </c>
    </row>
    <row r="45">
      <c r="A45" s="12" t="n">
        <v>8985</v>
      </c>
      <c r="B45" s="17" t="n">
        <v>46286</v>
      </c>
      <c r="C45" s="12" t="inlineStr">
        <is>
          <t>R&amp;S COMERCIO DE COSMETICOS LTDA</t>
        </is>
      </c>
      <c r="D45" s="14" t="n">
        <v>402</v>
      </c>
      <c r="E45" s="14" t="n">
        <v>402</v>
      </c>
      <c r="F45" s="14" t="n">
        <v>402</v>
      </c>
      <c r="G45" s="14" t="n">
        <v>48.24</v>
      </c>
      <c r="H45" s="14" t="n">
        <v>48.24</v>
      </c>
      <c r="I45" s="14" t="n">
        <v>0</v>
      </c>
      <c r="J45" s="14" t="n">
        <v>0</v>
      </c>
      <c r="K45" s="12" t="inlineStr">
        <is>
          <t>OK</t>
        </is>
      </c>
    </row>
    <row r="46">
      <c r="A46" s="12" t="n">
        <v>8986</v>
      </c>
      <c r="B46" s="17" t="n">
        <v>46286</v>
      </c>
      <c r="C46" s="12" t="inlineStr">
        <is>
          <t>R&amp;S COMERCIO DE COSMETICOS LTDA</t>
        </is>
      </c>
      <c r="D46" s="14" t="n">
        <v>101.05</v>
      </c>
      <c r="E46" s="14" t="n">
        <v>101.05</v>
      </c>
      <c r="F46" s="14" t="n">
        <v>101.05</v>
      </c>
      <c r="G46" s="14" t="n">
        <v>0</v>
      </c>
      <c r="H46" s="14" t="n">
        <v>0</v>
      </c>
      <c r="I46" s="14" t="n">
        <v>0</v>
      </c>
      <c r="J46" s="14" t="n">
        <v>0</v>
      </c>
      <c r="K46" s="12" t="inlineStr">
        <is>
          <t>OK</t>
        </is>
      </c>
    </row>
    <row r="47">
      <c r="A47" s="12" t="n">
        <v>8987</v>
      </c>
      <c r="B47" s="17" t="n">
        <v>46286</v>
      </c>
      <c r="C47" s="12" t="inlineStr">
        <is>
          <t>MANFIUS COSMETICOS LTDA.</t>
        </is>
      </c>
      <c r="D47" s="14" t="n">
        <v>1479.27</v>
      </c>
      <c r="E47" s="14" t="n">
        <v>1479.27</v>
      </c>
      <c r="F47" s="14" t="n">
        <v>1479.27</v>
      </c>
      <c r="G47" s="14" t="n">
        <v>177.51</v>
      </c>
      <c r="H47" s="14" t="n">
        <v>177.51</v>
      </c>
      <c r="I47" s="14" t="n">
        <v>0</v>
      </c>
      <c r="J47" s="14" t="n">
        <v>0</v>
      </c>
      <c r="K47" s="12" t="inlineStr">
        <is>
          <t>OK</t>
        </is>
      </c>
    </row>
    <row r="48">
      <c r="A48" s="12" t="n">
        <v>8988</v>
      </c>
      <c r="B48" s="17" t="n">
        <v>46286</v>
      </c>
      <c r="C48" s="12" t="inlineStr">
        <is>
          <t>MANFIUS COSMETICOS LTDA.</t>
        </is>
      </c>
      <c r="D48" s="14" t="n">
        <v>41.76</v>
      </c>
      <c r="E48" s="14" t="n">
        <v>41.76</v>
      </c>
      <c r="F48" s="14" t="n">
        <v>41.76</v>
      </c>
      <c r="G48" s="14" t="n">
        <v>0</v>
      </c>
      <c r="H48" s="14" t="n">
        <v>0</v>
      </c>
      <c r="I48" s="14" t="n">
        <v>0</v>
      </c>
      <c r="J48" s="14" t="n">
        <v>0</v>
      </c>
      <c r="K48" s="12" t="inlineStr">
        <is>
          <t>OK</t>
        </is>
      </c>
    </row>
    <row r="49">
      <c r="A49" s="12" t="n">
        <v>8989</v>
      </c>
      <c r="B49" s="17" t="n">
        <v>46286</v>
      </c>
      <c r="C49" s="12" t="inlineStr">
        <is>
          <t>MIX PERFUMARIA LTDA</t>
        </is>
      </c>
      <c r="D49" s="14" t="n">
        <v>600</v>
      </c>
      <c r="E49" s="14" t="n">
        <v>600</v>
      </c>
      <c r="F49" s="14" t="n">
        <v>600</v>
      </c>
      <c r="G49" s="14" t="n">
        <v>0</v>
      </c>
      <c r="H49" s="14" t="n">
        <v>0</v>
      </c>
      <c r="I49" s="14" t="n">
        <v>0</v>
      </c>
      <c r="J49" s="14" t="n">
        <v>0</v>
      </c>
      <c r="K49" s="12" t="inlineStr">
        <is>
          <t>OK</t>
        </is>
      </c>
    </row>
    <row r="50">
      <c r="A50" s="12" t="n">
        <v>8990</v>
      </c>
      <c r="B50" s="17" t="n">
        <v>46286</v>
      </c>
      <c r="C50" s="12" t="inlineStr">
        <is>
          <t>EKTA INDUSTRIA E COMERCIO LTDA</t>
        </is>
      </c>
      <c r="D50" s="14" t="n">
        <v>1092.89</v>
      </c>
      <c r="E50" s="14" t="n">
        <v>1092.89</v>
      </c>
      <c r="F50" s="14" t="n">
        <v>1092.89</v>
      </c>
      <c r="G50" s="14" t="n">
        <v>131.15</v>
      </c>
      <c r="H50" s="14" t="n">
        <v>131.15</v>
      </c>
      <c r="I50" s="14" t="n">
        <v>0</v>
      </c>
      <c r="J50" s="14" t="n">
        <v>0</v>
      </c>
      <c r="K50" s="12" t="inlineStr">
        <is>
          <t>OK</t>
        </is>
      </c>
    </row>
    <row r="51">
      <c r="A51" s="12" t="n">
        <v>8991</v>
      </c>
      <c r="B51" s="17" t="n">
        <v>46286</v>
      </c>
      <c r="C51" s="12" t="inlineStr">
        <is>
          <t>EKTA INDUSTRIA E COMERCIO LTDA</t>
        </is>
      </c>
      <c r="D51" s="14" t="n">
        <v>32.64</v>
      </c>
      <c r="E51" s="14" t="n">
        <v>32.64</v>
      </c>
      <c r="F51" s="14" t="n">
        <v>32.64</v>
      </c>
      <c r="G51" s="14" t="n">
        <v>0</v>
      </c>
      <c r="H51" s="14" t="n">
        <v>0</v>
      </c>
      <c r="I51" s="14" t="n">
        <v>0</v>
      </c>
      <c r="J51" s="14" t="n">
        <v>0</v>
      </c>
      <c r="K51" s="12" t="inlineStr">
        <is>
          <t>OK</t>
        </is>
      </c>
    </row>
    <row r="52">
      <c r="A52" s="12" t="n">
        <v>8992</v>
      </c>
      <c r="B52" s="17" t="n">
        <v>46286</v>
      </c>
      <c r="C52" s="12" t="inlineStr">
        <is>
          <t>MIX PERFUMARIA LTDA</t>
        </is>
      </c>
      <c r="D52" s="14" t="n">
        <v>3800</v>
      </c>
      <c r="E52" s="14" t="n">
        <v>3800</v>
      </c>
      <c r="F52" s="14" t="n">
        <v>3800</v>
      </c>
      <c r="G52" s="14" t="n">
        <v>0</v>
      </c>
      <c r="H52" s="14" t="n">
        <v>0</v>
      </c>
      <c r="I52" s="14" t="n">
        <v>0</v>
      </c>
      <c r="J52" s="14" t="n">
        <v>0</v>
      </c>
      <c r="K52" s="12" t="inlineStr">
        <is>
          <t>OK</t>
        </is>
      </c>
    </row>
    <row r="53">
      <c r="A53" s="12" t="n">
        <v>8993</v>
      </c>
      <c r="B53" s="17" t="n">
        <v>46286</v>
      </c>
      <c r="C53" s="12" t="inlineStr">
        <is>
          <t>MIX PERFUMARIA LTDA</t>
        </is>
      </c>
      <c r="D53" s="14" t="n">
        <v>600</v>
      </c>
      <c r="E53" s="14" t="n">
        <v>600</v>
      </c>
      <c r="F53" s="14" t="n">
        <v>600</v>
      </c>
      <c r="G53" s="14" t="n">
        <v>0</v>
      </c>
      <c r="H53" s="14" t="n">
        <v>0</v>
      </c>
      <c r="I53" s="14" t="n">
        <v>0</v>
      </c>
      <c r="J53" s="14" t="n">
        <v>0</v>
      </c>
      <c r="K53" s="12" t="inlineStr">
        <is>
          <t>OK</t>
        </is>
      </c>
    </row>
    <row r="54">
      <c r="A54" s="12" t="n">
        <v>8994</v>
      </c>
      <c r="B54" s="17" t="n">
        <v>46286</v>
      </c>
      <c r="C54" s="12" t="inlineStr">
        <is>
          <t>BELA E CHIC INDUSTRIA E COMERCIO DE COSMETICOS ESPECIAIS LTD</t>
        </is>
      </c>
      <c r="D54" s="14" t="n">
        <v>1350</v>
      </c>
      <c r="E54" s="14" t="n">
        <v>1350</v>
      </c>
      <c r="F54" s="14" t="n">
        <v>1350</v>
      </c>
      <c r="G54" s="14" t="n">
        <v>162</v>
      </c>
      <c r="H54" s="14" t="n">
        <v>162</v>
      </c>
      <c r="I54" s="14" t="n">
        <v>0</v>
      </c>
      <c r="J54" s="14" t="n">
        <v>0</v>
      </c>
      <c r="K54" s="12" t="inlineStr">
        <is>
          <t>OK</t>
        </is>
      </c>
    </row>
    <row r="55">
      <c r="A55" s="12" t="n">
        <v>8995</v>
      </c>
      <c r="B55" s="17" t="n">
        <v>46286</v>
      </c>
      <c r="C55" s="12" t="inlineStr">
        <is>
          <t>BELA E CHIC INDUSTRIA E COMERCIO DE COSMETICOS ESPECIAIS LTD</t>
        </is>
      </c>
      <c r="D55" s="14" t="n">
        <v>73.8</v>
      </c>
      <c r="E55" s="14" t="n">
        <v>73.8</v>
      </c>
      <c r="F55" s="14" t="n">
        <v>73.8</v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>
        <is>
          <t>OK</t>
        </is>
      </c>
    </row>
    <row r="56">
      <c r="A56" s="12" t="n">
        <v>8996</v>
      </c>
      <c r="B56" s="17" t="n">
        <v>46286</v>
      </c>
      <c r="C56" s="12" t="inlineStr">
        <is>
          <t>A F VOLCAO</t>
        </is>
      </c>
      <c r="D56" s="14" t="n">
        <v>2500</v>
      </c>
      <c r="E56" s="14" t="n">
        <v>2500</v>
      </c>
      <c r="F56" s="14" t="n">
        <v>2500</v>
      </c>
      <c r="G56" s="14" t="n">
        <v>300</v>
      </c>
      <c r="H56" s="14" t="n">
        <v>300</v>
      </c>
      <c r="I56" s="14" t="n">
        <v>0</v>
      </c>
      <c r="J56" s="14" t="n">
        <v>0</v>
      </c>
      <c r="K56" s="12" t="inlineStr">
        <is>
          <t>OK</t>
        </is>
      </c>
    </row>
    <row r="57">
      <c r="A57" s="12" t="n">
        <v>8997</v>
      </c>
      <c r="B57" s="17" t="n">
        <v>46286</v>
      </c>
      <c r="C57" s="12" t="inlineStr">
        <is>
          <t>A F VOLCAO</t>
        </is>
      </c>
      <c r="D57" s="14" t="n">
        <v>252</v>
      </c>
      <c r="E57" s="14" t="n">
        <v>252</v>
      </c>
      <c r="F57" s="14" t="n">
        <v>252</v>
      </c>
      <c r="G57" s="14" t="n">
        <v>0</v>
      </c>
      <c r="H57" s="14" t="n">
        <v>0</v>
      </c>
      <c r="I57" s="14" t="n">
        <v>0</v>
      </c>
      <c r="J57" s="14" t="n">
        <v>0</v>
      </c>
      <c r="K57" s="12" t="inlineStr">
        <is>
          <t>OK</t>
        </is>
      </c>
    </row>
    <row r="58">
      <c r="A58" s="12" t="n">
        <v>8998</v>
      </c>
      <c r="B58" s="17" t="n">
        <v>46287</v>
      </c>
      <c r="C58" s="12" t="inlineStr">
        <is>
          <t>TB PRO COSMETICS - DISTRIBUIDORA E EVENTOS LTDA</t>
        </is>
      </c>
      <c r="D58" s="14" t="n">
        <v>1089</v>
      </c>
      <c r="E58" s="14" t="n">
        <v>1089</v>
      </c>
      <c r="F58" s="14" t="n">
        <v>1089</v>
      </c>
      <c r="G58" s="14" t="n">
        <v>130.68</v>
      </c>
      <c r="H58" s="14" t="n">
        <v>130.68</v>
      </c>
      <c r="I58" s="14" t="n">
        <v>0</v>
      </c>
      <c r="J58" s="14" t="n">
        <v>0</v>
      </c>
      <c r="K58" s="12" t="inlineStr">
        <is>
          <t>OK</t>
        </is>
      </c>
    </row>
    <row r="59">
      <c r="A59" s="12" t="n">
        <v>8999</v>
      </c>
      <c r="B59" s="17" t="n">
        <v>46287</v>
      </c>
      <c r="C59" s="12" t="inlineStr">
        <is>
          <t>MIX COSMETICOS LTDA</t>
        </is>
      </c>
      <c r="D59" s="14" t="n">
        <v>948</v>
      </c>
      <c r="E59" s="14" t="n">
        <v>948</v>
      </c>
      <c r="F59" s="14" t="n">
        <v>948</v>
      </c>
      <c r="G59" s="14" t="n">
        <v>0</v>
      </c>
      <c r="H59" s="14" t="n">
        <v>0</v>
      </c>
      <c r="I59" s="14" t="n">
        <v>0</v>
      </c>
      <c r="J59" s="14" t="n">
        <v>0</v>
      </c>
      <c r="K59" s="12" t="inlineStr">
        <is>
          <t>OK</t>
        </is>
      </c>
    </row>
    <row r="60">
      <c r="A60" s="12" t="n">
        <v>9000</v>
      </c>
      <c r="B60" s="17" t="n">
        <v>46287</v>
      </c>
      <c r="C60" s="12" t="inlineStr">
        <is>
          <t>MIX PERFUMARIA LTDA</t>
        </is>
      </c>
      <c r="D60" s="14" t="n">
        <v>556.5</v>
      </c>
      <c r="E60" s="14" t="n">
        <v>556.5</v>
      </c>
      <c r="F60" s="14" t="n">
        <v>556.5</v>
      </c>
      <c r="G60" s="14" t="n">
        <v>0</v>
      </c>
      <c r="H60" s="14" t="n">
        <v>0</v>
      </c>
      <c r="I60" s="14" t="n">
        <v>0</v>
      </c>
      <c r="J60" s="14" t="n">
        <v>0</v>
      </c>
      <c r="K60" s="12" t="inlineStr">
        <is>
          <t>OK</t>
        </is>
      </c>
    </row>
    <row r="61">
      <c r="A61" s="12" t="n">
        <v>9001</v>
      </c>
      <c r="B61" s="17" t="n">
        <v>46287</v>
      </c>
      <c r="C61" s="12" t="inlineStr">
        <is>
          <t>MIX PERFUMARIA LTDA</t>
        </is>
      </c>
      <c r="D61" s="14" t="n">
        <v>3691.45</v>
      </c>
      <c r="E61" s="14" t="n">
        <v>3691.45</v>
      </c>
      <c r="F61" s="14" t="n">
        <v>3691.45</v>
      </c>
      <c r="G61" s="14" t="n">
        <v>0</v>
      </c>
      <c r="H61" s="14" t="n">
        <v>0</v>
      </c>
      <c r="I61" s="14" t="n">
        <v>0</v>
      </c>
      <c r="J61" s="14" t="n">
        <v>0</v>
      </c>
      <c r="K61" s="12" t="inlineStr">
        <is>
          <t>OK</t>
        </is>
      </c>
    </row>
    <row r="62">
      <c r="A62" s="12" t="n">
        <v>9002</v>
      </c>
      <c r="B62" s="17" t="n">
        <v>46287</v>
      </c>
      <c r="C62" s="12" t="inlineStr">
        <is>
          <t>MIX PERFUMARIA LTDA</t>
        </is>
      </c>
      <c r="D62" s="14" t="n">
        <v>556.5</v>
      </c>
      <c r="E62" s="14" t="n">
        <v>556.5</v>
      </c>
      <c r="F62" s="14" t="n">
        <v>556.5</v>
      </c>
      <c r="G62" s="14" t="n">
        <v>0</v>
      </c>
      <c r="H62" s="14" t="n">
        <v>0</v>
      </c>
      <c r="I62" s="14" t="n">
        <v>0</v>
      </c>
      <c r="J62" s="14" t="n">
        <v>0</v>
      </c>
      <c r="K62" s="12" t="inlineStr">
        <is>
          <t>OK</t>
        </is>
      </c>
    </row>
    <row r="63">
      <c r="A63" s="12" t="n">
        <v>9003</v>
      </c>
      <c r="B63" s="17" t="n">
        <v>46288</v>
      </c>
      <c r="C63" s="12" t="inlineStr">
        <is>
          <t>GULA COSMETICOS LTDA</t>
        </is>
      </c>
      <c r="D63" s="14" t="n">
        <v>156.77</v>
      </c>
      <c r="E63" s="14" t="n">
        <v>156.77</v>
      </c>
      <c r="F63" s="14" t="n">
        <v>156.77</v>
      </c>
      <c r="G63" s="14" t="n">
        <v>30.57</v>
      </c>
      <c r="H63" s="14" t="n">
        <v>30.57</v>
      </c>
      <c r="I63" s="14" t="n">
        <v>19.61</v>
      </c>
      <c r="J63" s="14" t="n">
        <v>19.61</v>
      </c>
      <c r="K63" s="12" t="inlineStr">
        <is>
          <t>OK</t>
        </is>
      </c>
    </row>
    <row r="64">
      <c r="A64" s="12" t="n">
        <v>9004</v>
      </c>
      <c r="B64" s="17" t="n">
        <v>46288</v>
      </c>
      <c r="C64" s="12" t="inlineStr">
        <is>
          <t>MIX COSMETICOS LTDA</t>
        </is>
      </c>
      <c r="D64" s="14" t="n">
        <v>6288.4</v>
      </c>
      <c r="E64" s="14" t="n">
        <v>6288.4</v>
      </c>
      <c r="F64" s="14" t="n">
        <v>6288.4</v>
      </c>
      <c r="G64" s="14" t="n">
        <v>440.19</v>
      </c>
      <c r="H64" s="14" t="n">
        <v>440.19</v>
      </c>
      <c r="I64" s="14" t="n">
        <v>0</v>
      </c>
      <c r="J64" s="14" t="n">
        <v>0</v>
      </c>
      <c r="K64" s="12" t="inlineStr">
        <is>
          <t>OK</t>
        </is>
      </c>
    </row>
    <row r="65">
      <c r="A65" s="12" t="n">
        <v>9005</v>
      </c>
      <c r="B65" s="17" t="n">
        <v>46288</v>
      </c>
      <c r="C65" s="12" t="inlineStr">
        <is>
          <t>MIX COSMETICOS LTDA</t>
        </is>
      </c>
      <c r="D65" s="14" t="n">
        <v>948</v>
      </c>
      <c r="E65" s="14" t="n">
        <v>948</v>
      </c>
      <c r="F65" s="14" t="n">
        <v>948</v>
      </c>
      <c r="G65" s="14" t="n">
        <v>0</v>
      </c>
      <c r="H65" s="14" t="n">
        <v>0</v>
      </c>
      <c r="I65" s="14" t="n">
        <v>0</v>
      </c>
      <c r="J65" s="14" t="n">
        <v>0</v>
      </c>
      <c r="K65" s="12" t="inlineStr">
        <is>
          <t>OK</t>
        </is>
      </c>
    </row>
    <row r="66">
      <c r="A66" s="12" t="n">
        <v>9006</v>
      </c>
      <c r="B66" s="17" t="n">
        <v>46288</v>
      </c>
      <c r="C66" s="12" t="inlineStr">
        <is>
          <t>GULA COSMETICOS LTDA</t>
        </is>
      </c>
      <c r="D66" s="14" t="n">
        <v>302.73</v>
      </c>
      <c r="E66" s="14" t="n">
        <v>302.73</v>
      </c>
      <c r="F66" s="14" t="n">
        <v>302.73</v>
      </c>
      <c r="G66" s="14" t="n">
        <v>59.03</v>
      </c>
      <c r="H66" s="14" t="n">
        <v>59.03</v>
      </c>
      <c r="I66" s="14" t="n">
        <v>37.87</v>
      </c>
      <c r="J66" s="14" t="n">
        <v>37.87</v>
      </c>
      <c r="K66" s="12" t="inlineStr">
        <is>
          <t>OK</t>
        </is>
      </c>
    </row>
    <row r="67">
      <c r="A67" s="12" t="n">
        <v>9007</v>
      </c>
      <c r="B67" s="17" t="n">
        <v>46288</v>
      </c>
      <c r="C67" s="12" t="inlineStr">
        <is>
          <t>SHED PROFESSIONAL LTDA</t>
        </is>
      </c>
      <c r="D67" s="14" t="n">
        <v>1422</v>
      </c>
      <c r="E67" s="14" t="n">
        <v>1422</v>
      </c>
      <c r="F67" s="14" t="n">
        <v>1422</v>
      </c>
      <c r="G67" s="14" t="n">
        <v>0</v>
      </c>
      <c r="H67" s="14" t="n">
        <v>0</v>
      </c>
      <c r="I67" s="14" t="n">
        <v>0</v>
      </c>
      <c r="J67" s="14" t="n">
        <v>0</v>
      </c>
      <c r="K67" s="12" t="inlineStr">
        <is>
          <t>OK</t>
        </is>
      </c>
    </row>
    <row r="68">
      <c r="A68" s="12" t="n">
        <v>9008</v>
      </c>
      <c r="B68" s="17" t="n">
        <v>46288</v>
      </c>
      <c r="C68" s="12" t="inlineStr">
        <is>
          <t>SHED PROFESSIONAL LTDA</t>
        </is>
      </c>
      <c r="D68" s="14" t="n">
        <v>149.4</v>
      </c>
      <c r="E68" s="14" t="n">
        <v>149.4</v>
      </c>
      <c r="F68" s="14" t="n">
        <v>149.4</v>
      </c>
      <c r="G68" s="14" t="n">
        <v>0</v>
      </c>
      <c r="H68" s="14" t="n">
        <v>0</v>
      </c>
      <c r="I68" s="14" t="n">
        <v>0</v>
      </c>
      <c r="J68" s="14" t="n">
        <v>0</v>
      </c>
      <c r="K68" s="12" t="inlineStr">
        <is>
          <t>OK</t>
        </is>
      </c>
    </row>
    <row r="69">
      <c r="A69" s="12" t="n">
        <v>9009</v>
      </c>
      <c r="B69" s="17" t="n">
        <v>46288</v>
      </c>
      <c r="C69" s="12" t="inlineStr">
        <is>
          <t>GULA COSMETICOS LTDA</t>
        </is>
      </c>
      <c r="D69" s="14" t="n">
        <v>1529.47</v>
      </c>
      <c r="E69" s="14" t="n">
        <v>1529.47</v>
      </c>
      <c r="F69" s="14" t="n">
        <v>1529.47</v>
      </c>
      <c r="G69" s="14" t="n">
        <v>298.24</v>
      </c>
      <c r="H69" s="14" t="n">
        <v>298.24</v>
      </c>
      <c r="I69" s="14" t="n">
        <v>191.35</v>
      </c>
      <c r="J69" s="14" t="n">
        <v>191.35</v>
      </c>
      <c r="K69" s="12" t="inlineStr">
        <is>
          <t>OK</t>
        </is>
      </c>
    </row>
    <row r="70">
      <c r="A70" s="12" t="n">
        <v>9010</v>
      </c>
      <c r="B70" s="17" t="n">
        <v>46289</v>
      </c>
      <c r="C70" s="12" t="inlineStr">
        <is>
          <t>MURANO INDUSTRIA E COMERCIO DE COSMETICOS LTDA</t>
        </is>
      </c>
      <c r="D70" s="14" t="n">
        <v>10871.57</v>
      </c>
      <c r="E70" s="14" t="n">
        <v>10871.57</v>
      </c>
      <c r="F70" s="14" t="n">
        <v>10871.57</v>
      </c>
      <c r="G70" s="14" t="n">
        <v>761.0599999999999</v>
      </c>
      <c r="H70" s="14" t="n">
        <v>761.0599999999999</v>
      </c>
      <c r="I70" s="14" t="n">
        <v>0</v>
      </c>
      <c r="J70" s="14" t="n">
        <v>0</v>
      </c>
      <c r="K70" s="12" t="inlineStr">
        <is>
          <t>OK</t>
        </is>
      </c>
    </row>
    <row r="71">
      <c r="A71" s="12" t="n">
        <v>9011</v>
      </c>
      <c r="B71" s="17" t="n">
        <v>46289</v>
      </c>
      <c r="C71" s="12" t="inlineStr">
        <is>
          <t>GULA COSMETICOS LTDA</t>
        </is>
      </c>
      <c r="D71" s="14" t="n">
        <v>240</v>
      </c>
      <c r="E71" s="14" t="n">
        <v>240</v>
      </c>
      <c r="F71" s="14" t="n">
        <v>240</v>
      </c>
      <c r="G71" s="14" t="n">
        <v>46.8</v>
      </c>
      <c r="H71" s="14" t="n">
        <v>46.8</v>
      </c>
      <c r="I71" s="14" t="n">
        <v>0</v>
      </c>
      <c r="J71" s="14" t="n">
        <v>0</v>
      </c>
      <c r="K71" s="12" t="inlineStr">
        <is>
          <t>OK</t>
        </is>
      </c>
    </row>
    <row r="72">
      <c r="A72" s="12" t="n">
        <v>9012</v>
      </c>
      <c r="B72" s="17" t="n">
        <v>46289</v>
      </c>
      <c r="C72" s="12" t="inlineStr">
        <is>
          <t>MURANO INDUSTRIA E COMERCIO DE COSMETICOS LTDA</t>
        </is>
      </c>
      <c r="D72" s="14" t="n">
        <v>982.8</v>
      </c>
      <c r="E72" s="14" t="n">
        <v>982.8</v>
      </c>
      <c r="F72" s="14" t="n">
        <v>982.8</v>
      </c>
      <c r="G72" s="14" t="n">
        <v>0</v>
      </c>
      <c r="H72" s="14" t="n">
        <v>0</v>
      </c>
      <c r="I72" s="14" t="n">
        <v>0</v>
      </c>
      <c r="J72" s="14" t="n">
        <v>0</v>
      </c>
      <c r="K72" s="12" t="inlineStr">
        <is>
          <t>OK</t>
        </is>
      </c>
    </row>
    <row r="73">
      <c r="A73" s="12" t="n">
        <v>9013</v>
      </c>
      <c r="B73" s="17" t="n">
        <v>46293</v>
      </c>
      <c r="C73" s="12" t="inlineStr">
        <is>
          <t>GULA COSMETICOS LTDA</t>
        </is>
      </c>
      <c r="D73" s="14" t="n">
        <v>618.45</v>
      </c>
      <c r="E73" s="14" t="n">
        <v>618.45</v>
      </c>
      <c r="F73" s="14" t="n">
        <v>618.45</v>
      </c>
      <c r="G73" s="14" t="n">
        <v>120.6</v>
      </c>
      <c r="H73" s="14" t="n">
        <v>120.6</v>
      </c>
      <c r="I73" s="14" t="n">
        <v>77.37</v>
      </c>
      <c r="J73" s="14" t="n">
        <v>77.37</v>
      </c>
      <c r="K73" s="12" t="inlineStr">
        <is>
          <t>OK</t>
        </is>
      </c>
    </row>
    <row r="74">
      <c r="A74" s="12" t="n">
        <v>9014</v>
      </c>
      <c r="B74" s="17" t="n">
        <v>46293</v>
      </c>
      <c r="C74" s="12" t="inlineStr">
        <is>
          <t>GULA COSMETICOS LTDA</t>
        </is>
      </c>
      <c r="D74" s="14" t="n">
        <v>148.13</v>
      </c>
      <c r="E74" s="14" t="n">
        <v>148.13</v>
      </c>
      <c r="F74" s="14" t="n">
        <v>148.13</v>
      </c>
      <c r="G74" s="14" t="n">
        <v>28.89</v>
      </c>
      <c r="H74" s="14" t="n">
        <v>28.89</v>
      </c>
      <c r="I74" s="14" t="n">
        <v>18.53</v>
      </c>
      <c r="J74" s="14" t="n">
        <v>18.53</v>
      </c>
      <c r="K74" s="12" t="inlineStr">
        <is>
          <t>OK</t>
        </is>
      </c>
    </row>
    <row r="75">
      <c r="A75" s="12" t="n">
        <v>9015</v>
      </c>
      <c r="B75" s="17" t="n">
        <v>46293</v>
      </c>
      <c r="C75" s="12" t="inlineStr">
        <is>
          <t>FABIANO RODRIGUES AMARAL</t>
        </is>
      </c>
      <c r="D75" s="14" t="n">
        <v>852</v>
      </c>
      <c r="E75" s="14" t="n">
        <v>852</v>
      </c>
      <c r="F75" s="14" t="n">
        <v>852</v>
      </c>
      <c r="G75" s="14" t="n">
        <v>102.24</v>
      </c>
      <c r="H75" s="14" t="n">
        <v>102.24</v>
      </c>
      <c r="I75" s="14" t="n">
        <v>0</v>
      </c>
      <c r="J75" s="14" t="n">
        <v>0</v>
      </c>
      <c r="K75" s="12" t="inlineStr">
        <is>
          <t>OK</t>
        </is>
      </c>
    </row>
    <row r="76">
      <c r="A76" s="12" t="n">
        <v>9016</v>
      </c>
      <c r="B76" s="17" t="n">
        <v>46293</v>
      </c>
      <c r="C76" s="12" t="inlineStr">
        <is>
          <t>LUAN PATRICK LORANDI 02301366057</t>
        </is>
      </c>
      <c r="D76" s="14" t="n">
        <v>6727</v>
      </c>
      <c r="E76" s="14" t="n">
        <v>6727</v>
      </c>
      <c r="F76" s="14" t="n">
        <v>6727</v>
      </c>
      <c r="G76" s="14" t="n">
        <v>807.24</v>
      </c>
      <c r="H76" s="14" t="n">
        <v>807.24</v>
      </c>
      <c r="I76" s="14" t="n">
        <v>0</v>
      </c>
      <c r="J76" s="14" t="n">
        <v>0</v>
      </c>
      <c r="K76" s="12" t="inlineStr">
        <is>
          <t>OK</t>
        </is>
      </c>
    </row>
    <row r="77">
      <c r="A77" s="12" t="n">
        <v>9017</v>
      </c>
      <c r="B77" s="17" t="n">
        <v>46293</v>
      </c>
      <c r="C77" s="12" t="inlineStr">
        <is>
          <t>LUAN PATRICK LORANDI 02301366057</t>
        </is>
      </c>
      <c r="D77" s="14" t="n">
        <v>547.2</v>
      </c>
      <c r="E77" s="14" t="n">
        <v>547.2</v>
      </c>
      <c r="F77" s="14" t="n">
        <v>547.2</v>
      </c>
      <c r="G77" s="14" t="n">
        <v>0</v>
      </c>
      <c r="H77" s="14" t="n">
        <v>0</v>
      </c>
      <c r="I77" s="14" t="n">
        <v>0</v>
      </c>
      <c r="J77" s="14" t="n">
        <v>0</v>
      </c>
      <c r="K77" s="12" t="inlineStr">
        <is>
          <t>OK</t>
        </is>
      </c>
    </row>
    <row r="78">
      <c r="A78" s="12" t="n">
        <v>9018</v>
      </c>
      <c r="B78" s="17" t="n">
        <v>46294</v>
      </c>
      <c r="C78" s="12" t="inlineStr">
        <is>
          <t>GULA COSMETICOS LTDA</t>
        </is>
      </c>
      <c r="D78" s="14" t="n">
        <v>139.49</v>
      </c>
      <c r="E78" s="14" t="n">
        <v>139.49</v>
      </c>
      <c r="F78" s="14" t="n">
        <v>139.49</v>
      </c>
      <c r="G78" s="14" t="n">
        <v>27.2</v>
      </c>
      <c r="H78" s="14" t="n">
        <v>27.2</v>
      </c>
      <c r="I78" s="14" t="n">
        <v>17.45</v>
      </c>
      <c r="J78" s="14" t="n">
        <v>17.45</v>
      </c>
      <c r="K78" s="12" t="inlineStr">
        <is>
          <t>OK</t>
        </is>
      </c>
    </row>
    <row r="79">
      <c r="A79" s="12" t="n">
        <v>9019</v>
      </c>
      <c r="B79" s="17" t="n">
        <v>46294</v>
      </c>
      <c r="C79" s="12" t="inlineStr">
        <is>
          <t>GULA COSMETICOS LTDA</t>
        </is>
      </c>
      <c r="D79" s="14" t="n">
        <v>6020.39</v>
      </c>
      <c r="E79" s="14" t="n">
        <v>6020.39</v>
      </c>
      <c r="F79" s="14" t="n">
        <v>6020.39</v>
      </c>
      <c r="G79" s="14" t="n">
        <v>1173.93</v>
      </c>
      <c r="H79" s="14" t="n">
        <v>1173.93</v>
      </c>
      <c r="I79" s="14" t="n">
        <v>753.23</v>
      </c>
      <c r="J79" s="14" t="n">
        <v>753.23</v>
      </c>
      <c r="K79" s="12" t="inlineStr">
        <is>
          <t>OK</t>
        </is>
      </c>
    </row>
    <row r="80">
      <c r="A80" s="12" t="n">
        <v>9020</v>
      </c>
      <c r="B80" s="17" t="n">
        <v>46294</v>
      </c>
      <c r="C80" s="12" t="inlineStr">
        <is>
          <t>MIX COSMETICOS LTDA</t>
        </is>
      </c>
      <c r="D80" s="14" t="n">
        <v>600</v>
      </c>
      <c r="E80" s="14" t="n">
        <v>600</v>
      </c>
      <c r="F80" s="14" t="n">
        <v>600</v>
      </c>
      <c r="G80" s="14" t="n">
        <v>0</v>
      </c>
      <c r="H80" s="14" t="n">
        <v>0</v>
      </c>
      <c r="I80" s="14" t="n">
        <v>0</v>
      </c>
      <c r="J80" s="14" t="n">
        <v>0</v>
      </c>
      <c r="K80" s="12" t="inlineStr">
        <is>
          <t>OK</t>
        </is>
      </c>
    </row>
    <row r="81">
      <c r="A81" s="12" t="n">
        <v>9021</v>
      </c>
      <c r="B81" s="17" t="n">
        <v>46294</v>
      </c>
      <c r="C81" s="12" t="inlineStr">
        <is>
          <t>MIX PERFUMARIA LTDA</t>
        </is>
      </c>
      <c r="D81" s="14" t="n">
        <v>300</v>
      </c>
      <c r="E81" s="14" t="n">
        <v>300</v>
      </c>
      <c r="F81" s="14" t="n">
        <v>300</v>
      </c>
      <c r="G81" s="14" t="n">
        <v>0</v>
      </c>
      <c r="H81" s="14" t="n">
        <v>0</v>
      </c>
      <c r="I81" s="14" t="n">
        <v>0</v>
      </c>
      <c r="J81" s="14" t="n">
        <v>0</v>
      </c>
      <c r="K81" s="12" t="inlineStr">
        <is>
          <t>OK</t>
        </is>
      </c>
    </row>
    <row r="82">
      <c r="A82" s="12" t="n">
        <v>9022</v>
      </c>
      <c r="B82" s="17" t="n">
        <v>46294</v>
      </c>
      <c r="C82" s="12" t="inlineStr">
        <is>
          <t>ESAINT COMERCIO DE COSMETICOS LTDA</t>
        </is>
      </c>
      <c r="D82" s="14" t="n">
        <v>3288</v>
      </c>
      <c r="E82" s="14" t="n">
        <v>3288</v>
      </c>
      <c r="F82" s="14" t="n">
        <v>3288</v>
      </c>
      <c r="G82" s="14" t="n">
        <v>641.16</v>
      </c>
      <c r="H82" s="14" t="n">
        <v>641.16</v>
      </c>
      <c r="I82" s="14" t="n">
        <v>0</v>
      </c>
      <c r="J82" s="14" t="n">
        <v>0</v>
      </c>
      <c r="K82" s="12" t="inlineStr">
        <is>
          <t>OK</t>
        </is>
      </c>
    </row>
    <row r="83">
      <c r="A83" s="12" t="n">
        <v>9023</v>
      </c>
      <c r="B83" s="17" t="n">
        <v>46294</v>
      </c>
      <c r="C83" s="12" t="inlineStr">
        <is>
          <t>MIX PERFUMARIA LTDA</t>
        </is>
      </c>
      <c r="D83" s="14" t="n">
        <v>1900</v>
      </c>
      <c r="E83" s="14" t="n">
        <v>1900</v>
      </c>
      <c r="F83" s="14" t="n">
        <v>1900</v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>
        <is>
          <t>OK</t>
        </is>
      </c>
    </row>
    <row r="84">
      <c r="A84" s="12" t="n">
        <v>9024</v>
      </c>
      <c r="B84" s="17" t="n">
        <v>46294</v>
      </c>
      <c r="C84" s="12" t="inlineStr">
        <is>
          <t>MIX PERFUMARIA LTDA</t>
        </is>
      </c>
      <c r="D84" s="14" t="n">
        <v>300</v>
      </c>
      <c r="E84" s="14" t="n">
        <v>300</v>
      </c>
      <c r="F84" s="14" t="n">
        <v>300</v>
      </c>
      <c r="G84" s="14" t="n">
        <v>0</v>
      </c>
      <c r="H84" s="14" t="n">
        <v>0</v>
      </c>
      <c r="I84" s="14" t="n">
        <v>0</v>
      </c>
      <c r="J84" s="14" t="n">
        <v>0</v>
      </c>
      <c r="K84" s="12" t="inlineStr">
        <is>
          <t>OK</t>
        </is>
      </c>
    </row>
    <row r="85">
      <c r="A85" s="12" t="n">
        <v>9025</v>
      </c>
      <c r="B85" s="17" t="n">
        <v>46294</v>
      </c>
      <c r="C85" s="12" t="inlineStr">
        <is>
          <t>MIX COSMETICOS LTDA</t>
        </is>
      </c>
      <c r="D85" s="14" t="n">
        <v>3980</v>
      </c>
      <c r="E85" s="14" t="n">
        <v>3980</v>
      </c>
      <c r="F85" s="14" t="n">
        <v>3980</v>
      </c>
      <c r="G85" s="14" t="n">
        <v>278.6</v>
      </c>
      <c r="H85" s="14" t="n">
        <v>278.6</v>
      </c>
      <c r="I85" s="14" t="n">
        <v>0</v>
      </c>
      <c r="J85" s="14" t="n">
        <v>0</v>
      </c>
      <c r="K85" s="12" t="inlineStr">
        <is>
          <t>OK</t>
        </is>
      </c>
    </row>
    <row r="86">
      <c r="A86" s="12" t="n">
        <v>9026</v>
      </c>
      <c r="B86" s="17" t="n">
        <v>46294</v>
      </c>
      <c r="C86" s="12" t="inlineStr">
        <is>
          <t>MIX COSMETICOS LTDA</t>
        </is>
      </c>
      <c r="D86" s="14" t="n">
        <v>600</v>
      </c>
      <c r="E86" s="14" t="n">
        <v>600</v>
      </c>
      <c r="F86" s="14" t="n">
        <v>600</v>
      </c>
      <c r="G86" s="14" t="n">
        <v>0</v>
      </c>
      <c r="H86" s="14" t="n">
        <v>0</v>
      </c>
      <c r="I86" s="14" t="n">
        <v>0</v>
      </c>
      <c r="J86" s="14" t="n">
        <v>0</v>
      </c>
      <c r="K86" s="12" t="inlineStr">
        <is>
          <t>OK</t>
        </is>
      </c>
    </row>
    <row r="87">
      <c r="A87" s="12" t="n">
        <v>9027</v>
      </c>
      <c r="B87" s="17" t="n">
        <v>46295</v>
      </c>
      <c r="C87" s="12" t="inlineStr">
        <is>
          <t>R&amp;S COMERCIO DE COSMETICOS LTDA</t>
        </is>
      </c>
      <c r="D87" s="14" t="n">
        <v>2424</v>
      </c>
      <c r="E87" s="14" t="n">
        <v>2424</v>
      </c>
      <c r="F87" s="14" t="n">
        <v>2424</v>
      </c>
      <c r="G87" s="14" t="n">
        <v>290.88</v>
      </c>
      <c r="H87" s="14" t="n">
        <v>290.88</v>
      </c>
      <c r="I87" s="14" t="n">
        <v>0</v>
      </c>
      <c r="J87" s="14" t="n">
        <v>0</v>
      </c>
      <c r="K87" s="12" t="inlineStr">
        <is>
          <t>OK</t>
        </is>
      </c>
    </row>
    <row r="88">
      <c r="A88" s="12" t="n">
        <v>9028</v>
      </c>
      <c r="B88" s="17" t="n">
        <v>46295</v>
      </c>
      <c r="C88" s="12" t="inlineStr">
        <is>
          <t>R&amp;S COMERCIO DE COSMETICOS LTDA</t>
        </is>
      </c>
      <c r="D88" s="14" t="n">
        <v>500.1</v>
      </c>
      <c r="E88" s="14" t="n">
        <v>500.1</v>
      </c>
      <c r="F88" s="14" t="n">
        <v>500.1</v>
      </c>
      <c r="G88" s="14" t="n">
        <v>0</v>
      </c>
      <c r="H88" s="14" t="n">
        <v>0</v>
      </c>
      <c r="I88" s="14" t="n">
        <v>0</v>
      </c>
      <c r="J88" s="14" t="n">
        <v>0</v>
      </c>
      <c r="K88" s="12" t="inlineStr">
        <is>
          <t>OK</t>
        </is>
      </c>
    </row>
    <row r="89">
      <c r="A89" s="12" t="n">
        <v>9029</v>
      </c>
      <c r="B89" s="17" t="n">
        <v>46295</v>
      </c>
      <c r="C89" s="12" t="inlineStr">
        <is>
          <t>TB PRO COSMETICS - DISTRIBUIDORA E EVENTOS LTDA</t>
        </is>
      </c>
      <c r="D89" s="14" t="n">
        <v>1551.26</v>
      </c>
      <c r="E89" s="14" t="n">
        <v>1551.26</v>
      </c>
      <c r="F89" s="14" t="n">
        <v>1551.26</v>
      </c>
      <c r="G89" s="14" t="n">
        <v>186.15</v>
      </c>
      <c r="H89" s="14" t="n">
        <v>186.15</v>
      </c>
      <c r="I89" s="14" t="n">
        <v>0</v>
      </c>
      <c r="J89" s="14" t="n">
        <v>0</v>
      </c>
      <c r="K89" s="12" t="inlineStr">
        <is>
          <t>OK</t>
        </is>
      </c>
    </row>
    <row r="90">
      <c r="A90" s="12" t="n">
        <v>9030</v>
      </c>
      <c r="B90" s="17" t="n">
        <v>46295</v>
      </c>
      <c r="C90" s="12" t="inlineStr">
        <is>
          <t>TB PRO COSMETICS - DISTRIBUIDORA E EVENTOS LTDA</t>
        </is>
      </c>
      <c r="D90" s="14" t="n">
        <v>133.2</v>
      </c>
      <c r="E90" s="14" t="n">
        <v>133.2</v>
      </c>
      <c r="F90" s="14" t="n">
        <v>133.2</v>
      </c>
      <c r="G90" s="14" t="n">
        <v>0</v>
      </c>
      <c r="H90" s="14" t="n">
        <v>0</v>
      </c>
      <c r="I90" s="14" t="n">
        <v>0</v>
      </c>
      <c r="J90" s="14" t="n">
        <v>0</v>
      </c>
      <c r="K90" s="12" t="inlineStr">
        <is>
          <t>OK</t>
        </is>
      </c>
    </row>
    <row r="91">
      <c r="A91" s="12" t="n">
        <v>9031</v>
      </c>
      <c r="B91" s="17" t="n">
        <v>46295</v>
      </c>
      <c r="C91" s="12" t="inlineStr">
        <is>
          <t>BB COSMETICOS - EIRELI</t>
        </is>
      </c>
      <c r="D91" s="14" t="n">
        <v>1198.8</v>
      </c>
      <c r="E91" s="14" t="n">
        <v>1198.8</v>
      </c>
      <c r="F91" s="14" t="n">
        <v>1198.8</v>
      </c>
      <c r="G91" s="14" t="n">
        <v>0</v>
      </c>
      <c r="H91" s="14" t="n">
        <v>0</v>
      </c>
      <c r="I91" s="14" t="n">
        <v>0</v>
      </c>
      <c r="J91" s="14" t="n">
        <v>0</v>
      </c>
      <c r="K91" s="12" t="inlineStr">
        <is>
          <t>OK</t>
        </is>
      </c>
    </row>
    <row r="92">
      <c r="A92" s="12" t="n">
        <v>9032</v>
      </c>
      <c r="B92" s="17" t="n">
        <v>46295</v>
      </c>
      <c r="C92" s="12" t="inlineStr">
        <is>
          <t>BB COSMETICOS - EIRELI</t>
        </is>
      </c>
      <c r="D92" s="14" t="n">
        <v>348</v>
      </c>
      <c r="E92" s="14" t="n">
        <v>348</v>
      </c>
      <c r="F92" s="14" t="n">
        <v>348</v>
      </c>
      <c r="G92" s="14" t="n">
        <v>0</v>
      </c>
      <c r="H92" s="14" t="n">
        <v>0</v>
      </c>
      <c r="I92" s="14" t="n">
        <v>0</v>
      </c>
      <c r="J92" s="14" t="n">
        <v>0</v>
      </c>
      <c r="K92" s="12" t="inlineStr">
        <is>
          <t>OK</t>
        </is>
      </c>
    </row>
    <row r="93">
      <c r="A93" s="12" t="n">
        <v>9033</v>
      </c>
      <c r="B93" s="17" t="n">
        <v>46295</v>
      </c>
      <c r="C93" s="12" t="inlineStr">
        <is>
          <t>MIX COSMETICOS LTDA</t>
        </is>
      </c>
      <c r="D93" s="14" t="n">
        <v>2370</v>
      </c>
      <c r="E93" s="14" t="n">
        <v>2370</v>
      </c>
      <c r="F93" s="14" t="n">
        <v>2370</v>
      </c>
      <c r="G93" s="14" t="n">
        <v>165.9</v>
      </c>
      <c r="H93" s="14" t="n">
        <v>165.9</v>
      </c>
      <c r="I93" s="14" t="n">
        <v>0</v>
      </c>
      <c r="J93" s="14" t="n">
        <v>0</v>
      </c>
      <c r="K93" s="12" t="inlineStr">
        <is>
          <t>OK</t>
        </is>
      </c>
    </row>
    <row r="94">
      <c r="A94" s="12" t="n">
        <v>9034</v>
      </c>
      <c r="B94" s="17" t="n">
        <v>46295</v>
      </c>
      <c r="C94" s="12" t="inlineStr">
        <is>
          <t>MIX COSMETICOS LTDA</t>
        </is>
      </c>
      <c r="D94" s="14" t="n">
        <v>427.2</v>
      </c>
      <c r="E94" s="14" t="n">
        <v>427.2</v>
      </c>
      <c r="F94" s="14" t="n">
        <v>427.2</v>
      </c>
      <c r="G94" s="14" t="n">
        <v>0</v>
      </c>
      <c r="H94" s="14" t="n">
        <v>0</v>
      </c>
      <c r="I94" s="14" t="n">
        <v>0</v>
      </c>
      <c r="J94" s="14" t="n">
        <v>0</v>
      </c>
      <c r="K94" s="12" t="inlineStr">
        <is>
          <t>OK</t>
        </is>
      </c>
    </row>
    <row r="95">
      <c r="A95" s="12" t="n">
        <v>9035</v>
      </c>
      <c r="B95" s="17" t="n">
        <v>46295</v>
      </c>
      <c r="C95" s="12" t="inlineStr">
        <is>
          <t>NUTRABELLA COMERCIAL DE COSMETICOS LTDA</t>
        </is>
      </c>
      <c r="D95" s="14" t="n">
        <v>3917.94</v>
      </c>
      <c r="E95" s="14" t="n">
        <v>3917.94</v>
      </c>
      <c r="F95" s="14" t="n">
        <v>3917.94</v>
      </c>
      <c r="G95" s="14" t="n">
        <v>274.28</v>
      </c>
      <c r="H95" s="14" t="n">
        <v>274.28</v>
      </c>
      <c r="I95" s="14" t="n">
        <v>0</v>
      </c>
      <c r="J95" s="14" t="n">
        <v>0</v>
      </c>
      <c r="K95" s="12" t="inlineStr">
        <is>
          <t>OK</t>
        </is>
      </c>
    </row>
    <row r="96">
      <c r="A96" s="12" t="n">
        <v>9036</v>
      </c>
      <c r="B96" s="17" t="n">
        <v>46295</v>
      </c>
      <c r="C96" s="12" t="inlineStr">
        <is>
          <t>NUTRABELLA COMERCIAL DE COSMETICOS LTDA</t>
        </is>
      </c>
      <c r="D96" s="14" t="n">
        <v>297.6</v>
      </c>
      <c r="E96" s="14" t="n">
        <v>297.6</v>
      </c>
      <c r="F96" s="14" t="n">
        <v>297.6</v>
      </c>
      <c r="G96" s="14" t="n">
        <v>0</v>
      </c>
      <c r="H96" s="14" t="n">
        <v>0</v>
      </c>
      <c r="I96" s="14" t="n">
        <v>0</v>
      </c>
      <c r="J96" s="14" t="n">
        <v>0</v>
      </c>
      <c r="K96" s="12" t="inlineStr">
        <is>
          <t>OK</t>
        </is>
      </c>
    </row>
    <row r="97">
      <c r="A97" s="9" t="inlineStr">
        <is>
          <t>Total</t>
        </is>
      </c>
      <c r="B97" s="9" t="inlineStr"/>
      <c r="C97" s="9" t="inlineStr"/>
      <c r="D97" s="10">
        <f>SUM(D4:D96)</f>
        <v/>
      </c>
      <c r="E97" s="10">
        <f>SUM(E4:E96)</f>
        <v/>
      </c>
      <c r="F97" s="10">
        <f>SUM(F4:F96)</f>
        <v/>
      </c>
      <c r="G97" s="10">
        <f>SUM(G4:G96)</f>
        <v/>
      </c>
      <c r="H97" s="10">
        <f>SUM(H4:H96)</f>
        <v/>
      </c>
      <c r="I97" s="10">
        <f>SUM(I4:I96)</f>
        <v/>
      </c>
      <c r="J97" s="10">
        <f>SUM(J4:J96)</f>
        <v/>
      </c>
      <c r="K97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6" customWidth="1" min="3" max="3"/>
    <col width="16" customWidth="1" min="4" max="4"/>
    <col width="12" customWidth="1" min="5" max="5"/>
    <col width="12" customWidth="1" min="6" max="6"/>
    <col width="40" customWidth="1" min="7" max="7"/>
    <col width="47" customWidth="1" min="8" max="8"/>
  </cols>
  <sheetData>
    <row r="1">
      <c r="A1" s="1" t="inlineStr">
        <is>
          <t>Entradas: XML x relatório SIEG</t>
        </is>
      </c>
    </row>
    <row r="3">
      <c r="A3" s="4" t="inlineStr">
        <is>
          <t>NF</t>
        </is>
      </c>
      <c r="B3" s="4" t="inlineStr">
        <is>
          <t>Emissão</t>
        </is>
      </c>
      <c r="C3" s="4" t="inlineStr">
        <is>
          <t>Fornecedor</t>
        </is>
      </c>
      <c r="D3" s="4" t="inlineStr">
        <is>
          <t>CNPJ</t>
        </is>
      </c>
      <c r="E3" s="4" t="inlineStr">
        <is>
          <t>Vlr XML</t>
        </is>
      </c>
      <c r="F3" s="4" t="inlineStr">
        <is>
          <t>Vlr SIEG</t>
        </is>
      </c>
      <c r="G3" s="4" t="inlineStr">
        <is>
          <t>Resultado</t>
        </is>
      </c>
      <c r="H3" s="4" t="inlineStr">
        <is>
          <t>Chave</t>
        </is>
      </c>
    </row>
    <row r="4">
      <c r="A4" s="12" t="n">
        <v>41731</v>
      </c>
      <c r="B4" s="17" t="n">
        <v>46266</v>
      </c>
      <c r="C4" s="12" t="inlineStr">
        <is>
          <t>DISTRIBUIDORA INDUSTRIAL PARANAENSE LTDA</t>
        </is>
      </c>
      <c r="D4" s="12" t="inlineStr">
        <is>
          <t>04993269000177</t>
        </is>
      </c>
      <c r="E4" s="14" t="n">
        <v>1870</v>
      </c>
      <c r="F4" s="14" t="n">
        <v>1870</v>
      </c>
      <c r="G4" s="12" t="inlineStr">
        <is>
          <t>OK</t>
        </is>
      </c>
      <c r="H4" s="12" t="inlineStr">
        <is>
          <t>41260904993269000177550010000417311010503945</t>
        </is>
      </c>
    </row>
    <row r="5">
      <c r="A5" s="12" t="n">
        <v>3795</v>
      </c>
      <c r="B5" s="17" t="n">
        <v>46266</v>
      </c>
      <c r="C5" s="12" t="inlineStr">
        <is>
          <t>Lunaflexo Tecnologia Adesiva Eireli</t>
        </is>
      </c>
      <c r="D5" s="12" t="inlineStr">
        <is>
          <t>06015875000143</t>
        </is>
      </c>
      <c r="E5" s="14" t="n">
        <v>3460</v>
      </c>
      <c r="F5" s="14" t="n">
        <v>3460</v>
      </c>
      <c r="G5" s="12" t="inlineStr">
        <is>
          <t>OK</t>
        </is>
      </c>
      <c r="H5" s="12" t="inlineStr">
        <is>
          <t>41260906015875000143550010000037951000701710</t>
        </is>
      </c>
    </row>
    <row r="6">
      <c r="A6" s="12" t="n">
        <v>5027</v>
      </c>
      <c r="B6" s="17" t="n">
        <v>46267</v>
      </c>
      <c r="C6" s="12" t="inlineStr">
        <is>
          <t>JOSE DOMINGOS LINARES LTDA</t>
        </is>
      </c>
      <c r="D6" s="12" t="inlineStr">
        <is>
          <t>03839251000152</t>
        </is>
      </c>
      <c r="E6" s="14" t="n">
        <v>600</v>
      </c>
      <c r="F6" s="14" t="n">
        <v>600</v>
      </c>
      <c r="G6" s="12" t="inlineStr">
        <is>
          <t>OK</t>
        </is>
      </c>
      <c r="H6" s="12" t="inlineStr">
        <is>
          <t>41260903839251000152550030000050271834583570</t>
        </is>
      </c>
    </row>
    <row r="7">
      <c r="A7" s="12" t="n">
        <v>22837</v>
      </c>
      <c r="B7" s="17" t="n">
        <v>46267</v>
      </c>
      <c r="C7" s="12" t="inlineStr">
        <is>
          <t>CARBON CIENTIFICA LTDA</t>
        </is>
      </c>
      <c r="D7" s="12" t="inlineStr">
        <is>
          <t>44114040000130</t>
        </is>
      </c>
      <c r="E7" s="14" t="n">
        <v>2</v>
      </c>
      <c r="F7" s="14" t="n">
        <v>2</v>
      </c>
      <c r="G7" s="12" t="inlineStr">
        <is>
          <t>OK</t>
        </is>
      </c>
      <c r="H7" s="12" t="inlineStr">
        <is>
          <t>41260944114040000130550010000228371000945488</t>
        </is>
      </c>
    </row>
    <row r="8">
      <c r="A8" s="12" t="n">
        <v>786</v>
      </c>
      <c r="B8" s="17" t="n">
        <v>46267</v>
      </c>
      <c r="C8" s="12" t="inlineStr">
        <is>
          <t>YAHWEH PRINT BRASIL LTDA</t>
        </is>
      </c>
      <c r="D8" s="12" t="inlineStr">
        <is>
          <t>52680145000184</t>
        </is>
      </c>
      <c r="E8" s="14" t="n">
        <v>7052.79</v>
      </c>
      <c r="F8" s="14" t="n">
        <v>7052.79</v>
      </c>
      <c r="G8" s="12" t="inlineStr">
        <is>
          <t>OK</t>
        </is>
      </c>
      <c r="H8" s="12" t="inlineStr">
        <is>
          <t>41260952680145000184550010000007861702940405</t>
        </is>
      </c>
    </row>
    <row r="9">
      <c r="A9" s="12" t="n">
        <v>695</v>
      </c>
      <c r="B9" s="17" t="n">
        <v>46267</v>
      </c>
      <c r="C9" s="12" t="inlineStr">
        <is>
          <t>REATEC DO BRASIL LTDA</t>
        </is>
      </c>
      <c r="D9" s="12" t="inlineStr">
        <is>
          <t>62341566000134</t>
        </is>
      </c>
      <c r="E9" s="14" t="n">
        <v>3738</v>
      </c>
      <c r="F9" s="14" t="n">
        <v>3738</v>
      </c>
      <c r="G9" s="12" t="inlineStr">
        <is>
          <t>OK</t>
        </is>
      </c>
      <c r="H9" s="12" t="inlineStr">
        <is>
          <t>41260962341566000134550010000006951857187453</t>
        </is>
      </c>
    </row>
    <row r="10">
      <c r="A10" s="12" t="n">
        <v>300</v>
      </c>
      <c r="B10" s="17" t="n">
        <v>46267</v>
      </c>
      <c r="C10" s="12" t="inlineStr">
        <is>
          <t>THERMOSUL RESISTENCIAS ELETRICAS LTDA</t>
        </is>
      </c>
      <c r="D10" s="12" t="inlineStr">
        <is>
          <t>66434370000145</t>
        </is>
      </c>
      <c r="E10" s="14" t="n">
        <v>2592</v>
      </c>
      <c r="F10" s="14" t="n">
        <v>2592</v>
      </c>
      <c r="G10" s="12" t="inlineStr">
        <is>
          <t>OK</t>
        </is>
      </c>
      <c r="H10" s="12" t="inlineStr">
        <is>
          <t>41260966434370000145550010000003001634619321</t>
        </is>
      </c>
    </row>
    <row r="11">
      <c r="A11" s="12" t="n">
        <v>160326</v>
      </c>
      <c r="B11" s="17" t="n">
        <v>46267</v>
      </c>
      <c r="C11" s="12" t="inlineStr">
        <is>
          <t>NewProv - Produtos para Laboratório Ltda</t>
        </is>
      </c>
      <c r="D11" s="12" t="inlineStr">
        <is>
          <t>73636391000109</t>
        </is>
      </c>
      <c r="E11" s="14" t="n">
        <v>2248.65</v>
      </c>
      <c r="F11" s="14" t="n">
        <v>2248.65</v>
      </c>
      <c r="G11" s="12" t="inlineStr">
        <is>
          <t>OK</t>
        </is>
      </c>
      <c r="H11" s="12" t="inlineStr">
        <is>
          <t>41260973636391000109550010001603261915612489</t>
        </is>
      </c>
    </row>
    <row r="12">
      <c r="A12" s="12" t="n">
        <v>5048</v>
      </c>
      <c r="B12" s="17" t="n">
        <v>46268</v>
      </c>
      <c r="C12" s="12" t="inlineStr">
        <is>
          <t>JOSE DOMINGOS LINARES LTDA</t>
        </is>
      </c>
      <c r="D12" s="12" t="inlineStr">
        <is>
          <t>03839251000152</t>
        </is>
      </c>
      <c r="E12" s="14" t="n">
        <v>1964</v>
      </c>
      <c r="F12" s="14" t="n">
        <v>1964</v>
      </c>
      <c r="G12" s="12" t="inlineStr">
        <is>
          <t>OK</t>
        </is>
      </c>
      <c r="H12" s="12" t="inlineStr">
        <is>
          <t>41260903839251000152550030000050481113690367</t>
        </is>
      </c>
    </row>
    <row r="13">
      <c r="A13" s="12" t="n">
        <v>4920</v>
      </c>
      <c r="B13" s="17" t="n">
        <v>46268</v>
      </c>
      <c r="C13" s="12" t="inlineStr">
        <is>
          <t>DISPOLI COMERCIO DE COSMETICOS LTDA</t>
        </is>
      </c>
      <c r="D13" s="12" t="inlineStr">
        <is>
          <t>41726398000125</t>
        </is>
      </c>
      <c r="E13" s="14" t="n">
        <v>169.38</v>
      </c>
      <c r="F13" s="14" t="n">
        <v>169.38</v>
      </c>
      <c r="G13" s="12" t="inlineStr">
        <is>
          <t>OK</t>
        </is>
      </c>
      <c r="H13" s="12" t="inlineStr">
        <is>
          <t>41260941726398000125550010000049201009949200</t>
        </is>
      </c>
    </row>
    <row r="14">
      <c r="A14" s="12" t="n">
        <v>2564</v>
      </c>
      <c r="B14" s="17" t="n">
        <v>46269</v>
      </c>
      <c r="C14" s="12" t="inlineStr">
        <is>
          <t>AGATHA INDUSTRIA DE MANUFATURADOS LTDA</t>
        </is>
      </c>
      <c r="D14" s="12" t="inlineStr">
        <is>
          <t>54079636000108</t>
        </is>
      </c>
      <c r="E14" s="14" t="n">
        <v>924</v>
      </c>
      <c r="F14" s="14" t="n">
        <v>924</v>
      </c>
      <c r="G14" s="12" t="inlineStr">
        <is>
          <t>OK</t>
        </is>
      </c>
      <c r="H14" s="12" t="inlineStr">
        <is>
          <t>43260954079636000108550010000025641087230517</t>
        </is>
      </c>
    </row>
    <row r="15">
      <c r="A15" s="12" t="n">
        <v>5080</v>
      </c>
      <c r="B15" s="17" t="n">
        <v>46274</v>
      </c>
      <c r="C15" s="12" t="inlineStr">
        <is>
          <t>JOSE DOMINGOS LINARES LTDA</t>
        </is>
      </c>
      <c r="D15" s="12" t="inlineStr">
        <is>
          <t>03839251000152</t>
        </is>
      </c>
      <c r="E15" s="14" t="n">
        <v>5670</v>
      </c>
      <c r="F15" s="14" t="n">
        <v>5670</v>
      </c>
      <c r="G15" s="12" t="inlineStr">
        <is>
          <t>OK</t>
        </is>
      </c>
      <c r="H15" s="12" t="inlineStr">
        <is>
          <t>41260903839251000152550030000050801135229929</t>
        </is>
      </c>
    </row>
    <row r="16">
      <c r="A16" s="12" t="n">
        <v>795</v>
      </c>
      <c r="B16" s="17" t="n">
        <v>46274</v>
      </c>
      <c r="C16" s="12" t="inlineStr">
        <is>
          <t>YAHWEH PRINT BRASIL LTDA</t>
        </is>
      </c>
      <c r="D16" s="12" t="inlineStr">
        <is>
          <t>52680145000184</t>
        </is>
      </c>
      <c r="E16" s="14" t="n">
        <v>4106.89</v>
      </c>
      <c r="F16" s="14" t="n">
        <v>4106.89</v>
      </c>
      <c r="G16" s="12" t="inlineStr">
        <is>
          <t>OK</t>
        </is>
      </c>
      <c r="H16" s="12" t="inlineStr">
        <is>
          <t>41260952680145000184550010000007951158784741</t>
        </is>
      </c>
    </row>
    <row r="17">
      <c r="A17" s="12" t="n">
        <v>8112</v>
      </c>
      <c r="B17" s="17" t="n">
        <v>46279</v>
      </c>
      <c r="C17" s="12" t="inlineStr">
        <is>
          <t>OUTLET PREMIUM PACK LTDA</t>
        </is>
      </c>
      <c r="D17" s="12" t="inlineStr">
        <is>
          <t>34970658000148</t>
        </is>
      </c>
      <c r="E17" s="14" t="n">
        <v>2462.03</v>
      </c>
      <c r="F17" s="14" t="n">
        <v>2462.03</v>
      </c>
      <c r="G17" s="12" t="inlineStr">
        <is>
          <t>OK</t>
        </is>
      </c>
      <c r="H17" s="12" t="inlineStr">
        <is>
          <t>35260934970658000148550010000081121000087609</t>
        </is>
      </c>
    </row>
    <row r="18">
      <c r="A18" s="12" t="n">
        <v>8099</v>
      </c>
      <c r="B18" s="17" t="n">
        <v>46279</v>
      </c>
      <c r="C18" s="12" t="inlineStr">
        <is>
          <t>BEPUMP IMPORTACAO E EXPORTACAO LTDA</t>
        </is>
      </c>
      <c r="D18" s="12" t="inlineStr">
        <is>
          <t>39237959000180</t>
        </is>
      </c>
      <c r="E18" s="14" t="n">
        <v>1408.12</v>
      </c>
      <c r="F18" s="14" t="n">
        <v>1408.12</v>
      </c>
      <c r="G18" s="12" t="inlineStr">
        <is>
          <t>OK</t>
        </is>
      </c>
      <c r="H18" s="12" t="inlineStr">
        <is>
          <t>35260939237959000180550010000080991000082318</t>
        </is>
      </c>
    </row>
    <row r="19">
      <c r="A19" s="12" t="n">
        <v>5133</v>
      </c>
      <c r="B19" s="17" t="n">
        <v>46279</v>
      </c>
      <c r="C19" s="12" t="inlineStr">
        <is>
          <t>JOSE DOMINGOS LINARES LTDA</t>
        </is>
      </c>
      <c r="D19" s="12" t="inlineStr">
        <is>
          <t>03839251000152</t>
        </is>
      </c>
      <c r="E19" s="14" t="n">
        <v>2136</v>
      </c>
      <c r="F19" s="14" t="n">
        <v>2136</v>
      </c>
      <c r="G19" s="12" t="inlineStr">
        <is>
          <t>OK</t>
        </is>
      </c>
      <c r="H19" s="12" t="inlineStr">
        <is>
          <t>41260903839251000152550030000051331151580428</t>
        </is>
      </c>
    </row>
    <row r="20">
      <c r="A20" s="12" t="n">
        <v>13721</v>
      </c>
      <c r="B20" s="17" t="n">
        <v>46279</v>
      </c>
      <c r="C20" s="12" t="inlineStr">
        <is>
          <t>CAETANO PLASTICOS EMBALAGENS LTDA</t>
        </is>
      </c>
      <c r="D20" s="12" t="inlineStr">
        <is>
          <t>37295717000118</t>
        </is>
      </c>
      <c r="E20" s="14" t="n">
        <v>2286.82</v>
      </c>
      <c r="F20" s="14" t="n">
        <v>2286.82</v>
      </c>
      <c r="G20" s="12" t="inlineStr">
        <is>
          <t>OK</t>
        </is>
      </c>
      <c r="H20" s="12" t="inlineStr">
        <is>
          <t>41260937295717000118550010000137211931581334</t>
        </is>
      </c>
    </row>
    <row r="21">
      <c r="A21" s="12" t="n">
        <v>5162</v>
      </c>
      <c r="B21" s="17" t="n">
        <v>46280</v>
      </c>
      <c r="C21" s="12" t="inlineStr">
        <is>
          <t>JOSE DOMINGOS LINARES LTDA</t>
        </is>
      </c>
      <c r="D21" s="12" t="inlineStr">
        <is>
          <t>03839251000152</t>
        </is>
      </c>
      <c r="E21" s="14" t="n">
        <v>1112</v>
      </c>
      <c r="F21" s="14" t="n">
        <v>1112</v>
      </c>
      <c r="G21" s="12" t="inlineStr">
        <is>
          <t>OK</t>
        </is>
      </c>
      <c r="H21" s="12" t="inlineStr">
        <is>
          <t>41260903839251000152550030000051621201311907</t>
        </is>
      </c>
    </row>
    <row r="22">
      <c r="A22" s="12" t="n">
        <v>40451</v>
      </c>
      <c r="B22" s="17" t="n">
        <v>46280</v>
      </c>
      <c r="C22" s="12" t="inlineStr">
        <is>
          <t>ILS TECNOLOGIA EM EQUIP DE SEG DO TRABALHO LTDA</t>
        </is>
      </c>
      <c r="D22" s="12" t="inlineStr">
        <is>
          <t>10265455000192</t>
        </is>
      </c>
      <c r="E22" s="14" t="n">
        <v>370.86</v>
      </c>
      <c r="F22" s="14" t="n">
        <v>370.86</v>
      </c>
      <c r="G22" s="12" t="inlineStr">
        <is>
          <t>OK</t>
        </is>
      </c>
      <c r="H22" s="12" t="inlineStr">
        <is>
          <t>41260910265455000192550010000404511000405060</t>
        </is>
      </c>
    </row>
    <row r="23">
      <c r="A23" s="12" t="n">
        <v>5170</v>
      </c>
      <c r="B23" s="17" t="n">
        <v>46281</v>
      </c>
      <c r="C23" s="12" t="inlineStr">
        <is>
          <t>JOSE DOMINGOS LINARES LTDA</t>
        </is>
      </c>
      <c r="D23" s="12" t="inlineStr">
        <is>
          <t>03839251000152</t>
        </is>
      </c>
      <c r="E23" s="14" t="n">
        <v>667.2</v>
      </c>
      <c r="F23" s="14" t="n">
        <v>667.2</v>
      </c>
      <c r="G23" s="12" t="inlineStr">
        <is>
          <t>OK</t>
        </is>
      </c>
      <c r="H23" s="12" t="inlineStr">
        <is>
          <t>41260903839251000152550030000051701177572396</t>
        </is>
      </c>
    </row>
    <row r="24">
      <c r="A24" s="12" t="n">
        <v>418</v>
      </c>
      <c r="B24" s="17" t="n">
        <v>46281</v>
      </c>
      <c r="C24" s="12" t="inlineStr">
        <is>
          <t>SAVATEC COMERCIO E SERVICOS LTDA</t>
        </is>
      </c>
      <c r="D24" s="12" t="inlineStr">
        <is>
          <t>59087034000108</t>
        </is>
      </c>
      <c r="E24" s="14" t="n">
        <v>1320.74</v>
      </c>
      <c r="F24" s="14" t="n">
        <v>1320.74</v>
      </c>
      <c r="G24" s="12" t="inlineStr">
        <is>
          <t>OK</t>
        </is>
      </c>
      <c r="H24" s="12" t="inlineStr">
        <is>
          <t>41260959087034000108550010000004181258202600</t>
        </is>
      </c>
    </row>
    <row r="25">
      <c r="A25" s="12" t="n">
        <v>30338</v>
      </c>
      <c r="B25" s="17" t="n">
        <v>46282</v>
      </c>
      <c r="C25" s="12" t="inlineStr">
        <is>
          <t>ALTEC IND.COM.IMP.E EXP.LTDA.</t>
        </is>
      </c>
      <c r="D25" s="12" t="inlineStr">
        <is>
          <t>67598292000187</t>
        </is>
      </c>
      <c r="E25" s="14" t="n">
        <v>2506.56</v>
      </c>
      <c r="F25" s="14" t="n">
        <v>2506.56</v>
      </c>
      <c r="G25" s="12" t="inlineStr">
        <is>
          <t>OK</t>
        </is>
      </c>
      <c r="H25" s="12" t="inlineStr">
        <is>
          <t>35260967598292000187550010000303381000323387</t>
        </is>
      </c>
    </row>
    <row r="26">
      <c r="A26" s="12" t="n">
        <v>23127</v>
      </c>
      <c r="B26" s="17" t="n">
        <v>46282</v>
      </c>
      <c r="C26" s="12" t="inlineStr">
        <is>
          <t>CARBON CIENTIFICA LTDA</t>
        </is>
      </c>
      <c r="D26" s="12" t="inlineStr">
        <is>
          <t>44114040000130</t>
        </is>
      </c>
      <c r="E26" s="14" t="n">
        <v>1</v>
      </c>
      <c r="F26" s="14" t="n">
        <v>1</v>
      </c>
      <c r="G26" s="12" t="inlineStr">
        <is>
          <t>OK</t>
        </is>
      </c>
      <c r="H26" s="12" t="inlineStr">
        <is>
          <t>41260944114040000130550010000231271000948452</t>
        </is>
      </c>
    </row>
    <row r="27">
      <c r="A27" s="12" t="n">
        <v>6782</v>
      </c>
      <c r="B27" s="17" t="n">
        <v>46282</v>
      </c>
      <c r="C27" s="12" t="inlineStr">
        <is>
          <t>ELLOLIMP COMERCIO DE PRODUTOS DE HIGIENE E LIMPEZA LTDA</t>
        </is>
      </c>
      <c r="D27" s="12" t="inlineStr">
        <is>
          <t>49547438000183</t>
        </is>
      </c>
      <c r="E27" s="14" t="n">
        <v>833.9</v>
      </c>
      <c r="F27" s="14" t="n">
        <v>833.9</v>
      </c>
      <c r="G27" s="12" t="inlineStr">
        <is>
          <t>OK</t>
        </is>
      </c>
      <c r="H27" s="12" t="inlineStr">
        <is>
          <t>41260949547438000183550010000067821963905200</t>
        </is>
      </c>
    </row>
    <row r="28">
      <c r="A28" s="12" t="n">
        <v>814</v>
      </c>
      <c r="B28" s="17" t="n">
        <v>46282</v>
      </c>
      <c r="C28" s="12" t="inlineStr">
        <is>
          <t>YAHWEH PRINT BRASIL LTDA</t>
        </is>
      </c>
      <c r="D28" s="12" t="inlineStr">
        <is>
          <t>52680145000184</t>
        </is>
      </c>
      <c r="E28" s="14" t="n">
        <v>273.5</v>
      </c>
      <c r="F28" s="14" t="n">
        <v>273.5</v>
      </c>
      <c r="G28" s="12" t="inlineStr">
        <is>
          <t>OK</t>
        </is>
      </c>
      <c r="H28" s="12" t="inlineStr">
        <is>
          <t>41260952680145000184550010000008141610067850</t>
        </is>
      </c>
    </row>
    <row r="29">
      <c r="A29" s="12" t="n">
        <v>17187</v>
      </c>
      <c r="B29" s="17" t="n">
        <v>46283</v>
      </c>
      <c r="C29" s="12" t="inlineStr">
        <is>
          <t>ONIXSUL COSMETICOS</t>
        </is>
      </c>
      <c r="D29" s="12" t="inlineStr">
        <is>
          <t>18074269000188</t>
        </is>
      </c>
      <c r="E29" s="14" t="n">
        <v>5700</v>
      </c>
      <c r="F29" s="14" t="n">
        <v>5700</v>
      </c>
      <c r="G29" s="12" t="inlineStr">
        <is>
          <t>OK</t>
        </is>
      </c>
      <c r="H29" s="12" t="inlineStr">
        <is>
          <t>41260918074269000188550010000171871932036922</t>
        </is>
      </c>
    </row>
    <row r="30">
      <c r="A30" s="12" t="n">
        <v>3214</v>
      </c>
      <c r="B30" s="17" t="n">
        <v>46283</v>
      </c>
      <c r="C30" s="12" t="inlineStr">
        <is>
          <t>Sul Tape Comercio de Embalagens EIRELI</t>
        </is>
      </c>
      <c r="D30" s="12" t="inlineStr">
        <is>
          <t>25141658000144</t>
        </is>
      </c>
      <c r="E30" s="14" t="n">
        <v>1140</v>
      </c>
      <c r="F30" s="14" t="n">
        <v>1140</v>
      </c>
      <c r="G30" s="12" t="inlineStr">
        <is>
          <t>OK</t>
        </is>
      </c>
      <c r="H30" s="12" t="inlineStr">
        <is>
          <t>41260925141658000144550020000032141236266620</t>
        </is>
      </c>
    </row>
    <row r="31">
      <c r="A31" s="12" t="n">
        <v>117690</v>
      </c>
      <c r="B31" s="17" t="n">
        <v>46286</v>
      </c>
      <c r="C31" s="12" t="inlineStr">
        <is>
          <t>BISPHARMA EMBALAGENS LTDA</t>
        </is>
      </c>
      <c r="D31" s="12" t="inlineStr">
        <is>
          <t>59610485000188</t>
        </is>
      </c>
      <c r="E31" s="14" t="n">
        <v>26515.5</v>
      </c>
      <c r="F31" s="14" t="n">
        <v>26515.5</v>
      </c>
      <c r="G31" s="12" t="inlineStr">
        <is>
          <t>OK</t>
        </is>
      </c>
      <c r="H31" s="12" t="inlineStr">
        <is>
          <t>35260959610485000188550050001176901971337303</t>
        </is>
      </c>
    </row>
    <row r="32">
      <c r="A32" s="12" t="n">
        <v>5233</v>
      </c>
      <c r="B32" s="17" t="n">
        <v>46286</v>
      </c>
      <c r="C32" s="12" t="inlineStr">
        <is>
          <t>JOSE DOMINGOS LINARES LTDA</t>
        </is>
      </c>
      <c r="D32" s="12" t="inlineStr">
        <is>
          <t>03839251000152</t>
        </is>
      </c>
      <c r="E32" s="14" t="n">
        <v>2420.01</v>
      </c>
      <c r="F32" s="14" t="n">
        <v>2420.01</v>
      </c>
      <c r="G32" s="12" t="inlineStr">
        <is>
          <t>OK</t>
        </is>
      </c>
      <c r="H32" s="12" t="inlineStr">
        <is>
          <t>41260903839251000152550030000052331135756040</t>
        </is>
      </c>
    </row>
    <row r="33">
      <c r="A33" s="12" t="n">
        <v>5235</v>
      </c>
      <c r="B33" s="17" t="n">
        <v>46286</v>
      </c>
      <c r="C33" s="12" t="inlineStr">
        <is>
          <t>JOSE DOMINGOS LINARES LTDA</t>
        </is>
      </c>
      <c r="D33" s="12" t="inlineStr">
        <is>
          <t>03839251000152</t>
        </is>
      </c>
      <c r="E33" s="14" t="n">
        <v>1760</v>
      </c>
      <c r="F33" s="14" t="n">
        <v>1760</v>
      </c>
      <c r="G33" s="12" t="inlineStr">
        <is>
          <t>OK</t>
        </is>
      </c>
      <c r="H33" s="12" t="inlineStr">
        <is>
          <t>41260903839251000152550030000052351191452986</t>
        </is>
      </c>
    </row>
    <row r="34">
      <c r="A34" s="12" t="n">
        <v>55874</v>
      </c>
      <c r="B34" s="17" t="n">
        <v>46286</v>
      </c>
      <c r="C34" s="12" t="inlineStr">
        <is>
          <t>Mix Perfumaria</t>
        </is>
      </c>
      <c r="D34" s="12" t="inlineStr">
        <is>
          <t>06237330000181</t>
        </is>
      </c>
      <c r="E34" s="14" t="n">
        <v>600</v>
      </c>
      <c r="F34" s="14" t="n">
        <v>600</v>
      </c>
      <c r="G34" s="12" t="inlineStr">
        <is>
          <t>OK</t>
        </is>
      </c>
      <c r="H34" s="12" t="inlineStr">
        <is>
          <t>41260906237330000181550010000558741118273450</t>
        </is>
      </c>
    </row>
    <row r="35">
      <c r="A35" s="12" t="n">
        <v>4551</v>
      </c>
      <c r="B35" s="17" t="n">
        <v>46286</v>
      </c>
      <c r="C35" s="12" t="inlineStr">
        <is>
          <t>BB COSMETICOS LTDA</t>
        </is>
      </c>
      <c r="D35" s="12" t="inlineStr">
        <is>
          <t>21822008000103</t>
        </is>
      </c>
      <c r="E35" s="14" t="n">
        <v>65</v>
      </c>
      <c r="F35" s="14" t="n">
        <v>65</v>
      </c>
      <c r="G35" s="12" t="inlineStr">
        <is>
          <t>OK</t>
        </is>
      </c>
      <c r="H35" s="12" t="inlineStr">
        <is>
          <t>41260921822008000103550020000045511028307079</t>
        </is>
      </c>
    </row>
    <row r="36">
      <c r="A36" s="12" t="n">
        <v>275966</v>
      </c>
      <c r="B36" s="17" t="n">
        <v>46287</v>
      </c>
      <c r="C36" s="12" t="inlineStr">
        <is>
          <t>MCASSAB COMERCIO E INDUSTRIA LTDA</t>
        </is>
      </c>
      <c r="D36" s="12" t="inlineStr">
        <is>
          <t>49698723003110</t>
        </is>
      </c>
      <c r="E36" s="14" t="n">
        <v>3873.74</v>
      </c>
      <c r="F36" s="14" t="n">
        <v>3873.74</v>
      </c>
      <c r="G36" s="12" t="inlineStr">
        <is>
          <t>OK</t>
        </is>
      </c>
      <c r="H36" s="12" t="inlineStr">
        <is>
          <t>35260949698723003110550550002759661838341135</t>
        </is>
      </c>
    </row>
    <row r="37">
      <c r="A37" s="12" t="n">
        <v>48241</v>
      </c>
      <c r="B37" s="17" t="n">
        <v>46288</v>
      </c>
      <c r="C37" s="12" t="inlineStr">
        <is>
          <t>HS INKLASER LTDA</t>
        </is>
      </c>
      <c r="D37" s="12" t="inlineStr">
        <is>
          <t>18858535000163</t>
        </is>
      </c>
      <c r="E37" s="14" t="n">
        <v>1074.5</v>
      </c>
      <c r="F37" s="14" t="n">
        <v>1074.5</v>
      </c>
      <c r="G37" s="12" t="inlineStr">
        <is>
          <t>OK</t>
        </is>
      </c>
      <c r="H37" s="12" t="inlineStr">
        <is>
          <t>35260918858535000163550010000482411465753374</t>
        </is>
      </c>
    </row>
    <row r="38">
      <c r="A38" s="12" t="n">
        <v>141811</v>
      </c>
      <c r="B38" s="17" t="n">
        <v>46288</v>
      </c>
      <c r="C38" s="12" t="inlineStr">
        <is>
          <t>SCENTEC ESSENCIAS E FRAGRANCIAS LTDA</t>
        </is>
      </c>
      <c r="D38" s="12" t="inlineStr">
        <is>
          <t>62514971000107</t>
        </is>
      </c>
      <c r="E38" s="14" t="n">
        <v>4794.99</v>
      </c>
      <c r="F38" s="14" t="n">
        <v>4794.99</v>
      </c>
      <c r="G38" s="12" t="inlineStr">
        <is>
          <t>OK</t>
        </is>
      </c>
      <c r="H38" s="12" t="inlineStr">
        <is>
          <t>35260962514971000107550010001418111026832844</t>
        </is>
      </c>
    </row>
    <row r="39">
      <c r="A39" s="12" t="n">
        <v>55913</v>
      </c>
      <c r="B39" s="17" t="n">
        <v>46288</v>
      </c>
      <c r="C39" s="12" t="inlineStr">
        <is>
          <t>Mix Perfumaria</t>
        </is>
      </c>
      <c r="D39" s="12" t="inlineStr">
        <is>
          <t>06237330000181</t>
        </is>
      </c>
      <c r="E39" s="14" t="n">
        <v>556.5</v>
      </c>
      <c r="F39" s="14" t="n">
        <v>556.5</v>
      </c>
      <c r="G39" s="12" t="inlineStr">
        <is>
          <t>OK</t>
        </is>
      </c>
      <c r="H39" s="12" t="inlineStr">
        <is>
          <t>41260906237330000181550010000559131118294105</t>
        </is>
      </c>
    </row>
    <row r="40">
      <c r="A40" s="12" t="n">
        <v>14838</v>
      </c>
      <c r="B40" s="17" t="n">
        <v>46288</v>
      </c>
      <c r="C40" s="12" t="inlineStr">
        <is>
          <t>Mix Cosmeticos Ltda</t>
        </is>
      </c>
      <c r="D40" s="12" t="inlineStr">
        <is>
          <t>27697083000176</t>
        </is>
      </c>
      <c r="E40" s="14" t="n">
        <v>948</v>
      </c>
      <c r="F40" s="14" t="n">
        <v>948</v>
      </c>
      <c r="G40" s="12" t="inlineStr">
        <is>
          <t>OK</t>
        </is>
      </c>
      <c r="H40" s="12" t="inlineStr">
        <is>
          <t>50260927697083000176550010000148381118293998</t>
        </is>
      </c>
    </row>
    <row r="41">
      <c r="A41" s="12" t="n">
        <v>391</v>
      </c>
      <c r="B41" s="17" t="n">
        <v>46293</v>
      </c>
      <c r="C41" s="12" t="inlineStr">
        <is>
          <t>CHEMYUNION LTDA</t>
        </is>
      </c>
      <c r="D41" s="12" t="inlineStr">
        <is>
          <t>58309709000820</t>
        </is>
      </c>
      <c r="E41" s="14" t="n">
        <v>8472.040000000001</v>
      </c>
      <c r="F41" s="14" t="n">
        <v>8472.040000000001</v>
      </c>
      <c r="G41" s="12" t="inlineStr">
        <is>
          <t>OK</t>
        </is>
      </c>
      <c r="H41" s="12" t="inlineStr">
        <is>
          <t>31260958309709000820550070000003911550019201</t>
        </is>
      </c>
    </row>
    <row r="42">
      <c r="A42" s="12" t="n">
        <v>19303</v>
      </c>
      <c r="B42" s="17" t="n">
        <v>46294</v>
      </c>
      <c r="C42" s="12" t="inlineStr">
        <is>
          <t>CHEMYUNION LTDA</t>
        </is>
      </c>
      <c r="D42" s="12" t="inlineStr">
        <is>
          <t>58309709000820</t>
        </is>
      </c>
      <c r="E42" s="14" t="n">
        <v>8747.379999999999</v>
      </c>
      <c r="F42" s="14" t="n">
        <v>8747.379999999999</v>
      </c>
      <c r="G42" s="12" t="inlineStr">
        <is>
          <t>OK</t>
        </is>
      </c>
      <c r="H42" s="12" t="inlineStr">
        <is>
          <t>31260958309709000820550020000193031662295529</t>
        </is>
      </c>
    </row>
    <row r="43">
      <c r="A43" s="12" t="n">
        <v>392</v>
      </c>
      <c r="B43" s="17" t="n">
        <v>46294</v>
      </c>
      <c r="C43" s="12" t="inlineStr">
        <is>
          <t>CHEMYUNION LTDA</t>
        </is>
      </c>
      <c r="D43" s="12" t="inlineStr">
        <is>
          <t>58309709000820</t>
        </is>
      </c>
      <c r="E43" s="14" t="n">
        <v>275.34</v>
      </c>
      <c r="F43" s="14" t="n">
        <v>275.34</v>
      </c>
      <c r="G43" s="12" t="inlineStr">
        <is>
          <t>OK</t>
        </is>
      </c>
      <c r="H43" s="12" t="inlineStr">
        <is>
          <t>31260958309709000820550070000003921611175930</t>
        </is>
      </c>
    </row>
    <row r="44">
      <c r="A44" s="12" t="n">
        <v>42285</v>
      </c>
      <c r="B44" s="17" t="n">
        <v>46294</v>
      </c>
      <c r="C44" s="12" t="inlineStr">
        <is>
          <t>PROVITAL DO BRASIL COM. DE INSUMOS PARA COSMETICOS LTDA</t>
        </is>
      </c>
      <c r="D44" s="12" t="inlineStr">
        <is>
          <t>11340087000162</t>
        </is>
      </c>
      <c r="E44" s="14" t="n">
        <v>4278.84</v>
      </c>
      <c r="F44" s="14" t="n">
        <v>4278.84</v>
      </c>
      <c r="G44" s="12" t="inlineStr">
        <is>
          <t>OK</t>
        </is>
      </c>
      <c r="H44" s="12" t="inlineStr">
        <is>
          <t>35260911340087000162550010000422851305252223</t>
        </is>
      </c>
    </row>
    <row r="45">
      <c r="A45" s="12" t="n">
        <v>5382</v>
      </c>
      <c r="B45" s="17" t="n">
        <v>46294</v>
      </c>
      <c r="C45" s="12" t="inlineStr">
        <is>
          <t>JOSE DOMINGOS LINARES LTDA</t>
        </is>
      </c>
      <c r="D45" s="12" t="inlineStr">
        <is>
          <t>03839251000152</t>
        </is>
      </c>
      <c r="E45" s="14" t="n">
        <v>1893</v>
      </c>
      <c r="F45" s="14" t="n">
        <v>1893</v>
      </c>
      <c r="G45" s="12" t="inlineStr">
        <is>
          <t>OK</t>
        </is>
      </c>
      <c r="H45" s="12" t="inlineStr">
        <is>
          <t>41260903839251000152550030000053821102007626</t>
        </is>
      </c>
    </row>
    <row r="46">
      <c r="A46" s="12" t="n">
        <v>56004</v>
      </c>
      <c r="B46" s="17" t="n">
        <v>46294</v>
      </c>
      <c r="C46" s="12" t="inlineStr">
        <is>
          <t>Mix Perfumaria</t>
        </is>
      </c>
      <c r="D46" s="12" t="inlineStr">
        <is>
          <t>06237330000181</t>
        </is>
      </c>
      <c r="E46" s="14" t="n">
        <v>300</v>
      </c>
      <c r="F46" s="14" t="n">
        <v>300</v>
      </c>
      <c r="G46" s="12" t="inlineStr">
        <is>
          <t>OK</t>
        </is>
      </c>
      <c r="H46" s="12" t="inlineStr">
        <is>
          <t>41260906237330000181550010000560041118322920</t>
        </is>
      </c>
    </row>
    <row r="47">
      <c r="A47" s="12" t="n">
        <v>222098</v>
      </c>
      <c r="B47" s="17" t="n">
        <v>46294</v>
      </c>
      <c r="C47" s="12" t="inlineStr">
        <is>
          <t>FARMANILQUIMA COM. ANILINAS E PRODS.QUIM.LTDA</t>
        </is>
      </c>
      <c r="D47" s="12" t="inlineStr">
        <is>
          <t>76509488000149</t>
        </is>
      </c>
      <c r="E47" s="14" t="n">
        <v>200</v>
      </c>
      <c r="F47" s="14" t="n">
        <v>200</v>
      </c>
      <c r="G47" s="12" t="inlineStr">
        <is>
          <t>OK</t>
        </is>
      </c>
      <c r="H47" s="12" t="inlineStr">
        <is>
          <t>41260976509488000149550010002220981017634246</t>
        </is>
      </c>
    </row>
    <row r="48">
      <c r="A48" s="12" t="n">
        <v>14856</v>
      </c>
      <c r="B48" s="17" t="n">
        <v>46294</v>
      </c>
      <c r="C48" s="12" t="inlineStr">
        <is>
          <t>Mix Cosmeticos Ltda</t>
        </is>
      </c>
      <c r="D48" s="12" t="inlineStr">
        <is>
          <t>27697083000176</t>
        </is>
      </c>
      <c r="E48" s="14" t="n">
        <v>600</v>
      </c>
      <c r="F48" s="14" t="n">
        <v>600</v>
      </c>
      <c r="G48" s="12" t="inlineStr">
        <is>
          <t>OK</t>
        </is>
      </c>
      <c r="H48" s="12" t="inlineStr">
        <is>
          <t>50260927697083000176550010000148561118323143</t>
        </is>
      </c>
    </row>
    <row r="49">
      <c r="A49" s="12" t="n">
        <v>38175</v>
      </c>
      <c r="B49" s="17" t="n">
        <v>46295</v>
      </c>
      <c r="C49" s="12" t="inlineStr">
        <is>
          <t>ALLOXY ESPECIALIDADES QUIMICAS LTDA</t>
        </is>
      </c>
      <c r="D49" s="12" t="inlineStr">
        <is>
          <t>16987597000140</t>
        </is>
      </c>
      <c r="E49" s="14" t="n">
        <v>5593.5</v>
      </c>
      <c r="F49" s="14" t="n">
        <v>5593.5</v>
      </c>
      <c r="G49" s="12" t="inlineStr">
        <is>
          <t>OK</t>
        </is>
      </c>
      <c r="H49" s="12" t="inlineStr">
        <is>
          <t>41260916987597000140550010000381751288422874</t>
        </is>
      </c>
    </row>
    <row r="50">
      <c r="A50" s="12" t="n">
        <v>42</v>
      </c>
      <c r="B50" s="17" t="n">
        <v>46295</v>
      </c>
      <c r="C50" s="12" t="inlineStr">
        <is>
          <t>MERCKPAR COMERCIAL LTDA</t>
        </is>
      </c>
      <c r="D50" s="12" t="inlineStr">
        <is>
          <t>63460684000124</t>
        </is>
      </c>
      <c r="E50" s="14" t="n">
        <v>1180</v>
      </c>
      <c r="F50" s="14" t="n">
        <v>1180</v>
      </c>
      <c r="G50" s="12" t="inlineStr">
        <is>
          <t>OK</t>
        </is>
      </c>
      <c r="H50" s="12" t="inlineStr">
        <is>
          <t>41260963460684000124550010000000421742919846</t>
        </is>
      </c>
    </row>
    <row r="51">
      <c r="A51" s="12" t="n">
        <v>97145</v>
      </c>
      <c r="B51" s="17" t="n">
        <v>46295</v>
      </c>
      <c r="C51" s="12" t="inlineStr">
        <is>
          <t>Supermercado Boza Ltda</t>
        </is>
      </c>
      <c r="D51" s="12" t="inlineStr">
        <is>
          <t>73419905000174</t>
        </is>
      </c>
      <c r="E51" s="14" t="n">
        <v>389.77</v>
      </c>
      <c r="F51" s="14" t="n">
        <v>389.77</v>
      </c>
      <c r="G51" s="12" t="inlineStr">
        <is>
          <t>OK</t>
        </is>
      </c>
      <c r="H51" s="12" t="inlineStr">
        <is>
          <t>41260973419905000174550010000971451002693820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Fundamentação usada na análise</t>
        </is>
      </c>
    </row>
    <row r="3">
      <c r="A3" s="4" t="inlineStr">
        <is>
          <t>Tema</t>
        </is>
      </c>
      <c r="B3" s="4" t="inlineStr">
        <is>
          <t>Base legal</t>
        </is>
      </c>
    </row>
    <row r="4">
      <c r="A4" s="12" t="inlineStr">
        <is>
          <t>ICMS - crédito de insumos e embalagens</t>
        </is>
      </c>
      <c r="B4" s="21" t="inlineStr">
        <is>
          <t>LC 87/1996, art. 20; RICMS/PR (Decreto 7.871/2017), art. 31 e seguintes</t>
        </is>
      </c>
    </row>
    <row r="5">
      <c r="A5" s="12" t="inlineStr">
        <is>
          <t>ICMS - uso e consumo sem crédito</t>
        </is>
      </c>
      <c r="B5" s="21" t="inlineStr">
        <is>
          <t>LC 87/1996, art. 33, I (crédito de uso e consumo só a partir de 01/01/2033)</t>
        </is>
      </c>
    </row>
    <row r="6">
      <c r="A6" s="12" t="inlineStr">
        <is>
          <t>ICMS - ativo imobilizado (CIAP)</t>
        </is>
      </c>
      <c r="B6" s="21" t="inlineStr">
        <is>
          <t>LC 87/1996, art. 20, § 5º - crédito em 48 parcelas mensais (bloco G do SPED)</t>
        </is>
      </c>
    </row>
    <row r="7">
      <c r="A7" s="12" t="inlineStr">
        <is>
          <t>ICMS - fornecedor do Simples Nacional</t>
        </is>
      </c>
      <c r="B7" s="21" t="inlineStr">
        <is>
          <t>LC 123/2006, art. 23, §§ 1º a 6º; Resolução CGSN 140/2018, art. 59 e 60 - crédito = valor do campo vCredICMSSN (CSOSN 101/201/900), só para mercadoria destinada à industrialização ou comercialização</t>
        </is>
      </c>
    </row>
    <row r="8">
      <c r="A8" s="12" t="inlineStr">
        <is>
          <t>IPI - crédito de insumos</t>
        </is>
      </c>
      <c r="B8" s="21" t="inlineStr">
        <is>
          <t>RIPI (Decreto 7.212/2010), art. 226, I; sem crédito de IPI de fornecedor do Simples (LC 123/2006, art. 23, caput)</t>
        </is>
      </c>
    </row>
    <row r="9">
      <c r="A9" s="12" t="inlineStr">
        <is>
          <t>IPI - uso e consumo/ativo</t>
        </is>
      </c>
      <c r="B9" s="21" t="inlineStr">
        <is>
          <t>RIPI, art. 226 - só MP, PI e ME; uso e consumo e ativo não geram crédito</t>
        </is>
      </c>
    </row>
    <row r="10">
      <c r="A10" s="12" t="inlineStr">
        <is>
          <t>ICMS - frete (CT-e)</t>
        </is>
      </c>
      <c r="B10" s="21" t="inlineStr">
        <is>
          <t>LC 87/1996, art. 20 - crédito do ICMS do frete tomado vinculado a operação tributada (CFOP 1352/2352/1353/2353)</t>
        </is>
      </c>
    </row>
    <row r="11">
      <c r="A11" s="12" t="inlineStr">
        <is>
          <t>DIFAL uso e consumo/ativo</t>
        </is>
      </c>
      <c r="B11" s="21" t="inlineStr">
        <is>
          <t>LC 87/1996, art. 4º, § 2º, e art. 13, § 1º, II (LC 190/2022); RICMS/PR - base dupla para contribuinte</t>
        </is>
      </c>
    </row>
    <row r="12">
      <c r="A12" s="12" t="inlineStr">
        <is>
          <t>PIS/COFINS</t>
        </is>
      </c>
      <c r="B12" s="21" t="inlineStr">
        <is>
          <t>Lucro Presumido - regime cumulativo (Lei 9.718/1998, arts. 2º e 3º): sem crédito de entradas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2026-10-11T19:19:54Z</dcterms:created>
  <dcterms:modified xmlns:dcterms="http://purl.org/dc/terms/" xmlns:xsi="http://www.w3.org/2001/XMLSchema-instance" xsi:type="dcterms:W3CDTF">2026-10-11T19:19:54Z</dcterms:modified>
</cp:coreProperties>
</file>