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Saídas por acumulador" sheetId="3" state="visible" r:id="rId3"/>
    <sheet xmlns:r="http://schemas.openxmlformats.org/officeDocument/2006/relationships" name="Notas de saída" sheetId="4" state="visible" r:id="rId4"/>
    <sheet xmlns:r="http://schemas.openxmlformats.org/officeDocument/2006/relationships" name="Itens de saída" sheetId="5" state="visible" r:id="rId5"/>
    <sheet xmlns:r="http://schemas.openxmlformats.org/officeDocument/2006/relationships" name="Entradas e créditos" sheetId="6" state="visible" r:id="rId6"/>
    <sheet xmlns:r="http://schemas.openxmlformats.org/officeDocument/2006/relationships" name="CT-e" sheetId="7" state="visible" r:id="rId7"/>
    <sheet xmlns:r="http://schemas.openxmlformats.org/officeDocument/2006/relationships" name="Divergências" sheetId="8" state="visible" r:id="rId8"/>
    <sheet xmlns:r="http://schemas.openxmlformats.org/officeDocument/2006/relationships" name="Observações" sheetId="9" state="visible" r:id="rId9"/>
    <sheet xmlns:r="http://schemas.openxmlformats.org/officeDocument/2006/relationships" name="Canceladas e inutilizadas" sheetId="10" state="visible" r:id="rId10"/>
  </sheets>
  <definedNames>
    <definedName name="_xlnm._FilterDatabase" localSheetId="3" hidden="1">'Notas de saída'!$A$3:$M$94</definedName>
    <definedName name="_xlnm._FilterDatabase" localSheetId="4" hidden="1">'Itens de saída'!$A$3:$Q$310</definedName>
    <definedName name="_xlnm._FilterDatabase" localSheetId="5" hidden="1">'Entradas e créditos'!$A$4:$Q$85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-"/>
    <numFmt numFmtId="165" formatCode="yyyy-mm-dd"/>
    <numFmt numFmtId="166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0" fontId="5" fillId="0" borderId="1" pivotButton="0" quotePrefix="0" xfId="0"/>
    <xf numFmtId="0" fontId="6" fillId="0" borderId="0" pivotButton="0" quotePrefix="0" xfId="0"/>
    <xf numFmtId="1" fontId="5" fillId="0" borderId="1" pivotButton="0" quotePrefix="0" xfId="0"/>
    <xf numFmtId="0" fontId="5" fillId="3" borderId="1" pivotButton="0" quotePrefix="0" xfId="0"/>
    <xf numFmtId="1" fontId="5" fillId="3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vertical="top" wrapText="1"/>
    </xf>
    <xf numFmtId="0" fontId="5" fillId="5" borderId="1" pivotButton="0" quotePrefix="0" xfId="0"/>
    <xf numFmtId="0" fontId="5" fillId="3" borderId="1" applyAlignment="1" pivotButton="0" quotePrefix="0" xfId="0">
      <alignment vertical="top" wrapText="1"/>
    </xf>
    <xf numFmtId="0" fontId="5" fillId="6" borderId="1" pivotButton="0" quotePrefix="0" xfId="0"/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6" fontId="5" fillId="6" borderId="1" pivotButton="0" quotePrefix="0" xfId="0"/>
    <xf numFmtId="164" fontId="5" fillId="6" borderId="1" pivotButton="0" quotePrefix="0" xfId="0"/>
    <xf numFmtId="164" fontId="5" fillId="3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34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COSMETICI INDUSTRIA E COMERCIO DE COSMETICOS LTDA - CNPJ 33039048000162 - Apuração fiscal 09/2026</t>
        </is>
      </c>
    </row>
    <row r="2">
      <c r="A2" s="2" t="inlineStr">
        <is>
          <t>Regime: Lucro Presumido - Empresa 25 no Domínio. Gerado a partir dos XML/relatórios do mês; conferir as abas Divergências e Observações antes de emitir as guias.</t>
        </is>
      </c>
    </row>
    <row r="4">
      <c r="A4" s="3" t="inlineStr">
        <is>
          <t>Guias do mês</t>
        </is>
      </c>
    </row>
    <row r="5">
      <c r="A5" s="4" t="inlineStr">
        <is>
          <t>Imposto</t>
        </is>
      </c>
      <c r="B5" s="4" t="inlineStr">
        <is>
          <t>Guia / código</t>
        </is>
      </c>
      <c r="C5" s="4" t="inlineStr">
        <is>
          <t>Valor</t>
        </is>
      </c>
      <c r="D5" s="4" t="inlineStr">
        <is>
          <t>Vencimento</t>
        </is>
      </c>
    </row>
    <row r="6">
      <c r="A6" s="5" t="inlineStr">
        <is>
          <t>PIS</t>
        </is>
      </c>
      <c r="B6" s="5" t="inlineStr">
        <is>
          <t>DARF 8109</t>
        </is>
      </c>
      <c r="C6" s="6" t="n">
        <v>1495.34</v>
      </c>
      <c r="D6" s="7" t="n">
        <v>46320</v>
      </c>
    </row>
    <row r="7">
      <c r="A7" s="5" t="inlineStr">
        <is>
          <t>COFINS</t>
        </is>
      </c>
      <c r="B7" s="5" t="inlineStr">
        <is>
          <t>DARF 2172</t>
        </is>
      </c>
      <c r="C7" s="6" t="n">
        <v>6953.1</v>
      </c>
      <c r="D7" s="7" t="n">
        <v>46320</v>
      </c>
    </row>
    <row r="8">
      <c r="A8" s="5" t="inlineStr">
        <is>
          <t>IPI</t>
        </is>
      </c>
      <c r="B8" s="5" t="inlineStr">
        <is>
          <t>DARF 5123</t>
        </is>
      </c>
      <c r="C8" s="6" t="n">
        <v>2065.55</v>
      </c>
      <c r="D8" s="7" t="n">
        <v>46320</v>
      </c>
    </row>
    <row r="9">
      <c r="A9" s="5" t="inlineStr">
        <is>
          <t>ICMS próprio</t>
        </is>
      </c>
      <c r="B9" s="5" t="inlineStr">
        <is>
          <t>GR-PR 1015</t>
        </is>
      </c>
      <c r="C9" s="6" t="n">
        <v>9957.17</v>
      </c>
      <c r="D9" s="7" t="n">
        <v>46307</v>
      </c>
    </row>
    <row r="10">
      <c r="A10" s="5" t="inlineStr">
        <is>
          <t>ICMS-ST (PR)</t>
        </is>
      </c>
      <c r="B10" s="5" t="inlineStr">
        <is>
          <t>GR-PR 100099</t>
        </is>
      </c>
      <c r="C10" s="6" t="n">
        <v>865.16</v>
      </c>
      <c r="D10" s="7" t="n">
        <v>46305</v>
      </c>
    </row>
    <row r="11">
      <c r="A11" s="5" t="inlineStr">
        <is>
          <t>IRPJ</t>
        </is>
      </c>
      <c r="B11" s="5" t="inlineStr">
        <is>
          <t>DARF 2089 (3º trimestre/2026)</t>
        </is>
      </c>
      <c r="C11" s="6" t="n">
        <v>13991.33</v>
      </c>
      <c r="D11" s="7" t="n">
        <v>46325</v>
      </c>
    </row>
    <row r="12">
      <c r="A12" s="5" t="inlineStr">
        <is>
          <t>CSLL</t>
        </is>
      </c>
      <c r="B12" s="5" t="inlineStr">
        <is>
          <t>DARF 2372 (3º trimestre/2026)</t>
        </is>
      </c>
      <c r="C12" s="6" t="n">
        <v>10795.32</v>
      </c>
      <c r="D12" s="7" t="n">
        <v>46325</v>
      </c>
    </row>
    <row r="14">
      <c r="A14" s="3" t="inlineStr">
        <is>
          <t>Faturamento do mês (base IRPJ/CSLL)</t>
        </is>
      </c>
    </row>
    <row r="15">
      <c r="A15" s="5" t="inlineStr">
        <is>
          <t>Vendas (acumuladores de venda)</t>
        </is>
      </c>
      <c r="B15" s="5" t="n"/>
      <c r="C15" s="6" t="n">
        <v>49499.96</v>
      </c>
    </row>
    <row r="16">
      <c r="A16" s="5" t="inlineStr">
        <is>
          <t>Industrialização por encomenda (5124/6124)</t>
        </is>
      </c>
      <c r="B16" s="5" t="n"/>
      <c r="C16" s="6" t="n">
        <v>118062.15</v>
      </c>
    </row>
    <row r="17">
      <c r="A17" s="5" t="inlineStr">
        <is>
          <t>(-) Devoluções de venda</t>
        </is>
      </c>
      <c r="B17" s="5" t="n"/>
      <c r="C17" s="6" t="n">
        <v>-0</v>
      </c>
    </row>
    <row r="18">
      <c r="A18" s="5" t="inlineStr">
        <is>
          <t>(-) ICMS-ST</t>
        </is>
      </c>
      <c r="B18" s="5" t="n"/>
      <c r="C18" s="6" t="n">
        <v>-865.16</v>
      </c>
    </row>
    <row r="19">
      <c r="A19" s="5" t="inlineStr">
        <is>
          <t>(-) IPI</t>
        </is>
      </c>
      <c r="B19" s="5" t="n"/>
      <c r="C19" s="6" t="n">
        <v>-4403.24</v>
      </c>
    </row>
    <row r="20">
      <c r="A20" s="8" t="inlineStr">
        <is>
          <t>Faturamento líquido</t>
        </is>
      </c>
      <c r="B20" s="8" t="n"/>
      <c r="C20" s="9">
        <f>SUM(C15:C19)</f>
        <v/>
      </c>
    </row>
    <row r="22">
      <c r="A22" s="3" t="inlineStr">
        <is>
          <t>PIS / COFINS (fórmula da planilha FAT da Cosmetici)</t>
        </is>
      </c>
    </row>
    <row r="23">
      <c r="A23" s="4" t="inlineStr">
        <is>
          <t>Base</t>
        </is>
      </c>
      <c r="B23" s="4" t="inlineStr">
        <is>
          <t>Valor da base</t>
        </is>
      </c>
      <c r="C23" s="4" t="inlineStr">
        <is>
          <t>PIS %</t>
        </is>
      </c>
      <c r="D23" s="4" t="inlineStr">
        <is>
          <t>PIS</t>
        </is>
      </c>
      <c r="E23" s="4" t="inlineStr">
        <is>
          <t>COFINS %</t>
        </is>
      </c>
      <c r="F23" s="4" t="inlineStr">
        <is>
          <t>COFINS</t>
        </is>
      </c>
    </row>
    <row r="24">
      <c r="A24" s="5" t="inlineStr">
        <is>
          <t>Industrialização (vlr contábil - ICMS)</t>
        </is>
      </c>
      <c r="B24" s="6" t="n">
        <v>110717.87</v>
      </c>
      <c r="C24" s="10" t="n">
        <v>0.0065</v>
      </c>
      <c r="D24" s="6">
        <f>ROUND(B24*C24,2)</f>
        <v/>
      </c>
      <c r="E24" s="10" t="n">
        <v>0.03</v>
      </c>
      <c r="F24" s="6">
        <f>ROUND(B24*E24,2)</f>
        <v/>
      </c>
    </row>
    <row r="25">
      <c r="A25" s="5" t="inlineStr">
        <is>
          <t>Vendas monofásicas (vlr contábil - ICMS - IPI - ST)</t>
        </is>
      </c>
      <c r="B25" s="6" t="n">
        <v>35257.89</v>
      </c>
      <c r="C25" s="10" t="n">
        <v>0.022</v>
      </c>
      <c r="D25" s="6">
        <f>ROUND(B25*C25,2)</f>
        <v/>
      </c>
      <c r="E25" s="10" t="n">
        <v>0.103</v>
      </c>
      <c r="F25" s="6">
        <f>ROUND(B25*E25,2)</f>
        <v/>
      </c>
    </row>
    <row r="26">
      <c r="A26" s="8" t="inlineStr">
        <is>
          <t>Total</t>
        </is>
      </c>
      <c r="B26" s="9">
        <f>B24+B25</f>
        <v/>
      </c>
      <c r="C26" s="8" t="n"/>
      <c r="D26" s="9">
        <f>D24+D25</f>
        <v/>
      </c>
      <c r="E26" s="8" t="n"/>
      <c r="F26" s="9">
        <f>F24+F25</f>
        <v/>
      </c>
    </row>
    <row r="28">
      <c r="A28" s="3" t="inlineStr">
        <is>
          <t>IRPJ / CSLL - 3º trimestre/2026</t>
        </is>
      </c>
    </row>
    <row r="29">
      <c r="A29" s="4" t="inlineStr">
        <is>
          <t>Mês</t>
        </is>
      </c>
      <c r="B29" s="4" t="inlineStr">
        <is>
          <t>Faturamento</t>
        </is>
      </c>
      <c r="C29" s="4" t="inlineStr">
        <is>
          <t>Origem</t>
        </is>
      </c>
    </row>
    <row r="30">
      <c r="A30" s="5" t="inlineStr">
        <is>
          <t>07/2026</t>
        </is>
      </c>
      <c r="B30" s="6" t="n">
        <v>391529.15</v>
      </c>
      <c r="C30" s="5" t="inlineStr">
        <is>
          <t>SPED SpedEFD-33039048000162-9080906088-Remessa de arquivo substituto-jul.2026.txt (PIS/COFINS iguais aos DARFs)</t>
        </is>
      </c>
    </row>
    <row r="31">
      <c r="A31" s="5" t="inlineStr">
        <is>
          <t>08/2026</t>
        </is>
      </c>
      <c r="B31" s="6" t="n">
        <v>445743.94</v>
      </c>
      <c r="C31" s="5" t="inlineStr">
        <is>
          <t>SPED SpedEFD-33039048000162-9080906088-Remessa de arquivo original-ago.2026.txt (PIS/COFINS iguais aos DARFs)</t>
        </is>
      </c>
    </row>
    <row r="32">
      <c r="A32" s="5" t="inlineStr">
        <is>
          <t>09/2026</t>
        </is>
      </c>
      <c r="B32" s="6" t="n">
        <v>162293.71</v>
      </c>
      <c r="C32" s="5" t="inlineStr">
        <is>
          <t>esta apuração</t>
        </is>
      </c>
    </row>
    <row r="33">
      <c r="A33" s="8" t="inlineStr">
        <is>
          <t>Receita do trimestre</t>
        </is>
      </c>
      <c r="B33" s="9">
        <f>SUM(B30:B32)</f>
        <v/>
      </c>
    </row>
    <row r="34">
      <c r="A34" s="5" t="inlineStr">
        <is>
          <t>CSLL - base presumida</t>
        </is>
      </c>
      <c r="B34" s="6">
        <f>ROUND(B33*0.12,2)</f>
        <v/>
      </c>
      <c r="C34" s="5" t="inlineStr">
        <is>
          <t>12%</t>
        </is>
      </c>
    </row>
    <row r="35">
      <c r="A35" s="8" t="inlineStr">
        <is>
          <t>CSLL</t>
        </is>
      </c>
      <c r="B35" s="9">
        <f>ROUND(B34*0.09,2)</f>
        <v/>
      </c>
      <c r="C35" s="8" t="inlineStr">
        <is>
          <t>9%</t>
        </is>
      </c>
    </row>
    <row r="36">
      <c r="A36" s="5" t="inlineStr">
        <is>
          <t>IRPJ - base presumida</t>
        </is>
      </c>
      <c r="B36" s="6">
        <f>ROUND(B33*0.08,2)</f>
        <v/>
      </c>
      <c r="C36" s="5" t="inlineStr">
        <is>
          <t>8%</t>
        </is>
      </c>
    </row>
    <row r="37">
      <c r="A37" s="5" t="inlineStr">
        <is>
          <t>IRPJ normal</t>
        </is>
      </c>
      <c r="B37" s="6">
        <f>ROUND(B36*0.15,2)</f>
        <v/>
      </c>
      <c r="C37" s="5" t="inlineStr">
        <is>
          <t>15%</t>
        </is>
      </c>
    </row>
    <row r="38">
      <c r="A38" s="5" t="inlineStr">
        <is>
          <t>Base do adicional</t>
        </is>
      </c>
      <c r="B38" s="6">
        <f>MAX(0,B36-60000.0)</f>
        <v/>
      </c>
      <c r="C38" s="5" t="inlineStr">
        <is>
          <t>excede R$ 60,000</t>
        </is>
      </c>
    </row>
    <row r="39">
      <c r="A39" s="5" t="inlineStr">
        <is>
          <t>IRPJ adicional</t>
        </is>
      </c>
      <c r="B39" s="6">
        <f>ROUND(B38*0.1,2)</f>
        <v/>
      </c>
      <c r="C39" s="5" t="inlineStr">
        <is>
          <t>10%</t>
        </is>
      </c>
    </row>
    <row r="40">
      <c r="A40" s="8" t="inlineStr">
        <is>
          <t>IRPJ total</t>
        </is>
      </c>
      <c r="B40" s="9">
        <f>B37+B39</f>
        <v/>
      </c>
      <c r="C40" s="8" t="inlineStr"/>
    </row>
    <row r="42">
      <c r="A42" s="3" t="inlineStr">
        <is>
          <t>ICMS próprio</t>
        </is>
      </c>
    </row>
    <row r="43">
      <c r="A43" s="5" t="inlineStr">
        <is>
          <t>Débitos (saídas)</t>
        </is>
      </c>
      <c r="B43" s="6" t="n">
        <v>16317.95</v>
      </c>
    </row>
    <row r="44">
      <c r="A44" s="5" t="inlineStr">
        <is>
          <t>Ajustes a débito</t>
        </is>
      </c>
      <c r="B44" s="6" t="n">
        <v>717.41</v>
      </c>
    </row>
    <row r="45">
      <c r="A45" s="5" t="inlineStr">
        <is>
          <t>(-) Créditos NF-e de entrada</t>
        </is>
      </c>
      <c r="B45" s="6" t="n">
        <v>-6297.73</v>
      </c>
    </row>
    <row r="46">
      <c r="A46" s="5" t="inlineStr">
        <is>
          <t>(-) Créditos CT-e</t>
        </is>
      </c>
      <c r="B46" s="6" t="n">
        <v>-149.14</v>
      </c>
    </row>
    <row r="47">
      <c r="A47" s="5" t="inlineStr">
        <is>
          <t>(-) Ajustes a crédito</t>
        </is>
      </c>
      <c r="B47" s="6" t="n">
        <v>-631.3200000000001</v>
      </c>
    </row>
    <row r="48">
      <c r="A48" s="5" t="inlineStr">
        <is>
          <t>(-) Saldo credor anterior</t>
        </is>
      </c>
      <c r="B48" s="6" t="n">
        <v>-0</v>
      </c>
    </row>
    <row r="49">
      <c r="A49" s="8" t="inlineStr">
        <is>
          <t>ICMS a recolher (negativo = saldo credor)</t>
        </is>
      </c>
      <c r="B49" s="9">
        <f>SUM(B43:B48)</f>
        <v/>
      </c>
    </row>
    <row r="50">
      <c r="A50" s="11" t="inlineStr">
        <is>
          <t>Ajuste a debito PR000081: Diferencial de alíquota - uso e consumo/ativo de outra UF - R$ 86.09 (NF 2564 AGATHA INDUSTRIA DE MANUFATURADOS LTDA: 86.09)</t>
        </is>
      </c>
    </row>
    <row r="51">
      <c r="A51" s="11" t="inlineStr">
        <is>
          <t>Ajuste a debito PR000080: ICMS recolhimento antecipado - importado a 4% (8% da base) - R$ 631.32 (NF 275966 MCASSAB COMERCIO E INDUSTRIA LTDA: 309.90; NF 42285 PROVITAL DO BRASIL COM. DE INSUMOS PARA COSMETICOS LTDA: 321.42)</t>
        </is>
      </c>
    </row>
    <row r="52">
      <c r="A52" s="11" t="inlineStr">
        <is>
          <t>Ajuste a credito PR020212: Crédito do ICMS antecipado (mesmo valor - saldo zero, como nos Demonstrativos 07 e 08/2026) - R$ 631.32 (NF 275966 MCASSAB COMERCIO E INDUSTRIA LTDA: 309.90; NF 42285 PROVITAL DO BRASIL COM. DE INSUMOS PARA COSMETICOS LTDA: 321.42)</t>
        </is>
      </c>
    </row>
    <row r="54">
      <c r="A54" s="3" t="inlineStr">
        <is>
          <t>ICMS antecipado - entradas interestaduais a 4% (importado): 8% da base</t>
        </is>
      </c>
    </row>
    <row r="55">
      <c r="A55" s="5" t="inlineStr">
        <is>
          <t>NF 275966 MCASSAB COMERCIO E INDUSTRIA LTDA - TRANSCUTOL CG - TB 25 KG - base 3,873.74</t>
        </is>
      </c>
      <c r="B55" s="6" t="n">
        <v>309.9</v>
      </c>
    </row>
    <row r="56">
      <c r="A56" s="5" t="inlineStr">
        <is>
          <t>NF 42285 PROVITAL DO BRASIL COM. DE INSUMOS PARA COSMETICOS LTDA - KERANUTRI - base 4,017.69</t>
        </is>
      </c>
      <c r="B56" s="6" t="n">
        <v>321.42</v>
      </c>
    </row>
    <row r="57">
      <c r="A57" s="8" t="inlineStr">
        <is>
          <t>Total antecipado - na apuração: débito PR000080 e crédito PR020212 de mesmo valor (saldo zero, sem guia própria, como em 07 e 08/2026); E113 por nota</t>
        </is>
      </c>
      <c r="B57" s="9" t="n">
        <v>631.3200000000001</v>
      </c>
    </row>
    <row r="59">
      <c r="A59" s="3" t="inlineStr">
        <is>
          <t>ICMS-ST (substituto) por UF de destino</t>
        </is>
      </c>
    </row>
    <row r="60">
      <c r="A60" s="5" t="inlineStr">
        <is>
          <t>ICMS-ST retido - PR</t>
        </is>
      </c>
      <c r="B60" s="6" t="n">
        <v>865.16</v>
      </c>
    </row>
    <row r="61">
      <c r="A61" s="5" t="inlineStr">
        <is>
          <t>(-) ST de devoluções</t>
        </is>
      </c>
      <c r="B61" s="6" t="n">
        <v>-0</v>
      </c>
    </row>
    <row r="62">
      <c r="A62" s="8" t="inlineStr">
        <is>
          <t>ICMS-ST a recolher PR</t>
        </is>
      </c>
      <c r="B62" s="9" t="n">
        <v>865.16</v>
      </c>
    </row>
    <row r="64">
      <c r="A64" s="3" t="inlineStr">
        <is>
          <t>IPI</t>
        </is>
      </c>
    </row>
    <row r="65">
      <c r="A65" s="5" t="inlineStr">
        <is>
          <t>Débitos (saídas)</t>
        </is>
      </c>
      <c r="B65" s="6" t="n">
        <v>4403.24</v>
      </c>
    </row>
    <row r="66">
      <c r="A66" s="5" t="inlineStr">
        <is>
          <t>(-) Créditos (entradas)</t>
        </is>
      </c>
      <c r="B66" s="6" t="n">
        <v>-2337.69</v>
      </c>
    </row>
    <row r="67">
      <c r="A67" s="8" t="inlineStr">
        <is>
          <t>IPI a recolher (negativo = saldo credor)</t>
        </is>
      </c>
      <c r="B67" s="9">
        <f>B65+B66</f>
        <v/>
      </c>
    </row>
    <row r="69">
      <c r="A69" s="3" t="inlineStr">
        <is>
          <t>Conferência dos documentos</t>
        </is>
      </c>
    </row>
    <row r="70">
      <c r="A70" s="5" t="inlineStr">
        <is>
          <t>Notas de saída autorizadas</t>
        </is>
      </c>
      <c r="B70" s="12" t="n">
        <v>91</v>
      </c>
    </row>
    <row r="71">
      <c r="A71" s="5" t="inlineStr">
        <is>
          <t>Notas canceladas (saída e entrada)</t>
        </is>
      </c>
      <c r="B71" s="12" t="n">
        <v>3</v>
      </c>
    </row>
    <row r="72">
      <c r="A72" s="5" t="inlineStr">
        <is>
          <t>Números inutilizados</t>
        </is>
      </c>
      <c r="B72" s="12" t="n">
        <v>6</v>
      </c>
    </row>
    <row r="73">
      <c r="A73" s="5" t="inlineStr">
        <is>
          <t>Notas de entrada</t>
        </is>
      </c>
      <c r="B73" s="12" t="n">
        <v>48</v>
      </c>
    </row>
    <row r="74">
      <c r="A74" s="5" t="inlineStr">
        <is>
          <t>CT-e tomados</t>
        </is>
      </c>
      <c r="B74" s="12" t="n">
        <v>5</v>
      </c>
    </row>
    <row r="75">
      <c r="A75" s="13" t="inlineStr">
        <is>
          <t>Divergências ALTA</t>
        </is>
      </c>
      <c r="B75" s="14" t="n">
        <v>9</v>
      </c>
    </row>
    <row r="76">
      <c r="A76" s="5" t="inlineStr">
        <is>
          <t>Divergências (total)</t>
        </is>
      </c>
      <c r="B76" s="12" t="n">
        <v>74</v>
      </c>
    </row>
    <row r="77">
      <c r="A77" s="5" t="inlineStr">
        <is>
          <t>Observações para a contadora</t>
        </is>
      </c>
      <c r="B77" s="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15" customWidth="1" min="4" max="4"/>
    <col width="45" customWidth="1" min="5" max="5"/>
    <col width="14" customWidth="1" min="6" max="6"/>
    <col width="30" customWidth="1" min="7" max="7"/>
  </cols>
  <sheetData>
    <row r="1">
      <c r="A1" s="1" t="inlineStr">
        <is>
          <t>Checklist da conferência automática do mês</t>
        </is>
      </c>
    </row>
    <row r="2">
      <c r="A2" s="2" t="inlineStr">
        <is>
          <t>OK = cruzamento feito sem ocorrência; VERIFICAR = ver a aba Divergências; NÃO EXECUTADO = faltou o arquivo.</t>
        </is>
      </c>
    </row>
    <row r="4">
      <c r="A4" s="4" t="inlineStr">
        <is>
          <t>Área</t>
        </is>
      </c>
      <c r="B4" s="4" t="inlineStr">
        <is>
          <t>Verificação</t>
        </is>
      </c>
      <c r="C4" s="4" t="inlineStr">
        <is>
          <t>Resultado</t>
        </is>
      </c>
      <c r="D4" s="4" t="inlineStr">
        <is>
          <t>Status</t>
        </is>
      </c>
      <c r="E4" s="4" t="inlineStr">
        <is>
          <t>Base legal</t>
        </is>
      </c>
      <c r="F4" s="4" t="inlineStr">
        <is>
          <t>Conferido por</t>
        </is>
      </c>
      <c r="G4" s="4" t="inlineStr">
        <is>
          <t>Observação</t>
        </is>
      </c>
    </row>
    <row r="5">
      <c r="A5" s="15" t="inlineStr">
        <is>
          <t>Saídas</t>
        </is>
      </c>
      <c r="B5" s="16" t="inlineStr">
        <is>
          <t>Numeração sequencial (buraco sem cancelamento/inutilização)</t>
        </is>
      </c>
      <c r="C5" s="16" t="inlineStr">
        <is>
          <t>Nenhuma ocorrência</t>
        </is>
      </c>
      <c r="D5" s="15" t="inlineStr">
        <is>
          <t>OK</t>
        </is>
      </c>
      <c r="E5" s="16" t="inlineStr">
        <is>
          <t>Ajuste SINIEF 07/05</t>
        </is>
      </c>
      <c r="F5" s="17" t="inlineStr"/>
      <c r="G5" s="17" t="inlineStr"/>
    </row>
    <row r="6">
      <c r="A6" s="15" t="inlineStr">
        <is>
          <t>Saídas</t>
        </is>
      </c>
      <c r="B6" s="16" t="inlineStr">
        <is>
          <t>ICMS e IPI recalculados (BC x alíquota) e CST x valor</t>
        </is>
      </c>
      <c r="C6" s="16" t="inlineStr">
        <is>
          <t>Nenhuma ocorrência</t>
        </is>
      </c>
      <c r="D6" s="15" t="inlineStr">
        <is>
          <t>OK</t>
        </is>
      </c>
      <c r="E6" s="16" t="inlineStr">
        <is>
          <t>LC 87/96 art. 13; RIPI art. 190</t>
        </is>
      </c>
      <c r="F6" s="17" t="inlineStr"/>
      <c r="G6" s="17" t="inlineStr"/>
    </row>
    <row r="7">
      <c r="A7" s="13" t="inlineStr">
        <is>
          <t>Saídas</t>
        </is>
      </c>
      <c r="B7" s="18" t="inlineStr">
        <is>
          <t>CFOP x UF do destinatário e alíquota interestadual</t>
        </is>
      </c>
      <c r="C7" s="18" t="inlineStr">
        <is>
          <t>1 ALTA (aba Divergências)</t>
        </is>
      </c>
      <c r="D7" s="13" t="inlineStr">
        <is>
          <t>VERIFICAR</t>
        </is>
      </c>
      <c r="E7" s="18" t="inlineStr">
        <is>
          <t>Res. Senado 22/89 e 13/12</t>
        </is>
      </c>
      <c r="F7" s="17" t="inlineStr"/>
      <c r="G7" s="17" t="inlineStr"/>
    </row>
    <row r="8">
      <c r="A8" s="15" t="inlineStr">
        <is>
          <t>Saídas</t>
        </is>
      </c>
      <c r="B8" s="16" t="inlineStr">
        <is>
          <t>CFOP com/sem ST x ST destacada</t>
        </is>
      </c>
      <c r="C8" s="16" t="inlineStr">
        <is>
          <t>Nenhuma ocorrência</t>
        </is>
      </c>
      <c r="D8" s="15" t="inlineStr">
        <is>
          <t>OK</t>
        </is>
      </c>
      <c r="E8" s="16" t="inlineStr">
        <is>
          <t>RICMS/PR Anexo IX</t>
        </is>
      </c>
      <c r="F8" s="17" t="inlineStr"/>
      <c r="G8" s="17" t="inlineStr"/>
    </row>
    <row r="9">
      <c r="A9" s="13" t="inlineStr">
        <is>
          <t>Saídas</t>
        </is>
      </c>
      <c r="B9" s="18" t="inlineStr">
        <is>
          <t>Contribuinte com IE tratado como consumidor final</t>
        </is>
      </c>
      <c r="C9" s="18" t="inlineStr">
        <is>
          <t>1 ALTA (aba Divergências)</t>
        </is>
      </c>
      <c r="D9" s="13" t="inlineStr">
        <is>
          <t>VERIFICAR</t>
        </is>
      </c>
      <c r="E9" s="18" t="inlineStr">
        <is>
          <t>LC 87/96 art. 6º e RICMS/PR Anexo IX (ST nas saídas para revenda); Ajuste SINIEF 07/05 (indIEDest/indFinal); LC 87/96 art. 13 §2º (IPI fora da base só entre contribuintes)</t>
        </is>
      </c>
      <c r="F9" s="17" t="inlineStr"/>
      <c r="G9" s="17" t="inlineStr"/>
    </row>
    <row r="10">
      <c r="A10" s="19" t="inlineStr">
        <is>
          <t>Saídas</t>
        </is>
      </c>
      <c r="B10" s="20" t="inlineStr">
        <is>
          <t>CFOP de revenda (5102) em produto de fabricação própria</t>
        </is>
      </c>
      <c r="C10" s="20" t="inlineStr">
        <is>
          <t>13 MÉDIA (aba Divergências)</t>
        </is>
      </c>
      <c r="D10" s="19" t="inlineStr">
        <is>
          <t>VERIFICAR</t>
        </is>
      </c>
      <c r="E10" s="20" t="inlineStr">
        <is>
          <t>Tabela CFOP (Ajuste SINIEF 07/01): 5101 produção do estabelecimento, 5102 mercadoria de terceiros; RIPI art. 35</t>
        </is>
      </c>
      <c r="F10" s="17" t="inlineStr"/>
      <c r="G10" s="17" t="inlineStr"/>
    </row>
    <row r="11">
      <c r="A11" s="13" t="inlineStr">
        <is>
          <t>Saídas</t>
        </is>
      </c>
      <c r="B11" s="18" t="inlineStr">
        <is>
          <t>Industrialização 5124/6124 x retorno 5902/6902 x remessa do cliente</t>
        </is>
      </c>
      <c r="C11" s="18" t="inlineStr">
        <is>
          <t>5 ALTA, 2 MÉDIA, 1 BAIXA (aba Divergências)</t>
        </is>
      </c>
      <c r="D11" s="13" t="inlineStr">
        <is>
          <t>VERIFICAR</t>
        </is>
      </c>
      <c r="E11" s="18" t="inlineStr">
        <is>
          <t>RICMS/PR (industrialização por encomenda: 5124 pela industrialização + 5902 retorno simbólico do insumo); Lei 10.147/2000 (5124 fora do monofásico: 0,65%/3%)</t>
        </is>
      </c>
      <c r="F11" s="17" t="inlineStr"/>
      <c r="G11" s="17" t="inlineStr"/>
    </row>
    <row r="12">
      <c r="A12" s="19" t="inlineStr">
        <is>
          <t>Saídas</t>
        </is>
      </c>
      <c r="B12" s="20" t="inlineStr">
        <is>
          <t>Diferimento nas 5124 internas</t>
        </is>
      </c>
      <c r="C12" s="20" t="inlineStr">
        <is>
          <t>1 MÉDIA (aba Divergências)</t>
        </is>
      </c>
      <c r="D12" s="19" t="inlineStr">
        <is>
          <t>VERIFICAR</t>
        </is>
      </c>
      <c r="E12" s="20" t="inlineStr">
        <is>
          <t>RICMS/PR (diferimento)</t>
        </is>
      </c>
      <c r="F12" s="17" t="inlineStr"/>
      <c r="G12" s="17" t="inlineStr"/>
    </row>
    <row r="13">
      <c r="A13" s="5" t="inlineStr">
        <is>
          <t>Saídas</t>
        </is>
      </c>
      <c r="B13" s="21" t="inlineStr">
        <is>
          <t>Grupo de IPI nos produtos</t>
        </is>
      </c>
      <c r="C13" s="21" t="inlineStr">
        <is>
          <t>3 BAIXA (aba Divergências)</t>
        </is>
      </c>
      <c r="D13" s="5" t="inlineStr">
        <is>
          <t>INFORMATIVO</t>
        </is>
      </c>
      <c r="E13" s="21" t="inlineStr">
        <is>
          <t>RIPI/2010 (Decreto 7.212) - grupo IPI obrigatório para produto industrializado (NT 2016.002)</t>
        </is>
      </c>
      <c r="F13" s="17" t="inlineStr"/>
      <c r="G13" s="17" t="inlineStr"/>
    </row>
    <row r="14">
      <c r="A14" s="19" t="inlineStr">
        <is>
          <t>Saídas</t>
        </is>
      </c>
      <c r="B14" s="20" t="inlineStr">
        <is>
          <t>Mesmo produto com NCM/IPI diferentes no mês</t>
        </is>
      </c>
      <c r="C14" s="20" t="inlineStr">
        <is>
          <t>1 MÉDIA (aba Divergências)</t>
        </is>
      </c>
      <c r="D14" s="19" t="inlineStr">
        <is>
          <t>VERIFICAR</t>
        </is>
      </c>
      <c r="E14" s="20" t="inlineStr">
        <is>
          <t>TIPI (Decreto 11.158/2022); RIPI art. 189</t>
        </is>
      </c>
      <c r="F14" s="17" t="inlineStr"/>
      <c r="G14" s="17" t="inlineStr"/>
    </row>
    <row r="15">
      <c r="A15" s="5" t="inlineStr">
        <is>
          <t>Saídas</t>
        </is>
      </c>
      <c r="B15" s="21" t="inlineStr">
        <is>
          <t>PIS/COFINS informado no XML x apuração</t>
        </is>
      </c>
      <c r="C15" s="21" t="inlineStr">
        <is>
          <t>1 BAIXA (aba Divergências)</t>
        </is>
      </c>
      <c r="D15" s="5" t="inlineStr">
        <is>
          <t>INFORMATIVO</t>
        </is>
      </c>
      <c r="E15" s="21" t="inlineStr">
        <is>
          <t>Lei 10.147/2000; Lei 11.051/2004 art. 10</t>
        </is>
      </c>
      <c r="F15" s="17" t="inlineStr"/>
      <c r="G15" s="17" t="inlineStr"/>
    </row>
    <row r="16">
      <c r="A16" s="13" t="inlineStr">
        <is>
          <t>Saídas</t>
        </is>
      </c>
      <c r="B16" s="18" t="inlineStr">
        <is>
          <t>XML x Registro de Saídas do ERP (nota a nota: UF, CFOP, valores, ICMS, IPI, ST)</t>
        </is>
      </c>
      <c r="C16" s="18" t="inlineStr">
        <is>
          <t>2 ALTA, 1 BAIXA (aba Divergências)</t>
        </is>
      </c>
      <c r="D16" s="13" t="inlineStr">
        <is>
          <t>VERIFICAR</t>
        </is>
      </c>
      <c r="E16" s="18" t="inlineStr">
        <is>
          <t>Ajuste SINIEF 02/09 (EFD)</t>
        </is>
      </c>
      <c r="F16" s="17" t="inlineStr"/>
      <c r="G16" s="17" t="inlineStr"/>
    </row>
    <row r="17">
      <c r="A17" s="15" t="inlineStr">
        <is>
          <t>Saídas</t>
        </is>
      </c>
      <c r="B17" s="16" t="inlineStr">
        <is>
          <t>NCM x PIS/COFINS monofásico</t>
        </is>
      </c>
      <c r="C17" s="16" t="inlineStr">
        <is>
          <t>Nenhuma ocorrência</t>
        </is>
      </c>
      <c r="D17" s="15" t="inlineStr">
        <is>
          <t>OK</t>
        </is>
      </c>
      <c r="E17" s="16" t="inlineStr">
        <is>
          <t>Lei 10.147/2000</t>
        </is>
      </c>
      <c r="F17" s="17" t="inlineStr"/>
      <c r="G17" s="17" t="inlineStr"/>
    </row>
    <row r="18">
      <c r="A18" s="19" t="inlineStr">
        <is>
          <t>Entradas</t>
        </is>
      </c>
      <c r="B18" s="20" t="inlineStr">
        <is>
          <t>Fornecedor sem histórico (insumo x uso e consumo)</t>
        </is>
      </c>
      <c r="C18" s="20" t="inlineStr">
        <is>
          <t>7 MÉDIA (aba Divergências)</t>
        </is>
      </c>
      <c r="D18" s="19" t="inlineStr">
        <is>
          <t>VERIFICAR</t>
        </is>
      </c>
      <c r="E18" s="20" t="inlineStr">
        <is>
          <t>LC 87/96 art. 20 e 33, I</t>
        </is>
      </c>
      <c r="F18" s="17" t="inlineStr"/>
      <c r="G18" s="17" t="inlineStr"/>
    </row>
    <row r="19">
      <c r="A19" s="15" t="inlineStr">
        <is>
          <t>Entradas</t>
        </is>
      </c>
      <c r="B19" s="16" t="inlineStr">
        <is>
          <t>Notas desconhecidas/manifestadas</t>
        </is>
      </c>
      <c r="C19" s="16" t="inlineStr">
        <is>
          <t>Nenhuma ocorrência</t>
        </is>
      </c>
      <c r="D19" s="15" t="inlineStr">
        <is>
          <t>OK</t>
        </is>
      </c>
      <c r="E19" s="16" t="inlineStr">
        <is>
          <t>Ajuste SINIEF 07/05</t>
        </is>
      </c>
      <c r="F19" s="17" t="inlineStr"/>
      <c r="G19" s="17" t="inlineStr"/>
    </row>
    <row r="20">
      <c r="A20" s="5" t="inlineStr">
        <is>
          <t>Entradas</t>
        </is>
      </c>
      <c r="B20" s="21" t="inlineStr">
        <is>
          <t>Remessas recebidas sem retorno (estoque de terceiros)</t>
        </is>
      </c>
      <c r="C20" s="21" t="inlineStr">
        <is>
          <t>12 BAIXA (aba Divergências)</t>
        </is>
      </c>
      <c r="D20" s="5" t="inlineStr">
        <is>
          <t>INFORMATIVO</t>
        </is>
      </c>
      <c r="E20" s="21" t="inlineStr">
        <is>
          <t>RICMS/PR (industrialização por encomenda)</t>
        </is>
      </c>
      <c r="F20" s="17" t="inlineStr"/>
      <c r="G20" s="17" t="inlineStr"/>
    </row>
    <row r="21">
      <c r="A21" s="19" t="inlineStr">
        <is>
          <t>CT-e</t>
        </is>
      </c>
      <c r="B21" s="20" t="inlineStr">
        <is>
          <t>Crédito do frete segue a natureza da NF-e transportada</t>
        </is>
      </c>
      <c r="C21" s="20" t="inlineStr">
        <is>
          <t>1 MÉDIA (aba Divergências)</t>
        </is>
      </c>
      <c r="D21" s="19" t="inlineStr">
        <is>
          <t>VERIFICAR</t>
        </is>
      </c>
      <c r="E21" s="20" t="inlineStr">
        <is>
          <t>LC 87/96 art. 20 e 33, I</t>
        </is>
      </c>
      <c r="F21" s="17" t="inlineStr"/>
      <c r="G21" s="17" t="inlineStr"/>
    </row>
    <row r="22">
      <c r="A22" s="19" t="inlineStr">
        <is>
          <t>Serviços</t>
        </is>
      </c>
      <c r="B22" s="20" t="inlineStr">
        <is>
          <t>NFS-e tomadas: retenção de IRRF e PIS/COFINS/CSLL</t>
        </is>
      </c>
      <c r="C22" s="20" t="inlineStr">
        <is>
          <t>1 MÉDIA, 1 BAIXA (aba Divergências)</t>
        </is>
      </c>
      <c r="D22" s="19" t="inlineStr">
        <is>
          <t>VERIFICAR</t>
        </is>
      </c>
      <c r="E22" s="20" t="inlineStr">
        <is>
          <t>Lei 10.833/2003 art. 30 e 31 §3º (dispensa até R$ 10); RIR/2018 art. 714 e 716; IN SRF 459/2004</t>
        </is>
      </c>
      <c r="F22" s="17" t="inlineStr"/>
      <c r="G22" s="17" t="inlineStr"/>
    </row>
    <row r="23">
      <c r="A23" s="17" t="inlineStr">
        <is>
          <t>SPED</t>
        </is>
      </c>
      <c r="B23" s="22" t="inlineStr">
        <is>
          <t>XML x SPED (notas faltando de um lado ou do outro)</t>
        </is>
      </c>
      <c r="C23" s="22" t="inlineStr">
        <is>
          <t>SPED do mês ainda não existe</t>
        </is>
      </c>
      <c r="D23" s="17" t="inlineStr">
        <is>
          <t>NÃO EXECUTADO</t>
        </is>
      </c>
      <c r="E23" s="22" t="inlineStr">
        <is>
          <t>Guia Prático EFD ICMS/IPI</t>
        </is>
      </c>
      <c r="F23" s="17" t="inlineStr"/>
      <c r="G23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15" customWidth="1" min="4" max="4"/>
    <col width="15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</cols>
  <sheetData>
    <row r="1">
      <c r="A1" s="1" t="inlineStr">
        <is>
          <t>Resumo das saídas por acumulador (mesmo formato do relatório do Domínio)</t>
        </is>
      </c>
    </row>
    <row r="3">
      <c r="A3" s="4" t="inlineStr">
        <is>
          <t>Acumulador</t>
        </is>
      </c>
      <c r="B3" s="4" t="inlineStr">
        <is>
          <t>Descrição</t>
        </is>
      </c>
      <c r="C3" s="4" t="inlineStr">
        <is>
          <t>Grupo</t>
        </is>
      </c>
      <c r="D3" s="4" t="inlineStr">
        <is>
          <t>Vlr contábil</t>
        </is>
      </c>
      <c r="E3" s="4" t="inlineStr">
        <is>
          <t>Base ICMS</t>
        </is>
      </c>
      <c r="F3" s="4" t="inlineStr">
        <is>
          <t>ICMS</t>
        </is>
      </c>
      <c r="G3" s="4" t="inlineStr">
        <is>
          <t>Outras</t>
        </is>
      </c>
      <c r="H3" s="4" t="inlineStr">
        <is>
          <t>IPI</t>
        </is>
      </c>
      <c r="I3" s="4" t="inlineStr">
        <is>
          <t>BC ICMS-ST</t>
        </is>
      </c>
      <c r="J3" s="4" t="inlineStr">
        <is>
          <t>ICMS-ST</t>
        </is>
      </c>
    </row>
    <row r="4">
      <c r="A4" s="5" t="inlineStr">
        <is>
          <t>200</t>
        </is>
      </c>
      <c r="B4" s="5" t="inlineStr">
        <is>
          <t>VENDAS S/ ST - DENTRO DO ESTADO</t>
        </is>
      </c>
      <c r="C4" s="5" t="inlineStr">
        <is>
          <t>venda</t>
        </is>
      </c>
      <c r="D4" s="6" t="n">
        <v>42470.93</v>
      </c>
      <c r="E4" s="6" t="n">
        <v>42470.93</v>
      </c>
      <c r="F4" s="6" t="n">
        <v>8281.799999999999</v>
      </c>
      <c r="G4" s="6" t="n">
        <v>0</v>
      </c>
      <c r="H4" s="6" t="n">
        <v>3958.45</v>
      </c>
      <c r="I4" s="6" t="n">
        <v>0</v>
      </c>
      <c r="J4" s="6" t="n">
        <v>0</v>
      </c>
    </row>
    <row r="5">
      <c r="A5" s="5" t="inlineStr">
        <is>
          <t>201</t>
        </is>
      </c>
      <c r="B5" s="5" t="inlineStr">
        <is>
          <t>VENDA S/ ST - FORA DO ESTADO</t>
        </is>
      </c>
      <c r="C5" s="5" t="inlineStr">
        <is>
          <t>venda</t>
        </is>
      </c>
      <c r="D5" s="6" t="n">
        <v>2979.01</v>
      </c>
      <c r="E5" s="6" t="n">
        <v>2979.01</v>
      </c>
      <c r="F5" s="6" t="n">
        <v>357.48</v>
      </c>
      <c r="G5" s="6" t="n">
        <v>0</v>
      </c>
      <c r="H5" s="6" t="n">
        <v>46.33</v>
      </c>
      <c r="I5" s="6" t="n">
        <v>0</v>
      </c>
      <c r="J5" s="6" t="n">
        <v>0</v>
      </c>
    </row>
    <row r="6">
      <c r="A6" s="5" t="inlineStr">
        <is>
          <t>202</t>
        </is>
      </c>
      <c r="B6" s="5" t="inlineStr">
        <is>
          <t>VENDA C/ ST - DENTRO DO ESTADO</t>
        </is>
      </c>
      <c r="C6" s="5" t="inlineStr">
        <is>
          <t>venda</t>
        </is>
      </c>
      <c r="D6" s="6" t="n">
        <v>4050.02</v>
      </c>
      <c r="E6" s="6" t="n">
        <v>2786.4</v>
      </c>
      <c r="F6" s="6" t="n">
        <v>334.39</v>
      </c>
      <c r="G6" s="6" t="n">
        <v>1263.62</v>
      </c>
      <c r="H6" s="6" t="n">
        <v>398.46</v>
      </c>
      <c r="I6" s="6" t="n">
        <v>5215.18</v>
      </c>
      <c r="J6" s="6" t="n">
        <v>865.16</v>
      </c>
    </row>
    <row r="7">
      <c r="A7" s="5" t="inlineStr">
        <is>
          <t>217</t>
        </is>
      </c>
      <c r="B7" s="5" t="inlineStr">
        <is>
          <t>RETORNO REMESSA IND. ENCOMENDA - 6902</t>
        </is>
      </c>
      <c r="C7" s="5" t="inlineStr">
        <is>
          <t>outros</t>
        </is>
      </c>
      <c r="D7" s="6" t="n">
        <v>9423.629999999999</v>
      </c>
      <c r="E7" s="6" t="n">
        <v>0</v>
      </c>
      <c r="F7" s="6" t="n">
        <v>0</v>
      </c>
      <c r="G7" s="6" t="n">
        <v>9423.629999999999</v>
      </c>
      <c r="H7" s="6" t="n">
        <v>0</v>
      </c>
      <c r="I7" s="6" t="n">
        <v>0</v>
      </c>
      <c r="J7" s="6" t="n">
        <v>0</v>
      </c>
    </row>
    <row r="8">
      <c r="A8" s="5" t="inlineStr">
        <is>
          <t>254</t>
        </is>
      </c>
      <c r="B8" s="5" t="inlineStr">
        <is>
          <t>IND. EFETUADA PARA OUTRA EMPRESA - 5124</t>
        </is>
      </c>
      <c r="C8" s="5" t="inlineStr">
        <is>
          <t>industrializacao</t>
        </is>
      </c>
      <c r="D8" s="6" t="n">
        <v>38959.7</v>
      </c>
      <c r="E8" s="6" t="n">
        <v>37503.2</v>
      </c>
      <c r="F8" s="6" t="n">
        <v>108.44</v>
      </c>
      <c r="G8" s="6" t="n">
        <v>1456.5</v>
      </c>
      <c r="H8" s="6" t="n">
        <v>0</v>
      </c>
      <c r="I8" s="6" t="n">
        <v>0</v>
      </c>
      <c r="J8" s="6" t="n">
        <v>0</v>
      </c>
    </row>
    <row r="9">
      <c r="A9" s="5" t="inlineStr">
        <is>
          <t>255</t>
        </is>
      </c>
      <c r="B9" s="5" t="inlineStr">
        <is>
          <t>IND. EFETUADA PARA OUTRA EMPRESA - 6124</t>
        </is>
      </c>
      <c r="C9" s="5" t="inlineStr">
        <is>
          <t>industrializacao</t>
        </is>
      </c>
      <c r="D9" s="6" t="n">
        <v>79102.45</v>
      </c>
      <c r="E9" s="6" t="n">
        <v>77554.45</v>
      </c>
      <c r="F9" s="6" t="n">
        <v>7235.84</v>
      </c>
      <c r="G9" s="6" t="n">
        <v>1548</v>
      </c>
      <c r="H9" s="6" t="n">
        <v>0</v>
      </c>
      <c r="I9" s="6" t="n">
        <v>0</v>
      </c>
      <c r="J9" s="6" t="n">
        <v>0</v>
      </c>
    </row>
    <row r="10">
      <c r="A10" s="5" t="inlineStr">
        <is>
          <t>277</t>
        </is>
      </c>
      <c r="B10" s="5" t="inlineStr">
        <is>
          <t>RETORNO DE MERC NA INDUSTR - 5902</t>
        </is>
      </c>
      <c r="C10" s="5" t="inlineStr">
        <is>
          <t>outros</t>
        </is>
      </c>
      <c r="D10" s="6" t="n">
        <v>3829.5</v>
      </c>
      <c r="E10" s="6" t="n">
        <v>0</v>
      </c>
      <c r="F10" s="6" t="n">
        <v>0</v>
      </c>
      <c r="G10" s="6" t="n">
        <v>3829.5</v>
      </c>
      <c r="H10" s="6" t="n">
        <v>0</v>
      </c>
      <c r="I10" s="6" t="n">
        <v>0</v>
      </c>
      <c r="J10" s="6" t="n">
        <v>0</v>
      </c>
    </row>
    <row r="11">
      <c r="A11" s="8" t="inlineStr">
        <is>
          <t>Total</t>
        </is>
      </c>
      <c r="B11" s="8" t="inlineStr"/>
      <c r="C11" s="8" t="inlineStr"/>
      <c r="D11" s="9">
        <f>SUM(D4:D10)</f>
        <v/>
      </c>
      <c r="E11" s="9">
        <f>SUM(E4:E10)</f>
        <v/>
      </c>
      <c r="F11" s="9">
        <f>SUM(F4:F10)</f>
        <v/>
      </c>
      <c r="G11" s="9">
        <f>SUM(G4:G10)</f>
        <v/>
      </c>
      <c r="H11" s="9">
        <f>SUM(H4:H10)</f>
        <v/>
      </c>
      <c r="I11" s="9">
        <f>SUM(I4:I10)</f>
        <v/>
      </c>
      <c r="J11" s="9">
        <f>SUM(J4:J10)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1" customWidth="1" min="3" max="3"/>
    <col width="38" customWidth="1" min="4" max="4"/>
    <col width="16" customWidth="1" min="5" max="5"/>
    <col width="5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47" customWidth="1" min="13" max="13"/>
  </cols>
  <sheetData>
    <row r="1">
      <c r="A1" s="1" t="inlineStr">
        <is>
          <t>Notas de saída autorizadas do mês</t>
        </is>
      </c>
    </row>
    <row r="3">
      <c r="A3" s="4" t="inlineStr">
        <is>
          <t>Número</t>
        </is>
      </c>
      <c r="B3" s="4" t="inlineStr">
        <is>
          <t>Série</t>
        </is>
      </c>
      <c r="C3" s="4" t="inlineStr">
        <is>
          <t>Emissão</t>
        </is>
      </c>
      <c r="D3" s="4" t="inlineStr">
        <is>
          <t>Cliente</t>
        </is>
      </c>
      <c r="E3" s="4" t="inlineStr">
        <is>
          <t>CNPJ/CPF</t>
        </is>
      </c>
      <c r="F3" s="4" t="inlineStr">
        <is>
          <t>UF</t>
        </is>
      </c>
      <c r="G3" s="4" t="inlineStr">
        <is>
          <t>CFOPs</t>
        </is>
      </c>
      <c r="H3" s="4" t="inlineStr">
        <is>
          <t>Vlr contábil</t>
        </is>
      </c>
      <c r="I3" s="4" t="inlineStr">
        <is>
          <t>Base ICMS</t>
        </is>
      </c>
      <c r="J3" s="4" t="inlineStr">
        <is>
          <t>ICMS</t>
        </is>
      </c>
      <c r="K3" s="4" t="inlineStr">
        <is>
          <t>IPI</t>
        </is>
      </c>
      <c r="L3" s="4" t="inlineStr">
        <is>
          <t>ICMS-ST</t>
        </is>
      </c>
      <c r="M3" s="4" t="inlineStr">
        <is>
          <t>Chave</t>
        </is>
      </c>
    </row>
    <row r="4">
      <c r="A4" s="5" t="n">
        <v>8939</v>
      </c>
      <c r="B4" s="5" t="inlineStr">
        <is>
          <t>1</t>
        </is>
      </c>
      <c r="C4" s="7" t="n">
        <v>46267</v>
      </c>
      <c r="D4" s="5" t="inlineStr">
        <is>
          <t>CANDIDO COMERCIO DE COSMETICOS - EIRELI</t>
        </is>
      </c>
      <c r="E4" s="5" t="inlineStr">
        <is>
          <t>07159030000194</t>
        </is>
      </c>
      <c r="F4" s="5" t="inlineStr">
        <is>
          <t>PR</t>
        </is>
      </c>
      <c r="G4" s="5" t="inlineStr">
        <is>
          <t>5124</t>
        </is>
      </c>
      <c r="H4" s="6" t="n">
        <v>556.05</v>
      </c>
      <c r="I4" s="6" t="n">
        <v>556.05</v>
      </c>
      <c r="J4" s="6" t="n">
        <v>108.44</v>
      </c>
      <c r="K4" s="6" t="n">
        <v>0</v>
      </c>
      <c r="L4" s="6" t="n">
        <v>0</v>
      </c>
      <c r="M4" s="5" t="inlineStr">
        <is>
          <t>41260933039048000162550010000089391000116135</t>
        </is>
      </c>
    </row>
    <row r="5">
      <c r="A5" s="5" t="n">
        <v>8941</v>
      </c>
      <c r="B5" s="5" t="inlineStr">
        <is>
          <t>1</t>
        </is>
      </c>
      <c r="C5" s="7" t="n">
        <v>46267</v>
      </c>
      <c r="D5" s="5" t="inlineStr">
        <is>
          <t>R&amp;S COMERCIO DE COSMETICOS LTDA</t>
        </is>
      </c>
      <c r="E5" s="5" t="inlineStr">
        <is>
          <t>17666331000168</t>
        </is>
      </c>
      <c r="F5" s="5" t="inlineStr">
        <is>
          <t>SC</t>
        </is>
      </c>
      <c r="G5" s="5" t="inlineStr">
        <is>
          <t>6124</t>
        </is>
      </c>
      <c r="H5" s="6" t="n">
        <v>7368</v>
      </c>
      <c r="I5" s="6" t="n">
        <v>7368</v>
      </c>
      <c r="J5" s="6" t="n">
        <v>884.16</v>
      </c>
      <c r="K5" s="6" t="n">
        <v>0</v>
      </c>
      <c r="L5" s="6" t="n">
        <v>0</v>
      </c>
      <c r="M5" s="5" t="inlineStr">
        <is>
          <t>41260933039048000162550010000089411000115935</t>
        </is>
      </c>
    </row>
    <row r="6">
      <c r="A6" s="5" t="n">
        <v>8942</v>
      </c>
      <c r="B6" s="5" t="inlineStr">
        <is>
          <t>1</t>
        </is>
      </c>
      <c r="C6" s="7" t="n">
        <v>46267</v>
      </c>
      <c r="D6" s="5" t="inlineStr">
        <is>
          <t>R&amp;S COMERCIO DE COSMETICOS LTDA</t>
        </is>
      </c>
      <c r="E6" s="5" t="inlineStr">
        <is>
          <t>17666331000168</t>
        </is>
      </c>
      <c r="F6" s="5" t="inlineStr">
        <is>
          <t>SC</t>
        </is>
      </c>
      <c r="G6" s="5" t="inlineStr">
        <is>
          <t>6902</t>
        </is>
      </c>
      <c r="H6" s="6" t="n">
        <v>1050.6</v>
      </c>
      <c r="I6" s="6" t="n">
        <v>0</v>
      </c>
      <c r="J6" s="6" t="n">
        <v>0</v>
      </c>
      <c r="K6" s="6" t="n">
        <v>0</v>
      </c>
      <c r="L6" s="6" t="n">
        <v>0</v>
      </c>
      <c r="M6" s="5" t="inlineStr">
        <is>
          <t>41260933039048000162550010000089421000115940</t>
        </is>
      </c>
    </row>
    <row r="7">
      <c r="A7" s="5" t="n">
        <v>8943</v>
      </c>
      <c r="B7" s="5" t="inlineStr">
        <is>
          <t>1</t>
        </is>
      </c>
      <c r="C7" s="7" t="n">
        <v>46267</v>
      </c>
      <c r="D7" s="5" t="inlineStr">
        <is>
          <t>MIX PERFUMARIA LTDA</t>
        </is>
      </c>
      <c r="E7" s="5" t="inlineStr">
        <is>
          <t>06237330000181</t>
        </is>
      </c>
      <c r="F7" s="5" t="inlineStr">
        <is>
          <t>PR</t>
        </is>
      </c>
      <c r="G7" s="5" t="inlineStr">
        <is>
          <t>5124</t>
        </is>
      </c>
      <c r="H7" s="6" t="n">
        <v>5366.4</v>
      </c>
      <c r="I7" s="6" t="n">
        <v>5366.4</v>
      </c>
      <c r="J7" s="6" t="n">
        <v>0</v>
      </c>
      <c r="K7" s="6" t="n">
        <v>0</v>
      </c>
      <c r="L7" s="6" t="n">
        <v>0</v>
      </c>
      <c r="M7" s="5" t="inlineStr">
        <is>
          <t>41260933039048000162550010000089431000115891</t>
        </is>
      </c>
    </row>
    <row r="8">
      <c r="A8" s="5" t="n">
        <v>8944</v>
      </c>
      <c r="B8" s="5" t="inlineStr">
        <is>
          <t>1</t>
        </is>
      </c>
      <c r="C8" s="7" t="n">
        <v>46267</v>
      </c>
      <c r="D8" s="5" t="inlineStr">
        <is>
          <t>MIX PERFUMARIA LTDA</t>
        </is>
      </c>
      <c r="E8" s="5" t="inlineStr">
        <is>
          <t>06237330000181</t>
        </is>
      </c>
      <c r="F8" s="5" t="inlineStr">
        <is>
          <t>PR</t>
        </is>
      </c>
      <c r="G8" s="5" t="inlineStr">
        <is>
          <t>5902</t>
        </is>
      </c>
      <c r="H8" s="6" t="n">
        <v>421.2</v>
      </c>
      <c r="I8" s="6" t="n">
        <v>0</v>
      </c>
      <c r="J8" s="6" t="n">
        <v>0</v>
      </c>
      <c r="K8" s="6" t="n">
        <v>0</v>
      </c>
      <c r="L8" s="6" t="n">
        <v>0</v>
      </c>
      <c r="M8" s="5" t="inlineStr">
        <is>
          <t>41260933039048000162550010000089441000115902</t>
        </is>
      </c>
    </row>
    <row r="9">
      <c r="A9" s="5" t="n">
        <v>8945</v>
      </c>
      <c r="B9" s="5" t="inlineStr">
        <is>
          <t>1</t>
        </is>
      </c>
      <c r="C9" s="7" t="n">
        <v>46267</v>
      </c>
      <c r="D9" s="5" t="inlineStr">
        <is>
          <t>MIX PERFUMARIA LTDA</t>
        </is>
      </c>
      <c r="E9" s="5" t="inlineStr">
        <is>
          <t>06237330000181</t>
        </is>
      </c>
      <c r="F9" s="5" t="inlineStr">
        <is>
          <t>PR</t>
        </is>
      </c>
      <c r="G9" s="5" t="inlineStr">
        <is>
          <t>5124</t>
        </is>
      </c>
      <c r="H9" s="6" t="n">
        <v>4570.8</v>
      </c>
      <c r="I9" s="6" t="n">
        <v>4570.8</v>
      </c>
      <c r="J9" s="6" t="n">
        <v>0</v>
      </c>
      <c r="K9" s="6" t="n">
        <v>0</v>
      </c>
      <c r="L9" s="6" t="n">
        <v>0</v>
      </c>
      <c r="M9" s="5" t="inlineStr">
        <is>
          <t>41260933039048000162550010000089451000115918</t>
        </is>
      </c>
    </row>
    <row r="10">
      <c r="A10" s="5" t="n">
        <v>8946</v>
      </c>
      <c r="B10" s="5" t="inlineStr">
        <is>
          <t>1</t>
        </is>
      </c>
      <c r="C10" s="7" t="n">
        <v>46268</v>
      </c>
      <c r="D10" s="5" t="inlineStr">
        <is>
          <t>VENUS COMERCIO VAREJISTA DE COSMETICOS PERFUMARIA E REPRESEN</t>
        </is>
      </c>
      <c r="E10" s="5" t="inlineStr">
        <is>
          <t>10318964000136</t>
        </is>
      </c>
      <c r="F10" s="5" t="inlineStr">
        <is>
          <t>PA</t>
        </is>
      </c>
      <c r="G10" s="5" t="inlineStr">
        <is>
          <t>6124</t>
        </is>
      </c>
      <c r="H10" s="6" t="n">
        <v>2838</v>
      </c>
      <c r="I10" s="6" t="n">
        <v>2838</v>
      </c>
      <c r="J10" s="6" t="n">
        <v>198.66</v>
      </c>
      <c r="K10" s="6" t="n">
        <v>0</v>
      </c>
      <c r="L10" s="6" t="n">
        <v>0</v>
      </c>
      <c r="M10" s="5" t="inlineStr">
        <is>
          <t>41260933039048000162550010000089461000196494</t>
        </is>
      </c>
    </row>
    <row r="11">
      <c r="A11" s="5" t="n">
        <v>8947</v>
      </c>
      <c r="B11" s="5" t="inlineStr">
        <is>
          <t>1</t>
        </is>
      </c>
      <c r="C11" s="7" t="n">
        <v>46268</v>
      </c>
      <c r="D11" s="5" t="inlineStr">
        <is>
          <t>VENUS COMERCIO VAREJISTA DE COSMETICOS PERFUMARIA E REPRESEN</t>
        </is>
      </c>
      <c r="E11" s="5" t="inlineStr">
        <is>
          <t>10318964000136</t>
        </is>
      </c>
      <c r="F11" s="5" t="inlineStr">
        <is>
          <t>PA</t>
        </is>
      </c>
      <c r="G11" s="5" t="inlineStr">
        <is>
          <t>6902</t>
        </is>
      </c>
      <c r="H11" s="6" t="n">
        <v>222.6</v>
      </c>
      <c r="I11" s="6" t="n">
        <v>0</v>
      </c>
      <c r="J11" s="6" t="n">
        <v>0</v>
      </c>
      <c r="K11" s="6" t="n">
        <v>0</v>
      </c>
      <c r="L11" s="6" t="n">
        <v>0</v>
      </c>
      <c r="M11" s="5" t="inlineStr">
        <is>
          <t>41260933039048000162550010000089471000196505</t>
        </is>
      </c>
    </row>
    <row r="12">
      <c r="A12" s="5" t="n">
        <v>8949</v>
      </c>
      <c r="B12" s="5" t="inlineStr">
        <is>
          <t>1</t>
        </is>
      </c>
      <c r="C12" s="7" t="n">
        <v>46268</v>
      </c>
      <c r="D12" s="5" t="inlineStr">
        <is>
          <t>M. K. COSMETICOS LTDA</t>
        </is>
      </c>
      <c r="E12" s="5" t="inlineStr">
        <is>
          <t>26146567000164</t>
        </is>
      </c>
      <c r="F12" s="5" t="inlineStr">
        <is>
          <t>MA</t>
        </is>
      </c>
      <c r="G12" s="5" t="inlineStr">
        <is>
          <t>6124</t>
        </is>
      </c>
      <c r="H12" s="6" t="n">
        <v>2034</v>
      </c>
      <c r="I12" s="6" t="n">
        <v>2034</v>
      </c>
      <c r="J12" s="6" t="n">
        <v>142.38</v>
      </c>
      <c r="K12" s="6" t="n">
        <v>0</v>
      </c>
      <c r="L12" s="6" t="n">
        <v>0</v>
      </c>
      <c r="M12" s="5" t="inlineStr">
        <is>
          <t>41260933039048000162550010000089491000204197</t>
        </is>
      </c>
    </row>
    <row r="13">
      <c r="A13" s="5" t="n">
        <v>8950</v>
      </c>
      <c r="B13" s="5" t="inlineStr">
        <is>
          <t>1</t>
        </is>
      </c>
      <c r="C13" s="7" t="n">
        <v>46268</v>
      </c>
      <c r="D13" s="5" t="inlineStr">
        <is>
          <t>M. K. COSMETICOS LTDA</t>
        </is>
      </c>
      <c r="E13" s="5" t="inlineStr">
        <is>
          <t>26146567000164</t>
        </is>
      </c>
      <c r="F13" s="5" t="inlineStr">
        <is>
          <t>MA</t>
        </is>
      </c>
      <c r="G13" s="5" t="inlineStr">
        <is>
          <t>6902</t>
        </is>
      </c>
      <c r="H13" s="6" t="n">
        <v>159</v>
      </c>
      <c r="I13" s="6" t="n">
        <v>0</v>
      </c>
      <c r="J13" s="6" t="n">
        <v>0</v>
      </c>
      <c r="K13" s="6" t="n">
        <v>0</v>
      </c>
      <c r="L13" s="6" t="n">
        <v>0</v>
      </c>
      <c r="M13" s="5" t="inlineStr">
        <is>
          <t>41260933039048000162550010000089501000204201</t>
        </is>
      </c>
    </row>
    <row r="14">
      <c r="A14" s="5" t="n">
        <v>8953</v>
      </c>
      <c r="B14" s="5" t="inlineStr">
        <is>
          <t>1</t>
        </is>
      </c>
      <c r="C14" s="7" t="n">
        <v>46268</v>
      </c>
      <c r="D14" s="5" t="inlineStr">
        <is>
          <t>GUIDI COSMETICOS LTDA</t>
        </is>
      </c>
      <c r="E14" s="5" t="inlineStr">
        <is>
          <t>11835052000102</t>
        </is>
      </c>
      <c r="F14" s="5" t="inlineStr">
        <is>
          <t>SP</t>
        </is>
      </c>
      <c r="G14" s="5" t="inlineStr">
        <is>
          <t>6124</t>
        </is>
      </c>
      <c r="H14" s="6" t="n">
        <v>6307.1</v>
      </c>
      <c r="I14" s="6" t="n">
        <v>6307.1</v>
      </c>
      <c r="J14" s="6" t="n">
        <v>756.8</v>
      </c>
      <c r="K14" s="6" t="n">
        <v>0</v>
      </c>
      <c r="L14" s="6" t="n">
        <v>0</v>
      </c>
      <c r="M14" s="5" t="inlineStr">
        <is>
          <t>41260933039048000162550010000089531000163000</t>
        </is>
      </c>
    </row>
    <row r="15">
      <c r="A15" s="5" t="n">
        <v>8954</v>
      </c>
      <c r="B15" s="5" t="inlineStr">
        <is>
          <t>1</t>
        </is>
      </c>
      <c r="C15" s="7" t="n">
        <v>46268</v>
      </c>
      <c r="D15" s="5" t="inlineStr">
        <is>
          <t>GUIDI COSMETICOS LTDA</t>
        </is>
      </c>
      <c r="E15" s="5" t="inlineStr">
        <is>
          <t>11835052000102</t>
        </is>
      </c>
      <c r="F15" s="5" t="inlineStr">
        <is>
          <t>SP</t>
        </is>
      </c>
      <c r="G15" s="5" t="inlineStr">
        <is>
          <t>6902</t>
        </is>
      </c>
      <c r="H15" s="6" t="n">
        <v>614.16</v>
      </c>
      <c r="I15" s="6" t="n">
        <v>0</v>
      </c>
      <c r="J15" s="6" t="n">
        <v>0</v>
      </c>
      <c r="K15" s="6" t="n">
        <v>0</v>
      </c>
      <c r="L15" s="6" t="n">
        <v>0</v>
      </c>
      <c r="M15" s="5" t="inlineStr">
        <is>
          <t>41260933039048000162550010000089541000163016</t>
        </is>
      </c>
    </row>
    <row r="16">
      <c r="A16" s="5" t="n">
        <v>8955</v>
      </c>
      <c r="B16" s="5" t="inlineStr">
        <is>
          <t>1</t>
        </is>
      </c>
      <c r="C16" s="7" t="n">
        <v>46268</v>
      </c>
      <c r="D16" s="5" t="inlineStr">
        <is>
          <t>GULA COSMETICOS LTDA</t>
        </is>
      </c>
      <c r="E16" s="5" t="inlineStr">
        <is>
          <t>30415972000108</t>
        </is>
      </c>
      <c r="F16" s="5" t="inlineStr">
        <is>
          <t>PR</t>
        </is>
      </c>
      <c r="G16" s="5" t="inlineStr">
        <is>
          <t>5401</t>
        </is>
      </c>
      <c r="H16" s="6" t="n">
        <v>4050.02</v>
      </c>
      <c r="I16" s="6" t="n">
        <v>2786.4</v>
      </c>
      <c r="J16" s="6" t="n">
        <v>334.39</v>
      </c>
      <c r="K16" s="6" t="n">
        <v>398.46</v>
      </c>
      <c r="L16" s="6" t="n">
        <v>865.16</v>
      </c>
      <c r="M16" s="5" t="inlineStr">
        <is>
          <t>41260933039048000162550010000089551000161819</t>
        </is>
      </c>
    </row>
    <row r="17">
      <c r="A17" s="5" t="n">
        <v>8957</v>
      </c>
      <c r="B17" s="5" t="inlineStr">
        <is>
          <t>1</t>
        </is>
      </c>
      <c r="C17" s="7" t="n">
        <v>46269</v>
      </c>
      <c r="D17" s="5" t="inlineStr">
        <is>
          <t>BARIGUI COSMETICOS LTDA</t>
        </is>
      </c>
      <c r="E17" s="5" t="inlineStr">
        <is>
          <t>36498717000152</t>
        </is>
      </c>
      <c r="F17" s="5" t="inlineStr">
        <is>
          <t>PR</t>
        </is>
      </c>
      <c r="G17" s="5" t="inlineStr">
        <is>
          <t>5124</t>
        </is>
      </c>
      <c r="H17" s="6" t="n">
        <v>1764</v>
      </c>
      <c r="I17" s="6" t="n">
        <v>1764</v>
      </c>
      <c r="J17" s="6" t="n">
        <v>0</v>
      </c>
      <c r="K17" s="6" t="n">
        <v>0</v>
      </c>
      <c r="L17" s="6" t="n">
        <v>0</v>
      </c>
      <c r="M17" s="5" t="inlineStr">
        <is>
          <t>41260933039048000162550010000089571000162992</t>
        </is>
      </c>
    </row>
    <row r="18">
      <c r="A18" s="5" t="n">
        <v>8958</v>
      </c>
      <c r="B18" s="5" t="inlineStr">
        <is>
          <t>1</t>
        </is>
      </c>
      <c r="C18" s="7" t="n">
        <v>46269</v>
      </c>
      <c r="D18" s="5" t="inlineStr">
        <is>
          <t>BARIGUI COSMETICOS LTDA</t>
        </is>
      </c>
      <c r="E18" s="5" t="inlineStr">
        <is>
          <t>36498717000152</t>
        </is>
      </c>
      <c r="F18" s="5" t="inlineStr">
        <is>
          <t>PR</t>
        </is>
      </c>
      <c r="G18" s="5" t="inlineStr">
        <is>
          <t>5902</t>
        </is>
      </c>
      <c r="H18" s="6" t="n">
        <v>182.4</v>
      </c>
      <c r="I18" s="6" t="n">
        <v>0</v>
      </c>
      <c r="J18" s="6" t="n">
        <v>0</v>
      </c>
      <c r="K18" s="6" t="n">
        <v>0</v>
      </c>
      <c r="L18" s="6" t="n">
        <v>0</v>
      </c>
      <c r="M18" s="5" t="inlineStr">
        <is>
          <t>41260933039048000162550010000089581000163007</t>
        </is>
      </c>
    </row>
    <row r="19">
      <c r="A19" s="5" t="n">
        <v>8959</v>
      </c>
      <c r="B19" s="5" t="inlineStr">
        <is>
          <t>1</t>
        </is>
      </c>
      <c r="C19" s="7" t="n">
        <v>46269</v>
      </c>
      <c r="D19" s="5" t="inlineStr">
        <is>
          <t>ONIXSUL COSMETICOS LTDA</t>
        </is>
      </c>
      <c r="E19" s="5" t="inlineStr">
        <is>
          <t>18074269000188</t>
        </is>
      </c>
      <c r="F19" s="5" t="inlineStr">
        <is>
          <t>PR</t>
        </is>
      </c>
      <c r="G19" s="5" t="inlineStr">
        <is>
          <t>5124</t>
        </is>
      </c>
      <c r="H19" s="6" t="n">
        <v>5016</v>
      </c>
      <c r="I19" s="6" t="n">
        <v>5016</v>
      </c>
      <c r="J19" s="6" t="n">
        <v>0</v>
      </c>
      <c r="K19" s="6" t="n">
        <v>0</v>
      </c>
      <c r="L19" s="6" t="n">
        <v>0</v>
      </c>
      <c r="M19" s="5" t="inlineStr">
        <is>
          <t>41260933039048000162550010000089591000156962</t>
        </is>
      </c>
    </row>
    <row r="20">
      <c r="A20" s="5" t="n">
        <v>8960</v>
      </c>
      <c r="B20" s="5" t="inlineStr">
        <is>
          <t>1</t>
        </is>
      </c>
      <c r="C20" s="7" t="n">
        <v>46269</v>
      </c>
      <c r="D20" s="5" t="inlineStr">
        <is>
          <t>ONIXSUL COSMETICOS LTDA</t>
        </is>
      </c>
      <c r="E20" s="5" t="inlineStr">
        <is>
          <t>18074269000188</t>
        </is>
      </c>
      <c r="F20" s="5" t="inlineStr">
        <is>
          <t>PR</t>
        </is>
      </c>
      <c r="G20" s="5" t="inlineStr">
        <is>
          <t>5902</t>
        </is>
      </c>
      <c r="H20" s="6" t="n">
        <v>266.4</v>
      </c>
      <c r="I20" s="6" t="n">
        <v>0</v>
      </c>
      <c r="J20" s="6" t="n">
        <v>0</v>
      </c>
      <c r="K20" s="6" t="n">
        <v>0</v>
      </c>
      <c r="L20" s="6" t="n">
        <v>0</v>
      </c>
      <c r="M20" s="5" t="inlineStr">
        <is>
          <t>41260933039048000162550010000089601000156971</t>
        </is>
      </c>
    </row>
    <row r="21">
      <c r="A21" s="5" t="n">
        <v>8961</v>
      </c>
      <c r="B21" s="5" t="inlineStr">
        <is>
          <t>1</t>
        </is>
      </c>
      <c r="C21" s="7" t="n">
        <v>46273</v>
      </c>
      <c r="D21" s="5" t="inlineStr">
        <is>
          <t>CRISTIANO MARCELO NUNES SCHILLING</t>
        </is>
      </c>
      <c r="E21" s="5" t="inlineStr">
        <is>
          <t>07524816000163</t>
        </is>
      </c>
      <c r="F21" s="5" t="inlineStr">
        <is>
          <t>RS</t>
        </is>
      </c>
      <c r="G21" s="5" t="inlineStr">
        <is>
          <t>6124</t>
        </is>
      </c>
      <c r="H21" s="6" t="n">
        <v>1620</v>
      </c>
      <c r="I21" s="6" t="n">
        <v>1620</v>
      </c>
      <c r="J21" s="6" t="n">
        <v>194.4</v>
      </c>
      <c r="K21" s="6" t="n">
        <v>0</v>
      </c>
      <c r="L21" s="6" t="n">
        <v>0</v>
      </c>
      <c r="M21" s="5" t="inlineStr">
        <is>
          <t>41260933039048000162550010000089611000197772</t>
        </is>
      </c>
    </row>
    <row r="22">
      <c r="A22" s="5" t="n">
        <v>8962</v>
      </c>
      <c r="B22" s="5" t="inlineStr">
        <is>
          <t>1</t>
        </is>
      </c>
      <c r="C22" s="7" t="n">
        <v>46273</v>
      </c>
      <c r="D22" s="5" t="inlineStr">
        <is>
          <t>CRISTIANO MARCELO NUNES SCHILLING</t>
        </is>
      </c>
      <c r="E22" s="5" t="inlineStr">
        <is>
          <t>07524816000163</t>
        </is>
      </c>
      <c r="F22" s="5" t="inlineStr">
        <is>
          <t>RS</t>
        </is>
      </c>
      <c r="G22" s="5" t="inlineStr">
        <is>
          <t>6902</t>
        </is>
      </c>
      <c r="H22" s="6" t="n">
        <v>1805.6</v>
      </c>
      <c r="I22" s="6" t="n">
        <v>0</v>
      </c>
      <c r="J22" s="6" t="n">
        <v>0</v>
      </c>
      <c r="K22" s="6" t="n">
        <v>0</v>
      </c>
      <c r="L22" s="6" t="n">
        <v>0</v>
      </c>
      <c r="M22" s="5" t="inlineStr">
        <is>
          <t>41260933039048000162550010000089621000197788</t>
        </is>
      </c>
    </row>
    <row r="23">
      <c r="A23" s="5" t="n">
        <v>8963</v>
      </c>
      <c r="B23" s="5" t="inlineStr">
        <is>
          <t>1</t>
        </is>
      </c>
      <c r="C23" s="7" t="n">
        <v>46273</v>
      </c>
      <c r="D23" s="5" t="inlineStr">
        <is>
          <t>BB COSMETICOS - EIRELI</t>
        </is>
      </c>
      <c r="E23" s="5" t="inlineStr">
        <is>
          <t>21822008000103</t>
        </is>
      </c>
      <c r="F23" s="5" t="inlineStr">
        <is>
          <t>PR</t>
        </is>
      </c>
      <c r="G23" s="5" t="inlineStr">
        <is>
          <t>5124</t>
        </is>
      </c>
      <c r="H23" s="6" t="n">
        <v>1379.7</v>
      </c>
      <c r="I23" s="6" t="n">
        <v>1379.7</v>
      </c>
      <c r="J23" s="6" t="n">
        <v>0</v>
      </c>
      <c r="K23" s="6" t="n">
        <v>0</v>
      </c>
      <c r="L23" s="6" t="n">
        <v>0</v>
      </c>
      <c r="M23" s="5" t="inlineStr">
        <is>
          <t>41260933039048000162550010000089631000118800</t>
        </is>
      </c>
    </row>
    <row r="24">
      <c r="A24" s="5" t="n">
        <v>8964</v>
      </c>
      <c r="B24" s="5" t="inlineStr">
        <is>
          <t>1</t>
        </is>
      </c>
      <c r="C24" s="7" t="n">
        <v>46273</v>
      </c>
      <c r="D24" s="5" t="inlineStr">
        <is>
          <t>BB COSMETICOS - EIRELI</t>
        </is>
      </c>
      <c r="E24" s="5" t="inlineStr">
        <is>
          <t>21822008000103</t>
        </is>
      </c>
      <c r="F24" s="5" t="inlineStr">
        <is>
          <t>PR</t>
        </is>
      </c>
      <c r="G24" s="5" t="inlineStr">
        <is>
          <t>5902</t>
        </is>
      </c>
      <c r="H24" s="6" t="n">
        <v>417.6</v>
      </c>
      <c r="I24" s="6" t="n">
        <v>0</v>
      </c>
      <c r="J24" s="6" t="n">
        <v>0</v>
      </c>
      <c r="K24" s="6" t="n">
        <v>0</v>
      </c>
      <c r="L24" s="6" t="n">
        <v>0</v>
      </c>
      <c r="M24" s="5" t="inlineStr">
        <is>
          <t>41260933039048000162550010000089641000118815</t>
        </is>
      </c>
    </row>
    <row r="25">
      <c r="A25" s="5" t="n">
        <v>8966</v>
      </c>
      <c r="B25" s="5" t="inlineStr">
        <is>
          <t>1</t>
        </is>
      </c>
      <c r="C25" s="7" t="n">
        <v>46275</v>
      </c>
      <c r="D25" s="5" t="inlineStr">
        <is>
          <t>GULA COSMETICOS LTDA</t>
        </is>
      </c>
      <c r="E25" s="5" t="inlineStr">
        <is>
          <t>30415972000108</t>
        </is>
      </c>
      <c r="F25" s="5" t="inlineStr">
        <is>
          <t>SP</t>
        </is>
      </c>
      <c r="G25" s="5" t="inlineStr">
        <is>
          <t>6102</t>
        </is>
      </c>
      <c r="H25" s="6" t="n">
        <v>667.6799999999999</v>
      </c>
      <c r="I25" s="6" t="n">
        <v>667.6799999999999</v>
      </c>
      <c r="J25" s="6" t="n">
        <v>80.12</v>
      </c>
      <c r="K25" s="6" t="n">
        <v>0</v>
      </c>
      <c r="L25" s="6" t="n">
        <v>0</v>
      </c>
      <c r="M25" s="5" t="inlineStr">
        <is>
          <t>41260933039048000162550010000089661000161928</t>
        </is>
      </c>
    </row>
    <row r="26">
      <c r="A26" s="5" t="n">
        <v>8967</v>
      </c>
      <c r="B26" s="5" t="inlineStr">
        <is>
          <t>1</t>
        </is>
      </c>
      <c r="C26" s="7" t="n">
        <v>46276</v>
      </c>
      <c r="D26" s="5" t="inlineStr">
        <is>
          <t>GULA COSMETICOS LTDA</t>
        </is>
      </c>
      <c r="E26" s="5" t="inlineStr">
        <is>
          <t>30415972000108</t>
        </is>
      </c>
      <c r="F26" s="5" t="inlineStr">
        <is>
          <t>SP</t>
        </is>
      </c>
      <c r="G26" s="5" t="inlineStr">
        <is>
          <t>6102</t>
        </is>
      </c>
      <c r="H26" s="6" t="n">
        <v>370.33</v>
      </c>
      <c r="I26" s="6" t="n">
        <v>370.33</v>
      </c>
      <c r="J26" s="6" t="n">
        <v>44.44</v>
      </c>
      <c r="K26" s="6" t="n">
        <v>46.33</v>
      </c>
      <c r="L26" s="6" t="n">
        <v>0</v>
      </c>
      <c r="M26" s="5" t="inlineStr">
        <is>
          <t>41260933039048000162550010000089671000161933</t>
        </is>
      </c>
    </row>
    <row r="27">
      <c r="A27" s="5" t="n">
        <v>8968</v>
      </c>
      <c r="B27" s="5" t="inlineStr">
        <is>
          <t>1</t>
        </is>
      </c>
      <c r="C27" s="7" t="n">
        <v>46279</v>
      </c>
      <c r="D27" s="5" t="inlineStr">
        <is>
          <t>GULA COSMETICOS LTDA</t>
        </is>
      </c>
      <c r="E27" s="5" t="inlineStr">
        <is>
          <t>30415972000108</t>
        </is>
      </c>
      <c r="F27" s="5" t="inlineStr">
        <is>
          <t>PR</t>
        </is>
      </c>
      <c r="G27" s="5" t="inlineStr">
        <is>
          <t>5101</t>
        </is>
      </c>
      <c r="H27" s="6" t="n">
        <v>157.2</v>
      </c>
      <c r="I27" s="6" t="n">
        <v>157.2</v>
      </c>
      <c r="J27" s="6" t="n">
        <v>30.65</v>
      </c>
      <c r="K27" s="6" t="n">
        <v>0</v>
      </c>
      <c r="L27" s="6" t="n">
        <v>0</v>
      </c>
      <c r="M27" s="5" t="inlineStr">
        <is>
          <t>41260933039048000162550010000089681000161949</t>
        </is>
      </c>
    </row>
    <row r="28">
      <c r="A28" s="5" t="n">
        <v>8969</v>
      </c>
      <c r="B28" s="5" t="inlineStr">
        <is>
          <t>1</t>
        </is>
      </c>
      <c r="C28" s="7" t="n">
        <v>46279</v>
      </c>
      <c r="D28" s="5" t="inlineStr">
        <is>
          <t>GULA COSMETICOS LTDA</t>
        </is>
      </c>
      <c r="E28" s="5" t="inlineStr">
        <is>
          <t>30415972000108</t>
        </is>
      </c>
      <c r="F28" s="5" t="inlineStr">
        <is>
          <t>PR</t>
        </is>
      </c>
      <c r="G28" s="5" t="inlineStr">
        <is>
          <t>5102</t>
        </is>
      </c>
      <c r="H28" s="6" t="n">
        <v>811.99</v>
      </c>
      <c r="I28" s="6" t="n">
        <v>811.99</v>
      </c>
      <c r="J28" s="6" t="n">
        <v>158.33</v>
      </c>
      <c r="K28" s="6" t="n">
        <v>101.59</v>
      </c>
      <c r="L28" s="6" t="n">
        <v>0</v>
      </c>
      <c r="M28" s="5" t="inlineStr">
        <is>
          <t>41260933039048000162550010000089691000161954</t>
        </is>
      </c>
    </row>
    <row r="29">
      <c r="A29" s="5" t="n">
        <v>8970</v>
      </c>
      <c r="B29" s="5" t="inlineStr">
        <is>
          <t>1</t>
        </is>
      </c>
      <c r="C29" s="7" t="n">
        <v>46280</v>
      </c>
      <c r="D29" s="5" t="inlineStr">
        <is>
          <t>CANDIDO COMERCIO DE COSMETICOS - EIRELI</t>
        </is>
      </c>
      <c r="E29" s="5" t="inlineStr">
        <is>
          <t>07159030000194</t>
        </is>
      </c>
      <c r="F29" s="5" t="inlineStr">
        <is>
          <t>PR</t>
        </is>
      </c>
      <c r="G29" s="5" t="inlineStr">
        <is>
          <t>5101</t>
        </is>
      </c>
      <c r="H29" s="6" t="n">
        <v>995.01</v>
      </c>
      <c r="I29" s="6" t="n">
        <v>995.01</v>
      </c>
      <c r="J29" s="6" t="n">
        <v>194.03</v>
      </c>
      <c r="K29" s="6" t="n">
        <v>0</v>
      </c>
      <c r="L29" s="6" t="n">
        <v>0</v>
      </c>
      <c r="M29" s="5" t="inlineStr">
        <is>
          <t>41260933039048000162550010000089701000116445</t>
        </is>
      </c>
    </row>
    <row r="30">
      <c r="A30" s="5" t="n">
        <v>8971</v>
      </c>
      <c r="B30" s="5" t="inlineStr">
        <is>
          <t>1</t>
        </is>
      </c>
      <c r="C30" s="7" t="n">
        <v>46280</v>
      </c>
      <c r="D30" s="5" t="inlineStr">
        <is>
          <t>LUCIANE LORENCATTO - COSMETICOS</t>
        </is>
      </c>
      <c r="E30" s="5" t="inlineStr">
        <is>
          <t>11775521000137</t>
        </is>
      </c>
      <c r="F30" s="5" t="inlineStr">
        <is>
          <t>RS</t>
        </is>
      </c>
      <c r="G30" s="5" t="inlineStr">
        <is>
          <t>6124</t>
        </is>
      </c>
      <c r="H30" s="6" t="n">
        <v>3318</v>
      </c>
      <c r="I30" s="6" t="n">
        <v>3318</v>
      </c>
      <c r="J30" s="6" t="n">
        <v>398.16</v>
      </c>
      <c r="K30" s="6" t="n">
        <v>0</v>
      </c>
      <c r="L30" s="6" t="n">
        <v>0</v>
      </c>
      <c r="M30" s="5" t="inlineStr">
        <is>
          <t>41260933039048000162550010000089711000207812</t>
        </is>
      </c>
    </row>
    <row r="31">
      <c r="A31" s="5" t="n">
        <v>8973</v>
      </c>
      <c r="B31" s="5" t="inlineStr">
        <is>
          <t>1</t>
        </is>
      </c>
      <c r="C31" s="7" t="n">
        <v>46281</v>
      </c>
      <c r="D31" s="5" t="inlineStr">
        <is>
          <t>JORGE LEAO FERREIRA</t>
        </is>
      </c>
      <c r="E31" s="5" t="inlineStr">
        <is>
          <t>04944995000108</t>
        </is>
      </c>
      <c r="F31" s="5" t="inlineStr">
        <is>
          <t>BA</t>
        </is>
      </c>
      <c r="G31" s="5" t="inlineStr">
        <is>
          <t>6124</t>
        </is>
      </c>
      <c r="H31" s="6" t="n">
        <v>4049.52</v>
      </c>
      <c r="I31" s="6" t="n">
        <v>4049.52</v>
      </c>
      <c r="J31" s="6" t="n">
        <v>283.47</v>
      </c>
      <c r="K31" s="6" t="n">
        <v>0</v>
      </c>
      <c r="L31" s="6" t="n">
        <v>0</v>
      </c>
      <c r="M31" s="5" t="inlineStr">
        <is>
          <t>41260933039048000162550010000089731000116625</t>
        </is>
      </c>
    </row>
    <row r="32">
      <c r="A32" s="5" t="n">
        <v>8974</v>
      </c>
      <c r="B32" s="5" t="inlineStr">
        <is>
          <t>1</t>
        </is>
      </c>
      <c r="C32" s="7" t="n">
        <v>46281</v>
      </c>
      <c r="D32" s="5" t="inlineStr">
        <is>
          <t>JORGE LEAO FERREIRA</t>
        </is>
      </c>
      <c r="E32" s="5" t="inlineStr">
        <is>
          <t>04944995000108</t>
        </is>
      </c>
      <c r="F32" s="5" t="inlineStr">
        <is>
          <t>BA</t>
        </is>
      </c>
      <c r="G32" s="5" t="inlineStr">
        <is>
          <t>6902</t>
        </is>
      </c>
      <c r="H32" s="6" t="n">
        <v>299.52</v>
      </c>
      <c r="I32" s="6" t="n">
        <v>0</v>
      </c>
      <c r="J32" s="6" t="n">
        <v>0</v>
      </c>
      <c r="K32" s="6" t="n">
        <v>0</v>
      </c>
      <c r="L32" s="6" t="n">
        <v>0</v>
      </c>
      <c r="M32" s="5" t="inlineStr">
        <is>
          <t>41260933039048000162550010000089741000116630</t>
        </is>
      </c>
    </row>
    <row r="33">
      <c r="A33" s="5" t="n">
        <v>8975</v>
      </c>
      <c r="B33" s="5" t="inlineStr">
        <is>
          <t>1</t>
        </is>
      </c>
      <c r="C33" s="7" t="n">
        <v>46281</v>
      </c>
      <c r="D33" s="5" t="inlineStr">
        <is>
          <t>ESAINT COMERCIO DE COSMETICOS LTDA</t>
        </is>
      </c>
      <c r="E33" s="5" t="inlineStr">
        <is>
          <t>31078693000169</t>
        </is>
      </c>
      <c r="F33" s="5" t="inlineStr">
        <is>
          <t>PR</t>
        </is>
      </c>
      <c r="G33" s="5" t="inlineStr">
        <is>
          <t>5124</t>
        </is>
      </c>
      <c r="H33" s="6" t="n">
        <v>4098</v>
      </c>
      <c r="I33" s="6" t="n">
        <v>4098</v>
      </c>
      <c r="J33" s="6" t="n">
        <v>0</v>
      </c>
      <c r="K33" s="6" t="n">
        <v>0</v>
      </c>
      <c r="L33" s="6" t="n">
        <v>0</v>
      </c>
      <c r="M33" s="5" t="inlineStr">
        <is>
          <t>41260933039048000162550010000089751000191575</t>
        </is>
      </c>
    </row>
    <row r="34">
      <c r="A34" s="5" t="n">
        <v>8976</v>
      </c>
      <c r="B34" s="5" t="inlineStr">
        <is>
          <t>1</t>
        </is>
      </c>
      <c r="C34" s="7" t="n">
        <v>46281</v>
      </c>
      <c r="D34" s="5" t="inlineStr">
        <is>
          <t>ESAINT COMERCIO DE COSMETICOS LTDA</t>
        </is>
      </c>
      <c r="E34" s="5" t="inlineStr">
        <is>
          <t>31078693000169</t>
        </is>
      </c>
      <c r="F34" s="5" t="inlineStr">
        <is>
          <t>PR</t>
        </is>
      </c>
      <c r="G34" s="5" t="inlineStr">
        <is>
          <t>5902</t>
        </is>
      </c>
      <c r="H34" s="6" t="n">
        <v>588</v>
      </c>
      <c r="I34" s="6" t="n">
        <v>0</v>
      </c>
      <c r="J34" s="6" t="n">
        <v>0</v>
      </c>
      <c r="K34" s="6" t="n">
        <v>0</v>
      </c>
      <c r="L34" s="6" t="n">
        <v>0</v>
      </c>
      <c r="M34" s="5" t="inlineStr">
        <is>
          <t>41260933039048000162550010000089761000191580</t>
        </is>
      </c>
    </row>
    <row r="35">
      <c r="A35" s="5" t="n">
        <v>8977</v>
      </c>
      <c r="B35" s="5" t="inlineStr">
        <is>
          <t>1</t>
        </is>
      </c>
      <c r="C35" s="7" t="n">
        <v>46281</v>
      </c>
      <c r="D35" s="5" t="inlineStr">
        <is>
          <t>ESAINT COMERCIO DE COSMETICOS LTDA</t>
        </is>
      </c>
      <c r="E35" s="5" t="inlineStr">
        <is>
          <t>31078693000169</t>
        </is>
      </c>
      <c r="F35" s="5" t="inlineStr">
        <is>
          <t>PR</t>
        </is>
      </c>
      <c r="G35" s="5" t="inlineStr">
        <is>
          <t>5124</t>
        </is>
      </c>
      <c r="H35" s="6" t="n">
        <v>2740</v>
      </c>
      <c r="I35" s="6" t="n">
        <v>2740</v>
      </c>
      <c r="J35" s="6" t="n">
        <v>0</v>
      </c>
      <c r="K35" s="6" t="n">
        <v>0</v>
      </c>
      <c r="L35" s="6" t="n">
        <v>0</v>
      </c>
      <c r="M35" s="5" t="inlineStr">
        <is>
          <t>41260933039048000162550010000089771000191596</t>
        </is>
      </c>
    </row>
    <row r="36">
      <c r="A36" s="5" t="n">
        <v>8978</v>
      </c>
      <c r="B36" s="5" t="inlineStr">
        <is>
          <t>1</t>
        </is>
      </c>
      <c r="C36" s="7" t="n">
        <v>46281</v>
      </c>
      <c r="D36" s="5" t="inlineStr">
        <is>
          <t>GULA COSMETICOS LTDA</t>
        </is>
      </c>
      <c r="E36" s="5" t="inlineStr">
        <is>
          <t>30415972000108</t>
        </is>
      </c>
      <c r="F36" s="5" t="inlineStr">
        <is>
          <t>PR</t>
        </is>
      </c>
      <c r="G36" s="5" t="inlineStr">
        <is>
          <t>5102</t>
        </is>
      </c>
      <c r="H36" s="6" t="n">
        <v>1698.59</v>
      </c>
      <c r="I36" s="6" t="n">
        <v>1698.59</v>
      </c>
      <c r="J36" s="6" t="n">
        <v>331.22</v>
      </c>
      <c r="K36" s="6" t="n">
        <v>212.51</v>
      </c>
      <c r="L36" s="6" t="n">
        <v>0</v>
      </c>
      <c r="M36" s="5" t="inlineStr">
        <is>
          <t>41260933039048000162550010000089781000162046</t>
        </is>
      </c>
    </row>
    <row r="37">
      <c r="A37" s="5" t="n">
        <v>8979</v>
      </c>
      <c r="B37" s="5" t="inlineStr">
        <is>
          <t>1</t>
        </is>
      </c>
      <c r="C37" s="7" t="n">
        <v>46282</v>
      </c>
      <c r="D37" s="5" t="inlineStr">
        <is>
          <t>BARBARA KAROLAINY DE SOUZA SILVA</t>
        </is>
      </c>
      <c r="E37" s="5" t="inlineStr">
        <is>
          <t>68070225000158</t>
        </is>
      </c>
      <c r="F37" s="5" t="inlineStr">
        <is>
          <t>GO</t>
        </is>
      </c>
      <c r="G37" s="5" t="inlineStr">
        <is>
          <t>6124</t>
        </is>
      </c>
      <c r="H37" s="6" t="n">
        <v>4098</v>
      </c>
      <c r="I37" s="6" t="n">
        <v>4098</v>
      </c>
      <c r="J37" s="6" t="n">
        <v>286.86</v>
      </c>
      <c r="K37" s="6" t="n">
        <v>0</v>
      </c>
      <c r="L37" s="6" t="n">
        <v>0</v>
      </c>
      <c r="M37" s="5" t="inlineStr">
        <is>
          <t>41260933039048000162550010000089791000217000</t>
        </is>
      </c>
    </row>
    <row r="38">
      <c r="A38" s="5" t="n">
        <v>8980</v>
      </c>
      <c r="B38" s="5" t="inlineStr">
        <is>
          <t>1</t>
        </is>
      </c>
      <c r="C38" s="7" t="n">
        <v>46282</v>
      </c>
      <c r="D38" s="5" t="inlineStr">
        <is>
          <t>GULA COSMETICOS LTDA</t>
        </is>
      </c>
      <c r="E38" s="5" t="inlineStr">
        <is>
          <t>30415972000108</t>
        </is>
      </c>
      <c r="F38" s="5" t="inlineStr">
        <is>
          <t>PR</t>
        </is>
      </c>
      <c r="G38" s="5" t="inlineStr">
        <is>
          <t>5102</t>
        </is>
      </c>
      <c r="H38" s="6" t="n">
        <v>17771.69</v>
      </c>
      <c r="I38" s="6" t="n">
        <v>17771.69</v>
      </c>
      <c r="J38" s="6" t="n">
        <v>3465.51</v>
      </c>
      <c r="K38" s="6" t="n">
        <v>1453.87</v>
      </c>
      <c r="L38" s="6" t="n">
        <v>0</v>
      </c>
      <c r="M38" s="5" t="inlineStr">
        <is>
          <t>41260933039048000162550010000089801000162060</t>
        </is>
      </c>
    </row>
    <row r="39">
      <c r="A39" s="5" t="n">
        <v>8981</v>
      </c>
      <c r="B39" s="5" t="inlineStr">
        <is>
          <t>1</t>
        </is>
      </c>
      <c r="C39" s="7" t="n">
        <v>46282</v>
      </c>
      <c r="D39" s="5" t="inlineStr">
        <is>
          <t>GULA COSMETICOS LTDA</t>
        </is>
      </c>
      <c r="E39" s="5" t="inlineStr">
        <is>
          <t>30415972000108</t>
        </is>
      </c>
      <c r="F39" s="5" t="inlineStr">
        <is>
          <t>PR</t>
        </is>
      </c>
      <c r="G39" s="5" t="inlineStr">
        <is>
          <t>5102</t>
        </is>
      </c>
      <c r="H39" s="6" t="n">
        <v>1691.57</v>
      </c>
      <c r="I39" s="6" t="n">
        <v>1691.57</v>
      </c>
      <c r="J39" s="6" t="n">
        <v>329.86</v>
      </c>
      <c r="K39" s="6" t="n">
        <v>211.63</v>
      </c>
      <c r="L39" s="6" t="n">
        <v>0</v>
      </c>
      <c r="M39" s="5" t="inlineStr">
        <is>
          <t>41260933039048000162550010000089811000162076</t>
        </is>
      </c>
    </row>
    <row r="40">
      <c r="A40" s="5" t="n">
        <v>8982</v>
      </c>
      <c r="B40" s="5" t="inlineStr">
        <is>
          <t>1</t>
        </is>
      </c>
      <c r="C40" s="7" t="n">
        <v>46283</v>
      </c>
      <c r="D40" s="5" t="inlineStr">
        <is>
          <t>GULA COSMETICOS LTDA</t>
        </is>
      </c>
      <c r="E40" s="5" t="inlineStr">
        <is>
          <t>30415972000108</t>
        </is>
      </c>
      <c r="F40" s="5" t="inlineStr">
        <is>
          <t>PR</t>
        </is>
      </c>
      <c r="G40" s="5" t="inlineStr">
        <is>
          <t>5102</t>
        </is>
      </c>
      <c r="H40" s="6" t="n">
        <v>6901.45</v>
      </c>
      <c r="I40" s="6" t="n">
        <v>6901.45</v>
      </c>
      <c r="J40" s="6" t="n">
        <v>1345.78</v>
      </c>
      <c r="K40" s="6" t="n">
        <v>863.4400000000001</v>
      </c>
      <c r="L40" s="6" t="n">
        <v>0</v>
      </c>
      <c r="M40" s="5" t="inlineStr">
        <is>
          <t>41260933039048000162550010000089821000162081</t>
        </is>
      </c>
    </row>
    <row r="41">
      <c r="A41" s="5" t="n">
        <v>8983</v>
      </c>
      <c r="B41" s="5" t="inlineStr">
        <is>
          <t>1</t>
        </is>
      </c>
      <c r="C41" s="7" t="n">
        <v>46283</v>
      </c>
      <c r="D41" s="5" t="inlineStr">
        <is>
          <t>COSMETICS COMERCIO DE PRODUTOS DE BELEZA LTDA</t>
        </is>
      </c>
      <c r="E41" s="5" t="inlineStr">
        <is>
          <t>11008732000144</t>
        </is>
      </c>
      <c r="F41" s="5" t="inlineStr">
        <is>
          <t>CE</t>
        </is>
      </c>
      <c r="G41" s="5" t="inlineStr">
        <is>
          <t>6124</t>
        </is>
      </c>
      <c r="H41" s="6" t="n">
        <v>967.5</v>
      </c>
      <c r="I41" s="6" t="n">
        <v>967.5</v>
      </c>
      <c r="J41" s="6" t="n">
        <v>67.75</v>
      </c>
      <c r="K41" s="6" t="n">
        <v>0</v>
      </c>
      <c r="L41" s="6" t="n">
        <v>0</v>
      </c>
      <c r="M41" s="5" t="inlineStr">
        <is>
          <t>41260933039048000162550010000089831000120041</t>
        </is>
      </c>
    </row>
    <row r="42">
      <c r="A42" s="5" t="n">
        <v>8984</v>
      </c>
      <c r="B42" s="5" t="inlineStr">
        <is>
          <t>1</t>
        </is>
      </c>
      <c r="C42" s="7" t="n">
        <v>46283</v>
      </c>
      <c r="D42" s="5" t="inlineStr">
        <is>
          <t>COSMETICS COMERCIO DE PRODUTOS DE BELEZA LTDA</t>
        </is>
      </c>
      <c r="E42" s="5" t="inlineStr">
        <is>
          <t>11008732000144</t>
        </is>
      </c>
      <c r="F42" s="5" t="inlineStr">
        <is>
          <t>CE</t>
        </is>
      </c>
      <c r="G42" s="5" t="inlineStr">
        <is>
          <t>6902</t>
        </is>
      </c>
      <c r="H42" s="6" t="n">
        <v>334.8</v>
      </c>
      <c r="I42" s="6" t="n">
        <v>0</v>
      </c>
      <c r="J42" s="6" t="n">
        <v>0</v>
      </c>
      <c r="K42" s="6" t="n">
        <v>0</v>
      </c>
      <c r="L42" s="6" t="n">
        <v>0</v>
      </c>
      <c r="M42" s="5" t="inlineStr">
        <is>
          <t>41260933039048000162550010000089841000120057</t>
        </is>
      </c>
    </row>
    <row r="43">
      <c r="A43" s="5" t="n">
        <v>8985</v>
      </c>
      <c r="B43" s="5" t="inlineStr">
        <is>
          <t>1</t>
        </is>
      </c>
      <c r="C43" s="7" t="n">
        <v>46286</v>
      </c>
      <c r="D43" s="5" t="inlineStr">
        <is>
          <t>R&amp;S COMERCIO DE COSMETICOS LTDA</t>
        </is>
      </c>
      <c r="E43" s="5" t="inlineStr">
        <is>
          <t>17666331000168</t>
        </is>
      </c>
      <c r="F43" s="5" t="inlineStr">
        <is>
          <t>SC</t>
        </is>
      </c>
      <c r="G43" s="5" t="inlineStr">
        <is>
          <t>6124</t>
        </is>
      </c>
      <c r="H43" s="6" t="n">
        <v>402</v>
      </c>
      <c r="I43" s="6" t="n">
        <v>402</v>
      </c>
      <c r="J43" s="6" t="n">
        <v>48.24</v>
      </c>
      <c r="K43" s="6" t="n">
        <v>0</v>
      </c>
      <c r="L43" s="6" t="n">
        <v>0</v>
      </c>
      <c r="M43" s="5" t="inlineStr">
        <is>
          <t>41260933039048000162550010000089851000116375</t>
        </is>
      </c>
    </row>
    <row r="44">
      <c r="A44" s="5" t="n">
        <v>8986</v>
      </c>
      <c r="B44" s="5" t="inlineStr">
        <is>
          <t>1</t>
        </is>
      </c>
      <c r="C44" s="7" t="n">
        <v>46286</v>
      </c>
      <c r="D44" s="5" t="inlineStr">
        <is>
          <t>R&amp;S COMERCIO DE COSMETICOS LTDA</t>
        </is>
      </c>
      <c r="E44" s="5" t="inlineStr">
        <is>
          <t>17666331000168</t>
        </is>
      </c>
      <c r="F44" s="5" t="inlineStr">
        <is>
          <t>SC</t>
        </is>
      </c>
      <c r="G44" s="5" t="inlineStr">
        <is>
          <t>6902</t>
        </is>
      </c>
      <c r="H44" s="6" t="n">
        <v>101.05</v>
      </c>
      <c r="I44" s="6" t="n">
        <v>0</v>
      </c>
      <c r="J44" s="6" t="n">
        <v>0</v>
      </c>
      <c r="K44" s="6" t="n">
        <v>0</v>
      </c>
      <c r="L44" s="6" t="n">
        <v>0</v>
      </c>
      <c r="M44" s="5" t="inlineStr">
        <is>
          <t>41260933039048000162550010000089861000116380</t>
        </is>
      </c>
    </row>
    <row r="45">
      <c r="A45" s="5" t="n">
        <v>8987</v>
      </c>
      <c r="B45" s="5" t="inlineStr">
        <is>
          <t>1</t>
        </is>
      </c>
      <c r="C45" s="7" t="n">
        <v>46286</v>
      </c>
      <c r="D45" s="5" t="inlineStr">
        <is>
          <t>MANFIUS COSMETICOS LTDA.</t>
        </is>
      </c>
      <c r="E45" s="5" t="inlineStr">
        <is>
          <t>09344397000103</t>
        </is>
      </c>
      <c r="F45" s="5" t="inlineStr">
        <is>
          <t>SC</t>
        </is>
      </c>
      <c r="G45" s="5" t="inlineStr">
        <is>
          <t>6124</t>
        </is>
      </c>
      <c r="H45" s="6" t="n">
        <v>1479.27</v>
      </c>
      <c r="I45" s="6" t="n">
        <v>1479.27</v>
      </c>
      <c r="J45" s="6" t="n">
        <v>177.51</v>
      </c>
      <c r="K45" s="6" t="n">
        <v>0</v>
      </c>
      <c r="L45" s="6" t="n">
        <v>0</v>
      </c>
      <c r="M45" s="5" t="inlineStr">
        <is>
          <t>41260933039048000162550010000089871000126294</t>
        </is>
      </c>
    </row>
    <row r="46">
      <c r="A46" s="5" t="n">
        <v>8988</v>
      </c>
      <c r="B46" s="5" t="inlineStr">
        <is>
          <t>1</t>
        </is>
      </c>
      <c r="C46" s="7" t="n">
        <v>46286</v>
      </c>
      <c r="D46" s="5" t="inlineStr">
        <is>
          <t>MANFIUS COSMETICOS LTDA.</t>
        </is>
      </c>
      <c r="E46" s="5" t="inlineStr">
        <is>
          <t>09344397000103</t>
        </is>
      </c>
      <c r="F46" s="5" t="inlineStr">
        <is>
          <t>SC</t>
        </is>
      </c>
      <c r="G46" s="5" t="inlineStr">
        <is>
          <t>6902</t>
        </is>
      </c>
      <c r="H46" s="6" t="n">
        <v>41.76</v>
      </c>
      <c r="I46" s="6" t="n">
        <v>0</v>
      </c>
      <c r="J46" s="6" t="n">
        <v>0</v>
      </c>
      <c r="K46" s="6" t="n">
        <v>0</v>
      </c>
      <c r="L46" s="6" t="n">
        <v>0</v>
      </c>
      <c r="M46" s="5" t="inlineStr">
        <is>
          <t>41260933039048000162550010000089881000126305</t>
        </is>
      </c>
    </row>
    <row r="47">
      <c r="A47" s="5" t="n">
        <v>8989</v>
      </c>
      <c r="B47" s="5" t="inlineStr">
        <is>
          <t>1</t>
        </is>
      </c>
      <c r="C47" s="7" t="n">
        <v>46286</v>
      </c>
      <c r="D47" s="5" t="inlineStr">
        <is>
          <t>MIX PERFUMARIA LTDA</t>
        </is>
      </c>
      <c r="E47" s="5" t="inlineStr">
        <is>
          <t>06237330000181</t>
        </is>
      </c>
      <c r="F47" s="5" t="inlineStr">
        <is>
          <t>PR</t>
        </is>
      </c>
      <c r="G47" s="5" t="inlineStr">
        <is>
          <t>5124</t>
        </is>
      </c>
      <c r="H47" s="6" t="n">
        <v>600</v>
      </c>
      <c r="I47" s="6" t="n">
        <v>0</v>
      </c>
      <c r="J47" s="6" t="n">
        <v>0</v>
      </c>
      <c r="K47" s="6" t="n">
        <v>0</v>
      </c>
      <c r="L47" s="6" t="n">
        <v>0</v>
      </c>
      <c r="M47" s="5" t="inlineStr">
        <is>
          <t>41260933039048000162550010000089891000116358</t>
        </is>
      </c>
    </row>
    <row r="48">
      <c r="A48" s="5" t="n">
        <v>8990</v>
      </c>
      <c r="B48" s="5" t="inlineStr">
        <is>
          <t>1</t>
        </is>
      </c>
      <c r="C48" s="7" t="n">
        <v>46286</v>
      </c>
      <c r="D48" s="5" t="inlineStr">
        <is>
          <t>EKTA INDUSTRIA E COMERCIO LTDA</t>
        </is>
      </c>
      <c r="E48" s="5" t="inlineStr">
        <is>
          <t>17093355000175</t>
        </is>
      </c>
      <c r="F48" s="5" t="inlineStr">
        <is>
          <t>RS</t>
        </is>
      </c>
      <c r="G48" s="5" t="inlineStr">
        <is>
          <t>6124</t>
        </is>
      </c>
      <c r="H48" s="6" t="n">
        <v>1092.89</v>
      </c>
      <c r="I48" s="6" t="n">
        <v>1092.89</v>
      </c>
      <c r="J48" s="6" t="n">
        <v>131.15</v>
      </c>
      <c r="K48" s="6" t="n">
        <v>0</v>
      </c>
      <c r="L48" s="6" t="n">
        <v>0</v>
      </c>
      <c r="M48" s="5" t="inlineStr">
        <is>
          <t>41260933039048000162550010000089901000207184</t>
        </is>
      </c>
    </row>
    <row r="49">
      <c r="A49" s="5" t="n">
        <v>8991</v>
      </c>
      <c r="B49" s="5" t="inlineStr">
        <is>
          <t>1</t>
        </is>
      </c>
      <c r="C49" s="7" t="n">
        <v>46286</v>
      </c>
      <c r="D49" s="5" t="inlineStr">
        <is>
          <t>EKTA INDUSTRIA E COMERCIO LTDA</t>
        </is>
      </c>
      <c r="E49" s="5" t="inlineStr">
        <is>
          <t>17093355000175</t>
        </is>
      </c>
      <c r="F49" s="5" t="inlineStr">
        <is>
          <t>RS</t>
        </is>
      </c>
      <c r="G49" s="5" t="inlineStr">
        <is>
          <t>6902</t>
        </is>
      </c>
      <c r="H49" s="6" t="n">
        <v>32.64</v>
      </c>
      <c r="I49" s="6" t="n">
        <v>0</v>
      </c>
      <c r="J49" s="6" t="n">
        <v>0</v>
      </c>
      <c r="K49" s="6" t="n">
        <v>0</v>
      </c>
      <c r="L49" s="6" t="n">
        <v>0</v>
      </c>
      <c r="M49" s="5" t="inlineStr">
        <is>
          <t>41260933039048000162550010000089911000207190</t>
        </is>
      </c>
    </row>
    <row r="50">
      <c r="A50" s="5" t="n">
        <v>8992</v>
      </c>
      <c r="B50" s="5" t="inlineStr">
        <is>
          <t>1</t>
        </is>
      </c>
      <c r="C50" s="7" t="n">
        <v>46286</v>
      </c>
      <c r="D50" s="5" t="inlineStr">
        <is>
          <t>MIX PERFUMARIA LTDA</t>
        </is>
      </c>
      <c r="E50" s="5" t="inlineStr">
        <is>
          <t>06237330000181</t>
        </is>
      </c>
      <c r="F50" s="5" t="inlineStr">
        <is>
          <t>PR</t>
        </is>
      </c>
      <c r="G50" s="5" t="inlineStr">
        <is>
          <t>5124</t>
        </is>
      </c>
      <c r="H50" s="6" t="n">
        <v>3800</v>
      </c>
      <c r="I50" s="6" t="n">
        <v>3800</v>
      </c>
      <c r="J50" s="6" t="n">
        <v>0</v>
      </c>
      <c r="K50" s="6" t="n">
        <v>0</v>
      </c>
      <c r="L50" s="6" t="n">
        <v>0</v>
      </c>
      <c r="M50" s="5" t="inlineStr">
        <is>
          <t>41260933039048000162550010000089921000116388</t>
        </is>
      </c>
    </row>
    <row r="51">
      <c r="A51" s="5" t="n">
        <v>8993</v>
      </c>
      <c r="B51" s="5" t="inlineStr">
        <is>
          <t>1</t>
        </is>
      </c>
      <c r="C51" s="7" t="n">
        <v>46286</v>
      </c>
      <c r="D51" s="5" t="inlineStr">
        <is>
          <t>MIX PERFUMARIA LTDA</t>
        </is>
      </c>
      <c r="E51" s="5" t="inlineStr">
        <is>
          <t>06237330000181</t>
        </is>
      </c>
      <c r="F51" s="5" t="inlineStr">
        <is>
          <t>PR</t>
        </is>
      </c>
      <c r="G51" s="5" t="inlineStr">
        <is>
          <t>5902</t>
        </is>
      </c>
      <c r="H51" s="6" t="n">
        <v>600</v>
      </c>
      <c r="I51" s="6" t="n">
        <v>0</v>
      </c>
      <c r="J51" s="6" t="n">
        <v>0</v>
      </c>
      <c r="K51" s="6" t="n">
        <v>0</v>
      </c>
      <c r="L51" s="6" t="n">
        <v>0</v>
      </c>
      <c r="M51" s="5" t="inlineStr">
        <is>
          <t>41260933039048000162550010000089931000116393</t>
        </is>
      </c>
    </row>
    <row r="52">
      <c r="A52" s="5" t="n">
        <v>8994</v>
      </c>
      <c r="B52" s="5" t="inlineStr">
        <is>
          <t>1</t>
        </is>
      </c>
      <c r="C52" s="7" t="n">
        <v>46286</v>
      </c>
      <c r="D52" s="5" t="inlineStr">
        <is>
          <t>BELA E CHIC INDUSTRIA E COMERCIO DE COSMETICOS ESPECIAIS LTD</t>
        </is>
      </c>
      <c r="E52" s="5" t="inlineStr">
        <is>
          <t>05268903000171</t>
        </is>
      </c>
      <c r="F52" s="5" t="inlineStr">
        <is>
          <t>RJ</t>
        </is>
      </c>
      <c r="G52" s="5" t="inlineStr">
        <is>
          <t>6124</t>
        </is>
      </c>
      <c r="H52" s="6" t="n">
        <v>1350</v>
      </c>
      <c r="I52" s="6" t="n">
        <v>1350</v>
      </c>
      <c r="J52" s="6" t="n">
        <v>162</v>
      </c>
      <c r="K52" s="6" t="n">
        <v>0</v>
      </c>
      <c r="L52" s="6" t="n">
        <v>0</v>
      </c>
      <c r="M52" s="5" t="inlineStr">
        <is>
          <t>41260933039048000162550010000089941000166452</t>
        </is>
      </c>
    </row>
    <row r="53">
      <c r="A53" s="5" t="n">
        <v>8995</v>
      </c>
      <c r="B53" s="5" t="inlineStr">
        <is>
          <t>1</t>
        </is>
      </c>
      <c r="C53" s="7" t="n">
        <v>46286</v>
      </c>
      <c r="D53" s="5" t="inlineStr">
        <is>
          <t>BELA E CHIC INDUSTRIA E COMERCIO DE COSMETICOS ESPECIAIS LTD</t>
        </is>
      </c>
      <c r="E53" s="5" t="inlineStr">
        <is>
          <t>05268903000171</t>
        </is>
      </c>
      <c r="F53" s="5" t="inlineStr">
        <is>
          <t>RJ</t>
        </is>
      </c>
      <c r="G53" s="5" t="inlineStr">
        <is>
          <t>6902</t>
        </is>
      </c>
      <c r="H53" s="6" t="n">
        <v>73.8</v>
      </c>
      <c r="I53" s="6" t="n">
        <v>0</v>
      </c>
      <c r="J53" s="6" t="n">
        <v>0</v>
      </c>
      <c r="K53" s="6" t="n">
        <v>0</v>
      </c>
      <c r="L53" s="6" t="n">
        <v>0</v>
      </c>
      <c r="M53" s="5" t="inlineStr">
        <is>
          <t>41260933039048000162550010000089951000166468</t>
        </is>
      </c>
    </row>
    <row r="54">
      <c r="A54" s="5" t="n">
        <v>8996</v>
      </c>
      <c r="B54" s="5" t="inlineStr">
        <is>
          <t>1</t>
        </is>
      </c>
      <c r="C54" s="7" t="n">
        <v>46286</v>
      </c>
      <c r="D54" s="5" t="inlineStr">
        <is>
          <t>A F VOLCAO</t>
        </is>
      </c>
      <c r="E54" s="5" t="inlineStr">
        <is>
          <t>08601753000164</t>
        </is>
      </c>
      <c r="F54" s="5" t="inlineStr">
        <is>
          <t>RS</t>
        </is>
      </c>
      <c r="G54" s="5" t="inlineStr">
        <is>
          <t>6124</t>
        </is>
      </c>
      <c r="H54" s="6" t="n">
        <v>2500</v>
      </c>
      <c r="I54" s="6" t="n">
        <v>2500</v>
      </c>
      <c r="J54" s="6" t="n">
        <v>300</v>
      </c>
      <c r="K54" s="6" t="n">
        <v>0</v>
      </c>
      <c r="L54" s="6" t="n">
        <v>0</v>
      </c>
      <c r="M54" s="5" t="inlineStr">
        <is>
          <t>41260933039048000162550010000089961000197247</t>
        </is>
      </c>
    </row>
    <row r="55">
      <c r="A55" s="5" t="n">
        <v>8997</v>
      </c>
      <c r="B55" s="5" t="inlineStr">
        <is>
          <t>1</t>
        </is>
      </c>
      <c r="C55" s="7" t="n">
        <v>46286</v>
      </c>
      <c r="D55" s="5" t="inlineStr">
        <is>
          <t>A F VOLCAO</t>
        </is>
      </c>
      <c r="E55" s="5" t="inlineStr">
        <is>
          <t>08601753000164</t>
        </is>
      </c>
      <c r="F55" s="5" t="inlineStr">
        <is>
          <t>RS</t>
        </is>
      </c>
      <c r="G55" s="5" t="inlineStr">
        <is>
          <t>6902</t>
        </is>
      </c>
      <c r="H55" s="6" t="n">
        <v>252</v>
      </c>
      <c r="I55" s="6" t="n">
        <v>0</v>
      </c>
      <c r="J55" s="6" t="n">
        <v>0</v>
      </c>
      <c r="K55" s="6" t="n">
        <v>0</v>
      </c>
      <c r="L55" s="6" t="n">
        <v>0</v>
      </c>
      <c r="M55" s="5" t="inlineStr">
        <is>
          <t>41260933039048000162550010000089971000197252</t>
        </is>
      </c>
    </row>
    <row r="56">
      <c r="A56" s="5" t="n">
        <v>8998</v>
      </c>
      <c r="B56" s="5" t="inlineStr">
        <is>
          <t>1</t>
        </is>
      </c>
      <c r="C56" s="7" t="n">
        <v>46287</v>
      </c>
      <c r="D56" s="5" t="inlineStr">
        <is>
          <t>TB PRO COSMETICS - DISTRIBUIDORA E EVENTOS LTDA</t>
        </is>
      </c>
      <c r="E56" s="5" t="inlineStr">
        <is>
          <t>14626489000116</t>
        </is>
      </c>
      <c r="F56" s="5" t="inlineStr">
        <is>
          <t>RJ</t>
        </is>
      </c>
      <c r="G56" s="5" t="inlineStr">
        <is>
          <t>6101</t>
        </is>
      </c>
      <c r="H56" s="6" t="n">
        <v>1089</v>
      </c>
      <c r="I56" s="6" t="n">
        <v>1089</v>
      </c>
      <c r="J56" s="6" t="n">
        <v>130.68</v>
      </c>
      <c r="K56" s="6" t="n">
        <v>0</v>
      </c>
      <c r="L56" s="6" t="n">
        <v>0</v>
      </c>
      <c r="M56" s="5" t="inlineStr">
        <is>
          <t>41260933039048000162550010000089981000186398</t>
        </is>
      </c>
    </row>
    <row r="57">
      <c r="A57" s="5" t="n">
        <v>8999</v>
      </c>
      <c r="B57" s="5" t="inlineStr">
        <is>
          <t>1</t>
        </is>
      </c>
      <c r="C57" s="7" t="n">
        <v>46287</v>
      </c>
      <c r="D57" s="5" t="inlineStr">
        <is>
          <t>MIX COSMETICOS LTDA</t>
        </is>
      </c>
      <c r="E57" s="5" t="inlineStr">
        <is>
          <t>27697083000176</t>
        </is>
      </c>
      <c r="F57" s="5" t="inlineStr">
        <is>
          <t>MS</t>
        </is>
      </c>
      <c r="G57" s="5" t="inlineStr">
        <is>
          <t>6124</t>
        </is>
      </c>
      <c r="H57" s="6" t="n">
        <v>948</v>
      </c>
      <c r="I57" s="6" t="n">
        <v>0</v>
      </c>
      <c r="J57" s="6" t="n">
        <v>0</v>
      </c>
      <c r="K57" s="6" t="n">
        <v>0</v>
      </c>
      <c r="L57" s="6" t="n">
        <v>0</v>
      </c>
      <c r="M57" s="5" t="inlineStr">
        <is>
          <t>41260933039048000162550010000089991000116443</t>
        </is>
      </c>
    </row>
    <row r="58">
      <c r="A58" s="5" t="n">
        <v>9000</v>
      </c>
      <c r="B58" s="5" t="inlineStr">
        <is>
          <t>1</t>
        </is>
      </c>
      <c r="C58" s="7" t="n">
        <v>46287</v>
      </c>
      <c r="D58" s="5" t="inlineStr">
        <is>
          <t>MIX PERFUMARIA LTDA</t>
        </is>
      </c>
      <c r="E58" s="5" t="inlineStr">
        <is>
          <t>06237330000181</t>
        </is>
      </c>
      <c r="F58" s="5" t="inlineStr">
        <is>
          <t>PR</t>
        </is>
      </c>
      <c r="G58" s="5" t="inlineStr">
        <is>
          <t>5124</t>
        </is>
      </c>
      <c r="H58" s="6" t="n">
        <v>556.5</v>
      </c>
      <c r="I58" s="6" t="n">
        <v>0</v>
      </c>
      <c r="J58" s="6" t="n">
        <v>0</v>
      </c>
      <c r="K58" s="6" t="n">
        <v>0</v>
      </c>
      <c r="L58" s="6" t="n">
        <v>0</v>
      </c>
      <c r="M58" s="5" t="inlineStr">
        <is>
          <t>41260933039048000162550010000090001000116462</t>
        </is>
      </c>
    </row>
    <row r="59">
      <c r="A59" s="5" t="n">
        <v>9001</v>
      </c>
      <c r="B59" s="5" t="inlineStr">
        <is>
          <t>1</t>
        </is>
      </c>
      <c r="C59" s="7" t="n">
        <v>46287</v>
      </c>
      <c r="D59" s="5" t="inlineStr">
        <is>
          <t>MIX PERFUMARIA LTDA</t>
        </is>
      </c>
      <c r="E59" s="5" t="inlineStr">
        <is>
          <t>06237330000181</t>
        </is>
      </c>
      <c r="F59" s="5" t="inlineStr">
        <is>
          <t>PR</t>
        </is>
      </c>
      <c r="G59" s="5" t="inlineStr">
        <is>
          <t>5124</t>
        </is>
      </c>
      <c r="H59" s="6" t="n">
        <v>3691.45</v>
      </c>
      <c r="I59" s="6" t="n">
        <v>3691.45</v>
      </c>
      <c r="J59" s="6" t="n">
        <v>0</v>
      </c>
      <c r="K59" s="6" t="n">
        <v>0</v>
      </c>
      <c r="L59" s="6" t="n">
        <v>0</v>
      </c>
      <c r="M59" s="5" t="inlineStr">
        <is>
          <t>41260933039048000162550010000090011000116478</t>
        </is>
      </c>
    </row>
    <row r="60">
      <c r="A60" s="5" t="n">
        <v>9002</v>
      </c>
      <c r="B60" s="5" t="inlineStr">
        <is>
          <t>1</t>
        </is>
      </c>
      <c r="C60" s="7" t="n">
        <v>46287</v>
      </c>
      <c r="D60" s="5" t="inlineStr">
        <is>
          <t>MIX PERFUMARIA LTDA</t>
        </is>
      </c>
      <c r="E60" s="5" t="inlineStr">
        <is>
          <t>06237330000181</t>
        </is>
      </c>
      <c r="F60" s="5" t="inlineStr">
        <is>
          <t>PR</t>
        </is>
      </c>
      <c r="G60" s="5" t="inlineStr">
        <is>
          <t>5902</t>
        </is>
      </c>
      <c r="H60" s="6" t="n">
        <v>556.5</v>
      </c>
      <c r="I60" s="6" t="n">
        <v>0</v>
      </c>
      <c r="J60" s="6" t="n">
        <v>0</v>
      </c>
      <c r="K60" s="6" t="n">
        <v>0</v>
      </c>
      <c r="L60" s="6" t="n">
        <v>0</v>
      </c>
      <c r="M60" s="5" t="inlineStr">
        <is>
          <t>41260933039048000162550010000090021000116483</t>
        </is>
      </c>
    </row>
    <row r="61">
      <c r="A61" s="5" t="n">
        <v>9003</v>
      </c>
      <c r="B61" s="5" t="inlineStr">
        <is>
          <t>1</t>
        </is>
      </c>
      <c r="C61" s="7" t="n">
        <v>46288</v>
      </c>
      <c r="D61" s="5" t="inlineStr">
        <is>
          <t>GULA COSMETICOS LTDA</t>
        </is>
      </c>
      <c r="E61" s="5" t="inlineStr">
        <is>
          <t>30415972000108</t>
        </is>
      </c>
      <c r="F61" s="5" t="inlineStr">
        <is>
          <t>PR</t>
        </is>
      </c>
      <c r="G61" s="5" t="inlineStr">
        <is>
          <t>5102</t>
        </is>
      </c>
      <c r="H61" s="6" t="n">
        <v>156.77</v>
      </c>
      <c r="I61" s="6" t="n">
        <v>156.77</v>
      </c>
      <c r="J61" s="6" t="n">
        <v>30.57</v>
      </c>
      <c r="K61" s="6" t="n">
        <v>19.61</v>
      </c>
      <c r="L61" s="6" t="n">
        <v>0</v>
      </c>
      <c r="M61" s="5" t="inlineStr">
        <is>
          <t>41260933039048000162550010000090031000162296</t>
        </is>
      </c>
    </row>
    <row r="62">
      <c r="A62" s="5" t="n">
        <v>9004</v>
      </c>
      <c r="B62" s="5" t="inlineStr">
        <is>
          <t>1</t>
        </is>
      </c>
      <c r="C62" s="7" t="n">
        <v>46288</v>
      </c>
      <c r="D62" s="5" t="inlineStr">
        <is>
          <t>MIX COSMETICOS LTDA</t>
        </is>
      </c>
      <c r="E62" s="5" t="inlineStr">
        <is>
          <t>27697083000176</t>
        </is>
      </c>
      <c r="F62" s="5" t="inlineStr">
        <is>
          <t>MS</t>
        </is>
      </c>
      <c r="G62" s="5" t="inlineStr">
        <is>
          <t>6124</t>
        </is>
      </c>
      <c r="H62" s="6" t="n">
        <v>6288.4</v>
      </c>
      <c r="I62" s="6" t="n">
        <v>6288.4</v>
      </c>
      <c r="J62" s="6" t="n">
        <v>440.19</v>
      </c>
      <c r="K62" s="6" t="n">
        <v>0</v>
      </c>
      <c r="L62" s="6" t="n">
        <v>0</v>
      </c>
      <c r="M62" s="5" t="inlineStr">
        <is>
          <t>41260933039048000162550010000090041000116496</t>
        </is>
      </c>
    </row>
    <row r="63">
      <c r="A63" s="5" t="n">
        <v>9005</v>
      </c>
      <c r="B63" s="5" t="inlineStr">
        <is>
          <t>1</t>
        </is>
      </c>
      <c r="C63" s="7" t="n">
        <v>46288</v>
      </c>
      <c r="D63" s="5" t="inlineStr">
        <is>
          <t>MIX COSMETICOS LTDA</t>
        </is>
      </c>
      <c r="E63" s="5" t="inlineStr">
        <is>
          <t>27697083000176</t>
        </is>
      </c>
      <c r="F63" s="5" t="inlineStr">
        <is>
          <t>MS</t>
        </is>
      </c>
      <c r="G63" s="5" t="inlineStr">
        <is>
          <t>6902</t>
        </is>
      </c>
      <c r="H63" s="6" t="n">
        <v>948</v>
      </c>
      <c r="I63" s="6" t="n">
        <v>0</v>
      </c>
      <c r="J63" s="6" t="n">
        <v>0</v>
      </c>
      <c r="K63" s="6" t="n">
        <v>0</v>
      </c>
      <c r="L63" s="6" t="n">
        <v>0</v>
      </c>
      <c r="M63" s="5" t="inlineStr">
        <is>
          <t>41260933039048000162550010000090051000116507</t>
        </is>
      </c>
    </row>
    <row r="64">
      <c r="A64" s="5" t="n">
        <v>9006</v>
      </c>
      <c r="B64" s="5" t="inlineStr">
        <is>
          <t>1</t>
        </is>
      </c>
      <c r="C64" s="7" t="n">
        <v>46288</v>
      </c>
      <c r="D64" s="5" t="inlineStr">
        <is>
          <t>GULA COSMETICOS LTDA</t>
        </is>
      </c>
      <c r="E64" s="5" t="inlineStr">
        <is>
          <t>30415972000108</t>
        </is>
      </c>
      <c r="F64" s="5" t="inlineStr">
        <is>
          <t>PR</t>
        </is>
      </c>
      <c r="G64" s="5" t="inlineStr">
        <is>
          <t>5102</t>
        </is>
      </c>
      <c r="H64" s="6" t="n">
        <v>302.73</v>
      </c>
      <c r="I64" s="6" t="n">
        <v>302.73</v>
      </c>
      <c r="J64" s="6" t="n">
        <v>59.03</v>
      </c>
      <c r="K64" s="6" t="n">
        <v>37.87</v>
      </c>
      <c r="L64" s="6" t="n">
        <v>0</v>
      </c>
      <c r="M64" s="5" t="inlineStr">
        <is>
          <t>41260933039048000162550010000090061000162328</t>
        </is>
      </c>
    </row>
    <row r="65">
      <c r="A65" s="5" t="n">
        <v>9007</v>
      </c>
      <c r="B65" s="5" t="inlineStr">
        <is>
          <t>1</t>
        </is>
      </c>
      <c r="C65" s="7" t="n">
        <v>46288</v>
      </c>
      <c r="D65" s="5" t="inlineStr">
        <is>
          <t>SHED PROFESSIONAL LTDA</t>
        </is>
      </c>
      <c r="E65" s="5" t="inlineStr">
        <is>
          <t>32232914000174</t>
        </is>
      </c>
      <c r="F65" s="5" t="inlineStr">
        <is>
          <t>PR</t>
        </is>
      </c>
      <c r="G65" s="5" t="inlineStr">
        <is>
          <t>5124</t>
        </is>
      </c>
      <c r="H65" s="6" t="n">
        <v>1422</v>
      </c>
      <c r="I65" s="6" t="n">
        <v>1422</v>
      </c>
      <c r="J65" s="6" t="n">
        <v>0</v>
      </c>
      <c r="K65" s="6" t="n">
        <v>0</v>
      </c>
      <c r="L65" s="6" t="n">
        <v>0</v>
      </c>
      <c r="M65" s="5" t="inlineStr">
        <is>
          <t>41260933039048000162550010000090071000170263</t>
        </is>
      </c>
    </row>
    <row r="66">
      <c r="A66" s="5" t="n">
        <v>9008</v>
      </c>
      <c r="B66" s="5" t="inlineStr">
        <is>
          <t>1</t>
        </is>
      </c>
      <c r="C66" s="7" t="n">
        <v>46288</v>
      </c>
      <c r="D66" s="5" t="inlineStr">
        <is>
          <t>SHED PROFESSIONAL LTDA</t>
        </is>
      </c>
      <c r="E66" s="5" t="inlineStr">
        <is>
          <t>32232914000174</t>
        </is>
      </c>
      <c r="F66" s="5" t="inlineStr">
        <is>
          <t>PR</t>
        </is>
      </c>
      <c r="G66" s="5" t="inlineStr">
        <is>
          <t>5902</t>
        </is>
      </c>
      <c r="H66" s="6" t="n">
        <v>149.4</v>
      </c>
      <c r="I66" s="6" t="n">
        <v>0</v>
      </c>
      <c r="J66" s="6" t="n">
        <v>0</v>
      </c>
      <c r="K66" s="6" t="n">
        <v>0</v>
      </c>
      <c r="L66" s="6" t="n">
        <v>0</v>
      </c>
      <c r="M66" s="5" t="inlineStr">
        <is>
          <t>41260933039048000162550010000090081000170279</t>
        </is>
      </c>
    </row>
    <row r="67">
      <c r="A67" s="5" t="n">
        <v>9009</v>
      </c>
      <c r="B67" s="5" t="inlineStr">
        <is>
          <t>1</t>
        </is>
      </c>
      <c r="C67" s="7" t="n">
        <v>46288</v>
      </c>
      <c r="D67" s="5" t="inlineStr">
        <is>
          <t>GULA COSMETICOS LTDA</t>
        </is>
      </c>
      <c r="E67" s="5" t="inlineStr">
        <is>
          <t>30415972000108</t>
        </is>
      </c>
      <c r="F67" s="5" t="inlineStr">
        <is>
          <t>PR</t>
        </is>
      </c>
      <c r="G67" s="5" t="inlineStr">
        <is>
          <t>5102</t>
        </is>
      </c>
      <c r="H67" s="6" t="n">
        <v>1529.47</v>
      </c>
      <c r="I67" s="6" t="n">
        <v>1529.47</v>
      </c>
      <c r="J67" s="6" t="n">
        <v>298.24</v>
      </c>
      <c r="K67" s="6" t="n">
        <v>191.35</v>
      </c>
      <c r="L67" s="6" t="n">
        <v>0</v>
      </c>
      <c r="M67" s="5" t="inlineStr">
        <is>
          <t>41260933039048000162550010000090091000162354</t>
        </is>
      </c>
    </row>
    <row r="68">
      <c r="A68" s="5" t="n">
        <v>9010</v>
      </c>
      <c r="B68" s="5" t="inlineStr">
        <is>
          <t>1</t>
        </is>
      </c>
      <c r="C68" s="7" t="n">
        <v>46289</v>
      </c>
      <c r="D68" s="5" t="inlineStr">
        <is>
          <t>MURANO INDUSTRIA E COMERCIO DE COSMETICOS LTDA</t>
        </is>
      </c>
      <c r="E68" s="5" t="inlineStr">
        <is>
          <t>55278288000152</t>
        </is>
      </c>
      <c r="F68" s="5" t="inlineStr">
        <is>
          <t>CE</t>
        </is>
      </c>
      <c r="G68" s="5" t="inlineStr">
        <is>
          <t>6124</t>
        </is>
      </c>
      <c r="H68" s="6" t="n">
        <v>10871.57</v>
      </c>
      <c r="I68" s="6" t="n">
        <v>10871.57</v>
      </c>
      <c r="J68" s="6" t="n">
        <v>761.0599999999999</v>
      </c>
      <c r="K68" s="6" t="n">
        <v>0</v>
      </c>
      <c r="L68" s="6" t="n">
        <v>0</v>
      </c>
      <c r="M68" s="5" t="inlineStr">
        <is>
          <t>41260933039048000162550010000090101000217818</t>
        </is>
      </c>
    </row>
    <row r="69">
      <c r="A69" s="5" t="n">
        <v>9011</v>
      </c>
      <c r="B69" s="5" t="inlineStr">
        <is>
          <t>1</t>
        </is>
      </c>
      <c r="C69" s="7" t="n">
        <v>46289</v>
      </c>
      <c r="D69" s="5" t="inlineStr">
        <is>
          <t>GULA COSMETICOS LTDA</t>
        </is>
      </c>
      <c r="E69" s="5" t="inlineStr">
        <is>
          <t>30415972000108</t>
        </is>
      </c>
      <c r="F69" s="5" t="inlineStr">
        <is>
          <t>PR</t>
        </is>
      </c>
      <c r="G69" s="5" t="inlineStr">
        <is>
          <t>5101</t>
        </is>
      </c>
      <c r="H69" s="6" t="n">
        <v>240</v>
      </c>
      <c r="I69" s="6" t="n">
        <v>240</v>
      </c>
      <c r="J69" s="6" t="n">
        <v>46.8</v>
      </c>
      <c r="K69" s="6" t="n">
        <v>0</v>
      </c>
      <c r="L69" s="6" t="n">
        <v>0</v>
      </c>
      <c r="M69" s="5" t="inlineStr">
        <is>
          <t>41260933039048000162550010000090111000162379</t>
        </is>
      </c>
    </row>
    <row r="70">
      <c r="A70" s="5" t="n">
        <v>9012</v>
      </c>
      <c r="B70" s="5" t="inlineStr">
        <is>
          <t>1</t>
        </is>
      </c>
      <c r="C70" s="7" t="n">
        <v>46289</v>
      </c>
      <c r="D70" s="5" t="inlineStr">
        <is>
          <t>MURANO INDUSTRIA E COMERCIO DE COSMETICOS LTDA</t>
        </is>
      </c>
      <c r="E70" s="5" t="inlineStr">
        <is>
          <t>55278288000152</t>
        </is>
      </c>
      <c r="F70" s="5" t="inlineStr">
        <is>
          <t>CE</t>
        </is>
      </c>
      <c r="G70" s="5" t="inlineStr">
        <is>
          <t>6902</t>
        </is>
      </c>
      <c r="H70" s="6" t="n">
        <v>982.8</v>
      </c>
      <c r="I70" s="6" t="n">
        <v>0</v>
      </c>
      <c r="J70" s="6" t="n">
        <v>0</v>
      </c>
      <c r="K70" s="6" t="n">
        <v>0</v>
      </c>
      <c r="L70" s="6" t="n">
        <v>0</v>
      </c>
      <c r="M70" s="5" t="inlineStr">
        <is>
          <t>41260933039048000162550010000090121000217839</t>
        </is>
      </c>
    </row>
    <row r="71">
      <c r="A71" s="5" t="n">
        <v>9013</v>
      </c>
      <c r="B71" s="5" t="inlineStr">
        <is>
          <t>1</t>
        </is>
      </c>
      <c r="C71" s="7" t="n">
        <v>46293</v>
      </c>
      <c r="D71" s="5" t="inlineStr">
        <is>
          <t>GULA COSMETICOS LTDA</t>
        </is>
      </c>
      <c r="E71" s="5" t="inlineStr">
        <is>
          <t>30415972000108</t>
        </is>
      </c>
      <c r="F71" s="5" t="inlineStr">
        <is>
          <t>PR</t>
        </is>
      </c>
      <c r="G71" s="5" t="inlineStr">
        <is>
          <t>5102</t>
        </is>
      </c>
      <c r="H71" s="6" t="n">
        <v>618.45</v>
      </c>
      <c r="I71" s="6" t="n">
        <v>618.45</v>
      </c>
      <c r="J71" s="6" t="n">
        <v>120.6</v>
      </c>
      <c r="K71" s="6" t="n">
        <v>77.37</v>
      </c>
      <c r="L71" s="6" t="n">
        <v>0</v>
      </c>
      <c r="M71" s="5" t="inlineStr">
        <is>
          <t>41260933039048000162550010000090131000162390</t>
        </is>
      </c>
    </row>
    <row r="72">
      <c r="A72" s="5" t="n">
        <v>9014</v>
      </c>
      <c r="B72" s="5" t="inlineStr">
        <is>
          <t>1</t>
        </is>
      </c>
      <c r="C72" s="7" t="n">
        <v>46293</v>
      </c>
      <c r="D72" s="5" t="inlineStr">
        <is>
          <t>GULA COSMETICOS LTDA</t>
        </is>
      </c>
      <c r="E72" s="5" t="inlineStr">
        <is>
          <t>30415972000108</t>
        </is>
      </c>
      <c r="F72" s="5" t="inlineStr">
        <is>
          <t>PR</t>
        </is>
      </c>
      <c r="G72" s="5" t="inlineStr">
        <is>
          <t>5102</t>
        </is>
      </c>
      <c r="H72" s="6" t="n">
        <v>148.13</v>
      </c>
      <c r="I72" s="6" t="n">
        <v>148.13</v>
      </c>
      <c r="J72" s="6" t="n">
        <v>28.89</v>
      </c>
      <c r="K72" s="6" t="n">
        <v>18.53</v>
      </c>
      <c r="L72" s="6" t="n">
        <v>0</v>
      </c>
      <c r="M72" s="5" t="inlineStr">
        <is>
          <t>41260933039048000162550010000090141000162400</t>
        </is>
      </c>
    </row>
    <row r="73">
      <c r="A73" s="5" t="n">
        <v>9015</v>
      </c>
      <c r="B73" s="5" t="inlineStr">
        <is>
          <t>1</t>
        </is>
      </c>
      <c r="C73" s="7" t="n">
        <v>46293</v>
      </c>
      <c r="D73" s="5" t="inlineStr">
        <is>
          <t>FABIANO RODRIGUES AMARAL</t>
        </is>
      </c>
      <c r="E73" s="5" t="inlineStr">
        <is>
          <t>31778342000160</t>
        </is>
      </c>
      <c r="F73" s="5" t="inlineStr">
        <is>
          <t>RS</t>
        </is>
      </c>
      <c r="G73" s="5" t="inlineStr">
        <is>
          <t>6101</t>
        </is>
      </c>
      <c r="H73" s="6" t="n">
        <v>852</v>
      </c>
      <c r="I73" s="6" t="n">
        <v>852</v>
      </c>
      <c r="J73" s="6" t="n">
        <v>102.24</v>
      </c>
      <c r="K73" s="6" t="n">
        <v>0</v>
      </c>
      <c r="L73" s="6" t="n">
        <v>0</v>
      </c>
      <c r="M73" s="5" t="inlineStr">
        <is>
          <t>41260933039048000162550010000090151000189365</t>
        </is>
      </c>
    </row>
    <row r="74">
      <c r="A74" s="5" t="n">
        <v>9016</v>
      </c>
      <c r="B74" s="5" t="inlineStr">
        <is>
          <t>1</t>
        </is>
      </c>
      <c r="C74" s="7" t="n">
        <v>46293</v>
      </c>
      <c r="D74" s="5" t="inlineStr">
        <is>
          <t>LUAN PATRICK LORANDI 02301366057</t>
        </is>
      </c>
      <c r="E74" s="5" t="inlineStr">
        <is>
          <t>31604155000160</t>
        </is>
      </c>
      <c r="F74" s="5" t="inlineStr">
        <is>
          <t>RS</t>
        </is>
      </c>
      <c r="G74" s="5" t="inlineStr">
        <is>
          <t>6124</t>
        </is>
      </c>
      <c r="H74" s="6" t="n">
        <v>6727</v>
      </c>
      <c r="I74" s="6" t="n">
        <v>6727</v>
      </c>
      <c r="J74" s="6" t="n">
        <v>807.24</v>
      </c>
      <c r="K74" s="6" t="n">
        <v>0</v>
      </c>
      <c r="L74" s="6" t="n">
        <v>0</v>
      </c>
      <c r="M74" s="5" t="inlineStr">
        <is>
          <t>41260933039048000162550010000090161000163304</t>
        </is>
      </c>
    </row>
    <row r="75">
      <c r="A75" s="5" t="n">
        <v>9017</v>
      </c>
      <c r="B75" s="5" t="inlineStr">
        <is>
          <t>1</t>
        </is>
      </c>
      <c r="C75" s="7" t="n">
        <v>46293</v>
      </c>
      <c r="D75" s="5" t="inlineStr">
        <is>
          <t>LUAN PATRICK LORANDI 02301366057</t>
        </is>
      </c>
      <c r="E75" s="5" t="inlineStr">
        <is>
          <t>31604155000160</t>
        </is>
      </c>
      <c r="F75" s="5" t="inlineStr">
        <is>
          <t>RS</t>
        </is>
      </c>
      <c r="G75" s="5" t="inlineStr">
        <is>
          <t>6902</t>
        </is>
      </c>
      <c r="H75" s="6" t="n">
        <v>547.2</v>
      </c>
      <c r="I75" s="6" t="n">
        <v>0</v>
      </c>
      <c r="J75" s="6" t="n">
        <v>0</v>
      </c>
      <c r="K75" s="6" t="n">
        <v>0</v>
      </c>
      <c r="L75" s="6" t="n">
        <v>0</v>
      </c>
      <c r="M75" s="5" t="inlineStr">
        <is>
          <t>41260933039048000162550010000090171000163310</t>
        </is>
      </c>
    </row>
    <row r="76">
      <c r="A76" s="5" t="n">
        <v>9018</v>
      </c>
      <c r="B76" s="5" t="inlineStr">
        <is>
          <t>1</t>
        </is>
      </c>
      <c r="C76" s="7" t="n">
        <v>46294</v>
      </c>
      <c r="D76" s="5" t="inlineStr">
        <is>
          <t>GULA COSMETICOS LTDA</t>
        </is>
      </c>
      <c r="E76" s="5" t="inlineStr">
        <is>
          <t>30415972000108</t>
        </is>
      </c>
      <c r="F76" s="5" t="inlineStr">
        <is>
          <t>PR</t>
        </is>
      </c>
      <c r="G76" s="5" t="inlineStr">
        <is>
          <t>5102</t>
        </is>
      </c>
      <c r="H76" s="6" t="n">
        <v>139.49</v>
      </c>
      <c r="I76" s="6" t="n">
        <v>139.49</v>
      </c>
      <c r="J76" s="6" t="n">
        <v>27.2</v>
      </c>
      <c r="K76" s="6" t="n">
        <v>17.45</v>
      </c>
      <c r="L76" s="6" t="n">
        <v>0</v>
      </c>
      <c r="M76" s="5" t="inlineStr">
        <is>
          <t>41260933039048000162550010000090181000162442</t>
        </is>
      </c>
    </row>
    <row r="77">
      <c r="A77" s="5" t="n">
        <v>9019</v>
      </c>
      <c r="B77" s="5" t="inlineStr">
        <is>
          <t>1</t>
        </is>
      </c>
      <c r="C77" s="7" t="n">
        <v>46294</v>
      </c>
      <c r="D77" s="5" t="inlineStr">
        <is>
          <t>GULA COSMETICOS LTDA</t>
        </is>
      </c>
      <c r="E77" s="5" t="inlineStr">
        <is>
          <t>30415972000108</t>
        </is>
      </c>
      <c r="F77" s="5" t="inlineStr">
        <is>
          <t>PR</t>
        </is>
      </c>
      <c r="G77" s="5" t="inlineStr">
        <is>
          <t>5102</t>
        </is>
      </c>
      <c r="H77" s="6" t="n">
        <v>6020.39</v>
      </c>
      <c r="I77" s="6" t="n">
        <v>6020.39</v>
      </c>
      <c r="J77" s="6" t="n">
        <v>1173.93</v>
      </c>
      <c r="K77" s="6" t="n">
        <v>753.23</v>
      </c>
      <c r="L77" s="6" t="n">
        <v>0</v>
      </c>
      <c r="M77" s="5" t="inlineStr">
        <is>
          <t>41260933039048000162550010000090191000162458</t>
        </is>
      </c>
    </row>
    <row r="78">
      <c r="A78" s="5" t="n">
        <v>9020</v>
      </c>
      <c r="B78" s="5" t="inlineStr">
        <is>
          <t>1</t>
        </is>
      </c>
      <c r="C78" s="7" t="n">
        <v>46294</v>
      </c>
      <c r="D78" s="5" t="inlineStr">
        <is>
          <t>MIX COSMETICOS LTDA</t>
        </is>
      </c>
      <c r="E78" s="5" t="inlineStr">
        <is>
          <t>27697083000176</t>
        </is>
      </c>
      <c r="F78" s="5" t="inlineStr">
        <is>
          <t>MS</t>
        </is>
      </c>
      <c r="G78" s="5" t="inlineStr">
        <is>
          <t>6124</t>
        </is>
      </c>
      <c r="H78" s="6" t="n">
        <v>600</v>
      </c>
      <c r="I78" s="6" t="n">
        <v>0</v>
      </c>
      <c r="J78" s="6" t="n">
        <v>0</v>
      </c>
      <c r="K78" s="6" t="n">
        <v>0</v>
      </c>
      <c r="L78" s="6" t="n">
        <v>0</v>
      </c>
      <c r="M78" s="5" t="inlineStr">
        <is>
          <t>41260933039048000162550010000090201000116651</t>
        </is>
      </c>
    </row>
    <row r="79">
      <c r="A79" s="5" t="n">
        <v>9021</v>
      </c>
      <c r="B79" s="5" t="inlineStr">
        <is>
          <t>1</t>
        </is>
      </c>
      <c r="C79" s="7" t="n">
        <v>46294</v>
      </c>
      <c r="D79" s="5" t="inlineStr">
        <is>
          <t>MIX PERFUMARIA LTDA</t>
        </is>
      </c>
      <c r="E79" s="5" t="inlineStr">
        <is>
          <t>06237330000181</t>
        </is>
      </c>
      <c r="F79" s="5" t="inlineStr">
        <is>
          <t>PR</t>
        </is>
      </c>
      <c r="G79" s="5" t="inlineStr">
        <is>
          <t>5124</t>
        </is>
      </c>
      <c r="H79" s="6" t="n">
        <v>300</v>
      </c>
      <c r="I79" s="6" t="n">
        <v>0</v>
      </c>
      <c r="J79" s="6" t="n">
        <v>0</v>
      </c>
      <c r="K79" s="6" t="n">
        <v>0</v>
      </c>
      <c r="L79" s="6" t="n">
        <v>0</v>
      </c>
      <c r="M79" s="5" t="inlineStr">
        <is>
          <t>41260933039048000162550010000090211000116675</t>
        </is>
      </c>
    </row>
    <row r="80">
      <c r="A80" s="5" t="n">
        <v>9022</v>
      </c>
      <c r="B80" s="5" t="inlineStr">
        <is>
          <t>1</t>
        </is>
      </c>
      <c r="C80" s="7" t="n">
        <v>46294</v>
      </c>
      <c r="D80" s="5" t="inlineStr">
        <is>
          <t>ESAINT COMERCIO DE COSMETICOS LTDA</t>
        </is>
      </c>
      <c r="E80" s="5" t="inlineStr">
        <is>
          <t>31078693000169</t>
        </is>
      </c>
      <c r="F80" s="5" t="inlineStr">
        <is>
          <t>PR</t>
        </is>
      </c>
      <c r="G80" s="5" t="inlineStr">
        <is>
          <t>5101</t>
        </is>
      </c>
      <c r="H80" s="6" t="n">
        <v>3288</v>
      </c>
      <c r="I80" s="6" t="n">
        <v>3288</v>
      </c>
      <c r="J80" s="6" t="n">
        <v>641.16</v>
      </c>
      <c r="K80" s="6" t="n">
        <v>0</v>
      </c>
      <c r="L80" s="6" t="n">
        <v>0</v>
      </c>
      <c r="M80" s="5" t="inlineStr">
        <is>
          <t>41260933039048000162550010000090221000192042</t>
        </is>
      </c>
    </row>
    <row r="81">
      <c r="A81" s="5" t="n">
        <v>9023</v>
      </c>
      <c r="B81" s="5" t="inlineStr">
        <is>
          <t>1</t>
        </is>
      </c>
      <c r="C81" s="7" t="n">
        <v>46294</v>
      </c>
      <c r="D81" s="5" t="inlineStr">
        <is>
          <t>MIX PERFUMARIA LTDA</t>
        </is>
      </c>
      <c r="E81" s="5" t="inlineStr">
        <is>
          <t>06237330000181</t>
        </is>
      </c>
      <c r="F81" s="5" t="inlineStr">
        <is>
          <t>PR</t>
        </is>
      </c>
      <c r="G81" s="5" t="inlineStr">
        <is>
          <t>5124</t>
        </is>
      </c>
      <c r="H81" s="6" t="n">
        <v>1900</v>
      </c>
      <c r="I81" s="6" t="n">
        <v>1900</v>
      </c>
      <c r="J81" s="6" t="n">
        <v>0</v>
      </c>
      <c r="K81" s="6" t="n">
        <v>0</v>
      </c>
      <c r="L81" s="6" t="n">
        <v>0</v>
      </c>
      <c r="M81" s="5" t="inlineStr">
        <is>
          <t>41260933039048000162550010000090231000116696</t>
        </is>
      </c>
    </row>
    <row r="82">
      <c r="A82" s="5" t="n">
        <v>9024</v>
      </c>
      <c r="B82" s="5" t="inlineStr">
        <is>
          <t>1</t>
        </is>
      </c>
      <c r="C82" s="7" t="n">
        <v>46294</v>
      </c>
      <c r="D82" s="5" t="inlineStr">
        <is>
          <t>MIX PERFUMARIA LTDA</t>
        </is>
      </c>
      <c r="E82" s="5" t="inlineStr">
        <is>
          <t>06237330000181</t>
        </is>
      </c>
      <c r="F82" s="5" t="inlineStr">
        <is>
          <t>PR</t>
        </is>
      </c>
      <c r="G82" s="5" t="inlineStr">
        <is>
          <t>5902</t>
        </is>
      </c>
      <c r="H82" s="6" t="n">
        <v>300</v>
      </c>
      <c r="I82" s="6" t="n">
        <v>0</v>
      </c>
      <c r="J82" s="6" t="n">
        <v>0</v>
      </c>
      <c r="K82" s="6" t="n">
        <v>0</v>
      </c>
      <c r="L82" s="6" t="n">
        <v>0</v>
      </c>
      <c r="M82" s="5" t="inlineStr">
        <is>
          <t>41260933039048000162550010000090241000116707</t>
        </is>
      </c>
    </row>
    <row r="83">
      <c r="A83" s="5" t="n">
        <v>9025</v>
      </c>
      <c r="B83" s="5" t="inlineStr">
        <is>
          <t>1</t>
        </is>
      </c>
      <c r="C83" s="7" t="n">
        <v>46294</v>
      </c>
      <c r="D83" s="5" t="inlineStr">
        <is>
          <t>MIX COSMETICOS LTDA</t>
        </is>
      </c>
      <c r="E83" s="5" t="inlineStr">
        <is>
          <t>27697083000176</t>
        </is>
      </c>
      <c r="F83" s="5" t="inlineStr">
        <is>
          <t>MS</t>
        </is>
      </c>
      <c r="G83" s="5" t="inlineStr">
        <is>
          <t>6124</t>
        </is>
      </c>
      <c r="H83" s="6" t="n">
        <v>3980</v>
      </c>
      <c r="I83" s="6" t="n">
        <v>3980</v>
      </c>
      <c r="J83" s="6" t="n">
        <v>278.6</v>
      </c>
      <c r="K83" s="6" t="n">
        <v>0</v>
      </c>
      <c r="L83" s="6" t="n">
        <v>0</v>
      </c>
      <c r="M83" s="5" t="inlineStr">
        <is>
          <t>41260933039048000162550010000090251000116704</t>
        </is>
      </c>
    </row>
    <row r="84">
      <c r="A84" s="5" t="n">
        <v>9026</v>
      </c>
      <c r="B84" s="5" t="inlineStr">
        <is>
          <t>1</t>
        </is>
      </c>
      <c r="C84" s="7" t="n">
        <v>46294</v>
      </c>
      <c r="D84" s="5" t="inlineStr">
        <is>
          <t>MIX COSMETICOS LTDA</t>
        </is>
      </c>
      <c r="E84" s="5" t="inlineStr">
        <is>
          <t>27697083000176</t>
        </is>
      </c>
      <c r="F84" s="5" t="inlineStr">
        <is>
          <t>MS</t>
        </is>
      </c>
      <c r="G84" s="5" t="inlineStr">
        <is>
          <t>6902</t>
        </is>
      </c>
      <c r="H84" s="6" t="n">
        <v>600</v>
      </c>
      <c r="I84" s="6" t="n">
        <v>0</v>
      </c>
      <c r="J84" s="6" t="n">
        <v>0</v>
      </c>
      <c r="K84" s="6" t="n">
        <v>0</v>
      </c>
      <c r="L84" s="6" t="n">
        <v>0</v>
      </c>
      <c r="M84" s="5" t="inlineStr">
        <is>
          <t>41260933039048000162550010000090261000116710</t>
        </is>
      </c>
    </row>
    <row r="85">
      <c r="A85" s="5" t="n">
        <v>9027</v>
      </c>
      <c r="B85" s="5" t="inlineStr">
        <is>
          <t>1</t>
        </is>
      </c>
      <c r="C85" s="7" t="n">
        <v>46295</v>
      </c>
      <c r="D85" s="5" t="inlineStr">
        <is>
          <t>R&amp;S COMERCIO DE COSMETICOS LTDA</t>
        </is>
      </c>
      <c r="E85" s="5" t="inlineStr">
        <is>
          <t>17666331000168</t>
        </is>
      </c>
      <c r="F85" s="5" t="inlineStr">
        <is>
          <t>SC</t>
        </is>
      </c>
      <c r="G85" s="5" t="inlineStr">
        <is>
          <t>6124</t>
        </is>
      </c>
      <c r="H85" s="6" t="n">
        <v>2424</v>
      </c>
      <c r="I85" s="6" t="n">
        <v>2424</v>
      </c>
      <c r="J85" s="6" t="n">
        <v>290.88</v>
      </c>
      <c r="K85" s="6" t="n">
        <v>0</v>
      </c>
      <c r="L85" s="6" t="n">
        <v>0</v>
      </c>
      <c r="M85" s="5" t="inlineStr">
        <is>
          <t>41260933039048000162550010000090271000116792</t>
        </is>
      </c>
    </row>
    <row r="86">
      <c r="A86" s="5" t="n">
        <v>9028</v>
      </c>
      <c r="B86" s="5" t="inlineStr">
        <is>
          <t>1</t>
        </is>
      </c>
      <c r="C86" s="7" t="n">
        <v>46295</v>
      </c>
      <c r="D86" s="5" t="inlineStr">
        <is>
          <t>R&amp;S COMERCIO DE COSMETICOS LTDA</t>
        </is>
      </c>
      <c r="E86" s="5" t="inlineStr">
        <is>
          <t>17666331000168</t>
        </is>
      </c>
      <c r="F86" s="5" t="inlineStr">
        <is>
          <t>SC</t>
        </is>
      </c>
      <c r="G86" s="5" t="inlineStr">
        <is>
          <t>6902</t>
        </is>
      </c>
      <c r="H86" s="6" t="n">
        <v>500.1</v>
      </c>
      <c r="I86" s="6" t="n">
        <v>0</v>
      </c>
      <c r="J86" s="6" t="n">
        <v>0</v>
      </c>
      <c r="K86" s="6" t="n">
        <v>0</v>
      </c>
      <c r="L86" s="6" t="n">
        <v>0</v>
      </c>
      <c r="M86" s="5" t="inlineStr">
        <is>
          <t>41260933039048000162550010000090281000116803</t>
        </is>
      </c>
    </row>
    <row r="87">
      <c r="A87" s="5" t="n">
        <v>9029</v>
      </c>
      <c r="B87" s="5" t="inlineStr">
        <is>
          <t>1</t>
        </is>
      </c>
      <c r="C87" s="7" t="n">
        <v>46295</v>
      </c>
      <c r="D87" s="5" t="inlineStr">
        <is>
          <t>TB PRO COSMETICS - DISTRIBUIDORA E EVENTOS LTDA</t>
        </is>
      </c>
      <c r="E87" s="5" t="inlineStr">
        <is>
          <t>14626489000116</t>
        </is>
      </c>
      <c r="F87" s="5" t="inlineStr">
        <is>
          <t>RJ</t>
        </is>
      </c>
      <c r="G87" s="5" t="inlineStr">
        <is>
          <t>6124</t>
        </is>
      </c>
      <c r="H87" s="6" t="n">
        <v>1551.26</v>
      </c>
      <c r="I87" s="6" t="n">
        <v>1551.26</v>
      </c>
      <c r="J87" s="6" t="n">
        <v>186.15</v>
      </c>
      <c r="K87" s="6" t="n">
        <v>0</v>
      </c>
      <c r="L87" s="6" t="n">
        <v>0</v>
      </c>
      <c r="M87" s="5" t="inlineStr">
        <is>
          <t>41260933039048000162550010000090291000186701</t>
        </is>
      </c>
    </row>
    <row r="88">
      <c r="A88" s="5" t="n">
        <v>9030</v>
      </c>
      <c r="B88" s="5" t="inlineStr">
        <is>
          <t>1</t>
        </is>
      </c>
      <c r="C88" s="7" t="n">
        <v>46295</v>
      </c>
      <c r="D88" s="5" t="inlineStr">
        <is>
          <t>TB PRO COSMETICS - DISTRIBUIDORA E EVENTOS LTDA</t>
        </is>
      </c>
      <c r="E88" s="5" t="inlineStr">
        <is>
          <t>14626489000116</t>
        </is>
      </c>
      <c r="F88" s="5" t="inlineStr">
        <is>
          <t>RJ</t>
        </is>
      </c>
      <c r="G88" s="5" t="inlineStr">
        <is>
          <t>6902</t>
        </is>
      </c>
      <c r="H88" s="6" t="n">
        <v>133.2</v>
      </c>
      <c r="I88" s="6" t="n">
        <v>0</v>
      </c>
      <c r="J88" s="6" t="n">
        <v>0</v>
      </c>
      <c r="K88" s="6" t="n">
        <v>0</v>
      </c>
      <c r="L88" s="6" t="n">
        <v>0</v>
      </c>
      <c r="M88" s="5" t="inlineStr">
        <is>
          <t>41260933039048000162550010000090301000186710</t>
        </is>
      </c>
    </row>
    <row r="89">
      <c r="A89" s="5" t="n">
        <v>9031</v>
      </c>
      <c r="B89" s="5" t="inlineStr">
        <is>
          <t>1</t>
        </is>
      </c>
      <c r="C89" s="7" t="n">
        <v>46295</v>
      </c>
      <c r="D89" s="5" t="inlineStr">
        <is>
          <t>BB COSMETICOS - EIRELI</t>
        </is>
      </c>
      <c r="E89" s="5" t="inlineStr">
        <is>
          <t>21822008000103</t>
        </is>
      </c>
      <c r="F89" s="5" t="inlineStr">
        <is>
          <t>PR</t>
        </is>
      </c>
      <c r="G89" s="5" t="inlineStr">
        <is>
          <t>5124</t>
        </is>
      </c>
      <c r="H89" s="6" t="n">
        <v>1198.8</v>
      </c>
      <c r="I89" s="6" t="n">
        <v>1198.8</v>
      </c>
      <c r="J89" s="6" t="n">
        <v>0</v>
      </c>
      <c r="K89" s="6" t="n">
        <v>0</v>
      </c>
      <c r="L89" s="6" t="n">
        <v>0</v>
      </c>
      <c r="M89" s="5" t="inlineStr">
        <is>
          <t>41260933039048000162550010000090311000119484</t>
        </is>
      </c>
    </row>
    <row r="90">
      <c r="A90" s="5" t="n">
        <v>9032</v>
      </c>
      <c r="B90" s="5" t="inlineStr">
        <is>
          <t>1</t>
        </is>
      </c>
      <c r="C90" s="7" t="n">
        <v>46295</v>
      </c>
      <c r="D90" s="5" t="inlineStr">
        <is>
          <t>BB COSMETICOS - EIRELI</t>
        </is>
      </c>
      <c r="E90" s="5" t="inlineStr">
        <is>
          <t>21822008000103</t>
        </is>
      </c>
      <c r="F90" s="5" t="inlineStr">
        <is>
          <t>PR</t>
        </is>
      </c>
      <c r="G90" s="5" t="inlineStr">
        <is>
          <t>5902</t>
        </is>
      </c>
      <c r="H90" s="6" t="n">
        <v>348</v>
      </c>
      <c r="I90" s="6" t="n">
        <v>0</v>
      </c>
      <c r="J90" s="6" t="n">
        <v>0</v>
      </c>
      <c r="K90" s="6" t="n">
        <v>0</v>
      </c>
      <c r="L90" s="6" t="n">
        <v>0</v>
      </c>
      <c r="M90" s="5" t="inlineStr">
        <is>
          <t>41260933039048000162550010000090321000119490</t>
        </is>
      </c>
    </row>
    <row r="91">
      <c r="A91" s="5" t="n">
        <v>9033</v>
      </c>
      <c r="B91" s="5" t="inlineStr">
        <is>
          <t>1</t>
        </is>
      </c>
      <c r="C91" s="7" t="n">
        <v>46295</v>
      </c>
      <c r="D91" s="5" t="inlineStr">
        <is>
          <t>MIX COSMETICOS LTDA</t>
        </is>
      </c>
      <c r="E91" s="5" t="inlineStr">
        <is>
          <t>27697083000176</t>
        </is>
      </c>
      <c r="F91" s="5" t="inlineStr">
        <is>
          <t>MS</t>
        </is>
      </c>
      <c r="G91" s="5" t="inlineStr">
        <is>
          <t>6124</t>
        </is>
      </c>
      <c r="H91" s="6" t="n">
        <v>2370</v>
      </c>
      <c r="I91" s="6" t="n">
        <v>2370</v>
      </c>
      <c r="J91" s="6" t="n">
        <v>165.9</v>
      </c>
      <c r="K91" s="6" t="n">
        <v>0</v>
      </c>
      <c r="L91" s="6" t="n">
        <v>0</v>
      </c>
      <c r="M91" s="5" t="inlineStr">
        <is>
          <t>41260933039048000162550010000090331000116781</t>
        </is>
      </c>
    </row>
    <row r="92">
      <c r="A92" s="5" t="n">
        <v>9034</v>
      </c>
      <c r="B92" s="5" t="inlineStr">
        <is>
          <t>1</t>
        </is>
      </c>
      <c r="C92" s="7" t="n">
        <v>46295</v>
      </c>
      <c r="D92" s="5" t="inlineStr">
        <is>
          <t>MIX COSMETICOS LTDA</t>
        </is>
      </c>
      <c r="E92" s="5" t="inlineStr">
        <is>
          <t>27697083000176</t>
        </is>
      </c>
      <c r="F92" s="5" t="inlineStr">
        <is>
          <t>MS</t>
        </is>
      </c>
      <c r="G92" s="5" t="inlineStr">
        <is>
          <t>6902</t>
        </is>
      </c>
      <c r="H92" s="6" t="n">
        <v>427.2</v>
      </c>
      <c r="I92" s="6" t="n">
        <v>0</v>
      </c>
      <c r="J92" s="6" t="n">
        <v>0</v>
      </c>
      <c r="K92" s="6" t="n">
        <v>0</v>
      </c>
      <c r="L92" s="6" t="n">
        <v>0</v>
      </c>
      <c r="M92" s="5" t="inlineStr">
        <is>
          <t>41260933039048000162550010000090341000116797</t>
        </is>
      </c>
    </row>
    <row r="93">
      <c r="A93" s="5" t="n">
        <v>9035</v>
      </c>
      <c r="B93" s="5" t="inlineStr">
        <is>
          <t>1</t>
        </is>
      </c>
      <c r="C93" s="7" t="n">
        <v>46295</v>
      </c>
      <c r="D93" s="5" t="inlineStr">
        <is>
          <t>NUTRABELLA COMERCIAL DE COSMETICOS LTDA</t>
        </is>
      </c>
      <c r="E93" s="5" t="inlineStr">
        <is>
          <t>11258063000169</t>
        </is>
      </c>
      <c r="F93" s="5" t="inlineStr">
        <is>
          <t>GO</t>
        </is>
      </c>
      <c r="G93" s="5" t="inlineStr">
        <is>
          <t>6124</t>
        </is>
      </c>
      <c r="H93" s="6" t="n">
        <v>3917.94</v>
      </c>
      <c r="I93" s="6" t="n">
        <v>3917.94</v>
      </c>
      <c r="J93" s="6" t="n">
        <v>274.28</v>
      </c>
      <c r="K93" s="6" t="n">
        <v>0</v>
      </c>
      <c r="L93" s="6" t="n">
        <v>0</v>
      </c>
      <c r="M93" s="5" t="inlineStr">
        <is>
          <t>41260933039048000162550010000090351000187314</t>
        </is>
      </c>
    </row>
    <row r="94">
      <c r="A94" s="5" t="n">
        <v>9036</v>
      </c>
      <c r="B94" s="5" t="inlineStr">
        <is>
          <t>1</t>
        </is>
      </c>
      <c r="C94" s="7" t="n">
        <v>46295</v>
      </c>
      <c r="D94" s="5" t="inlineStr">
        <is>
          <t>NUTRABELLA COMERCIAL DE COSMETICOS LTDA</t>
        </is>
      </c>
      <c r="E94" s="5" t="inlineStr">
        <is>
          <t>11258063000169</t>
        </is>
      </c>
      <c r="F94" s="5" t="inlineStr">
        <is>
          <t>GO</t>
        </is>
      </c>
      <c r="G94" s="5" t="inlineStr">
        <is>
          <t>6902</t>
        </is>
      </c>
      <c r="H94" s="6" t="n">
        <v>297.6</v>
      </c>
      <c r="I94" s="6" t="n">
        <v>0</v>
      </c>
      <c r="J94" s="6" t="n">
        <v>0</v>
      </c>
      <c r="K94" s="6" t="n">
        <v>0</v>
      </c>
      <c r="L94" s="6" t="n">
        <v>0</v>
      </c>
      <c r="M94" s="5" t="inlineStr">
        <is>
          <t>41260933039048000162550010000090361000187320</t>
        </is>
      </c>
    </row>
    <row r="95">
      <c r="A95" s="8" t="inlineStr">
        <is>
          <t>Total</t>
        </is>
      </c>
      <c r="B95" s="8" t="inlineStr"/>
      <c r="C95" s="8" t="inlineStr"/>
      <c r="D95" s="8" t="inlineStr"/>
      <c r="E95" s="8" t="inlineStr"/>
      <c r="F95" s="8" t="inlineStr"/>
      <c r="G95" s="8" t="inlineStr"/>
      <c r="H95" s="9">
        <f>SUM(H4:H94)</f>
        <v/>
      </c>
      <c r="I95" s="9">
        <f>SUM(I4:I94)</f>
        <v/>
      </c>
      <c r="J95" s="9">
        <f>SUM(J4:J94)</f>
        <v/>
      </c>
      <c r="K95" s="9">
        <f>SUM(K4:K94)</f>
        <v/>
      </c>
      <c r="L95" s="9">
        <f>SUM(L4:L94)</f>
        <v/>
      </c>
      <c r="M95" s="8" t="inlineStr"/>
    </row>
  </sheetData>
  <autoFilter ref="A3:M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40" customWidth="1" min="3" max="3"/>
    <col width="10" customWidth="1" min="4" max="4"/>
    <col width="6" customWidth="1" min="5" max="5"/>
    <col width="13" customWidth="1" min="6" max="6"/>
    <col width="7" customWidth="1" min="7" max="7"/>
    <col width="13" customWidth="1" min="8" max="8"/>
    <col width="7" customWidth="1" min="9" max="9"/>
    <col width="11" customWidth="1" min="10" max="10"/>
    <col width="7" customWidth="1" min="11" max="11"/>
    <col width="7" customWidth="1" min="12" max="12"/>
    <col width="11" customWidth="1" min="13" max="13"/>
    <col width="11" customWidth="1" min="14" max="14"/>
    <col width="7" customWidth="1" min="15" max="15"/>
    <col width="7" customWidth="1" min="16" max="16"/>
    <col width="8" customWidth="1" min="17" max="17"/>
  </cols>
  <sheetData>
    <row r="1">
      <c r="A1" s="1" t="inlineStr">
        <is>
          <t>Itens das notas de saída (base para a conferência)</t>
        </is>
      </c>
    </row>
    <row r="3">
      <c r="A3" s="4" t="inlineStr">
        <is>
          <t>Nota</t>
        </is>
      </c>
      <c r="B3" s="4" t="inlineStr">
        <is>
          <t>Item</t>
        </is>
      </c>
      <c r="C3" s="4" t="inlineStr">
        <is>
          <t>Produto</t>
        </is>
      </c>
      <c r="D3" s="4" t="inlineStr">
        <is>
          <t>NCM</t>
        </is>
      </c>
      <c r="E3" s="4" t="inlineStr">
        <is>
          <t>CFOP</t>
        </is>
      </c>
      <c r="F3" s="4" t="inlineStr">
        <is>
          <t>Vlr contábil</t>
        </is>
      </c>
      <c r="G3" s="4" t="inlineStr">
        <is>
          <t>CST ICMS</t>
        </is>
      </c>
      <c r="H3" s="4" t="inlineStr">
        <is>
          <t>Base ICMS</t>
        </is>
      </c>
      <c r="I3" s="4" t="inlineStr">
        <is>
          <t>% ICMS</t>
        </is>
      </c>
      <c r="J3" s="4" t="inlineStr">
        <is>
          <t>ICMS</t>
        </is>
      </c>
      <c r="K3" s="4" t="inlineStr">
        <is>
          <t>CST IPI</t>
        </is>
      </c>
      <c r="L3" s="4" t="inlineStr">
        <is>
          <t>% IPI</t>
        </is>
      </c>
      <c r="M3" s="4" t="inlineStr">
        <is>
          <t>IPI</t>
        </is>
      </c>
      <c r="N3" s="4" t="inlineStr">
        <is>
          <t>ICMS-ST</t>
        </is>
      </c>
      <c r="O3" s="4" t="inlineStr">
        <is>
          <t>CST PIS</t>
        </is>
      </c>
      <c r="P3" s="4" t="inlineStr">
        <is>
          <t>% PIS</t>
        </is>
      </c>
      <c r="Q3" s="4" t="inlineStr">
        <is>
          <t>% COFINS</t>
        </is>
      </c>
    </row>
    <row r="4">
      <c r="A4" s="5" t="n">
        <v>8939</v>
      </c>
      <c r="B4" s="5" t="n">
        <v>1</v>
      </c>
      <c r="C4" s="5" t="inlineStr">
        <is>
          <t>CONDICIONADOR MULTIHYDRAT LOFT 1000ML</t>
        </is>
      </c>
      <c r="D4" s="5" t="inlineStr">
        <is>
          <t>33051000</t>
        </is>
      </c>
      <c r="E4" s="5" t="inlineStr">
        <is>
          <t>5124</t>
        </is>
      </c>
      <c r="F4" s="6" t="n">
        <v>117</v>
      </c>
      <c r="G4" s="5" t="inlineStr">
        <is>
          <t>00</t>
        </is>
      </c>
      <c r="H4" s="6" t="n">
        <v>117</v>
      </c>
      <c r="I4" s="5" t="n">
        <v>19.5</v>
      </c>
      <c r="J4" s="6" t="n">
        <v>22.82</v>
      </c>
      <c r="K4" s="5" t="n"/>
      <c r="L4" s="5" t="n">
        <v>0</v>
      </c>
      <c r="M4" s="6" t="n">
        <v>0</v>
      </c>
      <c r="N4" s="6" t="n">
        <v>0</v>
      </c>
      <c r="O4" s="5" t="inlineStr">
        <is>
          <t>02</t>
        </is>
      </c>
      <c r="P4" s="5" t="n">
        <v>2.2</v>
      </c>
      <c r="Q4" s="5" t="n">
        <v>10.3</v>
      </c>
    </row>
    <row r="5">
      <c r="A5" s="5" t="n">
        <v>8939</v>
      </c>
      <c r="B5" s="5" t="n">
        <v>2</v>
      </c>
      <c r="C5" s="5" t="inlineStr">
        <is>
          <t>CONDICIONADOR MULTIHYDRAT LOFT 5l</t>
        </is>
      </c>
      <c r="D5" s="5" t="inlineStr">
        <is>
          <t>33051000</t>
        </is>
      </c>
      <c r="E5" s="5" t="inlineStr">
        <is>
          <t>5124</t>
        </is>
      </c>
      <c r="F5" s="6" t="n">
        <v>439.05</v>
      </c>
      <c r="G5" s="5" t="inlineStr">
        <is>
          <t>00</t>
        </is>
      </c>
      <c r="H5" s="6" t="n">
        <v>439.05</v>
      </c>
      <c r="I5" s="5" t="n">
        <v>19.5</v>
      </c>
      <c r="J5" s="6" t="n">
        <v>85.62</v>
      </c>
      <c r="K5" s="5" t="n"/>
      <c r="L5" s="5" t="n">
        <v>0</v>
      </c>
      <c r="M5" s="6" t="n">
        <v>0</v>
      </c>
      <c r="N5" s="6" t="n">
        <v>0</v>
      </c>
      <c r="O5" s="5" t="inlineStr">
        <is>
          <t>02</t>
        </is>
      </c>
      <c r="P5" s="5" t="n">
        <v>2.2</v>
      </c>
      <c r="Q5" s="5" t="n">
        <v>10.3</v>
      </c>
    </row>
    <row r="6">
      <c r="A6" s="5" t="n">
        <v>8941</v>
      </c>
      <c r="B6" s="5" t="n">
        <v>1</v>
      </c>
      <c r="C6" s="5" t="inlineStr">
        <is>
          <t>COLOR. 5................ MAXX COLOR 60G</t>
        </is>
      </c>
      <c r="D6" s="5" t="inlineStr">
        <is>
          <t>33059000</t>
        </is>
      </c>
      <c r="E6" s="5" t="inlineStr">
        <is>
          <t>6124</t>
        </is>
      </c>
      <c r="F6" s="6" t="n">
        <v>2088</v>
      </c>
      <c r="G6" s="5" t="inlineStr">
        <is>
          <t>00</t>
        </is>
      </c>
      <c r="H6" s="6" t="n">
        <v>2088</v>
      </c>
      <c r="I6" s="5" t="n">
        <v>12</v>
      </c>
      <c r="J6" s="6" t="n">
        <v>250.56</v>
      </c>
      <c r="K6" s="5" t="inlineStr">
        <is>
          <t>55</t>
        </is>
      </c>
      <c r="L6" s="5" t="n">
        <v>0</v>
      </c>
      <c r="M6" s="6" t="n">
        <v>0</v>
      </c>
      <c r="N6" s="6" t="n">
        <v>0</v>
      </c>
      <c r="O6" s="5" t="inlineStr">
        <is>
          <t>02</t>
        </is>
      </c>
      <c r="P6" s="5" t="n">
        <v>2.2</v>
      </c>
      <c r="Q6" s="5" t="n">
        <v>10.3</v>
      </c>
    </row>
    <row r="7">
      <c r="A7" s="5" t="n">
        <v>8941</v>
      </c>
      <c r="B7" s="5" t="n">
        <v>2</v>
      </c>
      <c r="C7" s="5" t="inlineStr">
        <is>
          <t>COLOR. 7................ MAXX COLOR 60G</t>
        </is>
      </c>
      <c r="D7" s="5" t="inlineStr">
        <is>
          <t>33059000</t>
        </is>
      </c>
      <c r="E7" s="5" t="inlineStr">
        <is>
          <t>6124</t>
        </is>
      </c>
      <c r="F7" s="6" t="n">
        <v>1656</v>
      </c>
      <c r="G7" s="5" t="inlineStr">
        <is>
          <t>00</t>
        </is>
      </c>
      <c r="H7" s="6" t="n">
        <v>1656</v>
      </c>
      <c r="I7" s="5" t="n">
        <v>12</v>
      </c>
      <c r="J7" s="6" t="n">
        <v>198.72</v>
      </c>
      <c r="K7" s="5" t="inlineStr">
        <is>
          <t>55</t>
        </is>
      </c>
      <c r="L7" s="5" t="n">
        <v>0</v>
      </c>
      <c r="M7" s="6" t="n">
        <v>0</v>
      </c>
      <c r="N7" s="6" t="n">
        <v>0</v>
      </c>
      <c r="O7" s="5" t="inlineStr">
        <is>
          <t>02</t>
        </is>
      </c>
      <c r="P7" s="5" t="n">
        <v>2.2</v>
      </c>
      <c r="Q7" s="5" t="n">
        <v>10.3</v>
      </c>
    </row>
    <row r="8">
      <c r="A8" s="5" t="n">
        <v>8941</v>
      </c>
      <c r="B8" s="5" t="n">
        <v>3</v>
      </c>
      <c r="C8" s="5" t="inlineStr">
        <is>
          <t>COLOR. 8.66........... MAXX COLOR 60G</t>
        </is>
      </c>
      <c r="D8" s="5" t="inlineStr">
        <is>
          <t>33059000</t>
        </is>
      </c>
      <c r="E8" s="5" t="inlineStr">
        <is>
          <t>6124</t>
        </is>
      </c>
      <c r="F8" s="6" t="n">
        <v>1068</v>
      </c>
      <c r="G8" s="5" t="inlineStr">
        <is>
          <t>00</t>
        </is>
      </c>
      <c r="H8" s="6" t="n">
        <v>1068</v>
      </c>
      <c r="I8" s="5" t="n">
        <v>12</v>
      </c>
      <c r="J8" s="6" t="n">
        <v>128.16</v>
      </c>
      <c r="K8" s="5" t="inlineStr">
        <is>
          <t>55</t>
        </is>
      </c>
      <c r="L8" s="5" t="n">
        <v>0</v>
      </c>
      <c r="M8" s="6" t="n">
        <v>0</v>
      </c>
      <c r="N8" s="6" t="n">
        <v>0</v>
      </c>
      <c r="O8" s="5" t="inlineStr">
        <is>
          <t>02</t>
        </is>
      </c>
      <c r="P8" s="5" t="n">
        <v>2.2</v>
      </c>
      <c r="Q8" s="5" t="n">
        <v>10.3</v>
      </c>
    </row>
    <row r="9">
      <c r="A9" s="5" t="n">
        <v>8941</v>
      </c>
      <c r="B9" s="5" t="n">
        <v>4</v>
      </c>
      <c r="C9" s="5" t="inlineStr">
        <is>
          <t>COLOR. 8.1............. MAXX COLOR 60G</t>
        </is>
      </c>
      <c r="D9" s="5" t="inlineStr">
        <is>
          <t>33059000</t>
        </is>
      </c>
      <c r="E9" s="5" t="inlineStr">
        <is>
          <t>6124</t>
        </is>
      </c>
      <c r="F9" s="6" t="n">
        <v>900</v>
      </c>
      <c r="G9" s="5" t="inlineStr">
        <is>
          <t>00</t>
        </is>
      </c>
      <c r="H9" s="6" t="n">
        <v>900</v>
      </c>
      <c r="I9" s="5" t="n">
        <v>12</v>
      </c>
      <c r="J9" s="6" t="n">
        <v>108</v>
      </c>
      <c r="K9" s="5" t="inlineStr">
        <is>
          <t>55</t>
        </is>
      </c>
      <c r="L9" s="5" t="n">
        <v>0</v>
      </c>
      <c r="M9" s="6" t="n">
        <v>0</v>
      </c>
      <c r="N9" s="6" t="n">
        <v>0</v>
      </c>
      <c r="O9" s="5" t="inlineStr">
        <is>
          <t>02</t>
        </is>
      </c>
      <c r="P9" s="5" t="n">
        <v>2.2</v>
      </c>
      <c r="Q9" s="5" t="n">
        <v>10.3</v>
      </c>
    </row>
    <row r="10">
      <c r="A10" s="5" t="n">
        <v>8941</v>
      </c>
      <c r="B10" s="5" t="n">
        <v>5</v>
      </c>
      <c r="C10" s="5" t="inlineStr">
        <is>
          <t>COLOR. 9.2............. MAXX COLOR 60G</t>
        </is>
      </c>
      <c r="D10" s="5" t="inlineStr">
        <is>
          <t>33059000</t>
        </is>
      </c>
      <c r="E10" s="5" t="inlineStr">
        <is>
          <t>6124</t>
        </is>
      </c>
      <c r="F10" s="6" t="n">
        <v>1656</v>
      </c>
      <c r="G10" s="5" t="inlineStr">
        <is>
          <t>00</t>
        </is>
      </c>
      <c r="H10" s="6" t="n">
        <v>1656</v>
      </c>
      <c r="I10" s="5" t="n">
        <v>12</v>
      </c>
      <c r="J10" s="6" t="n">
        <v>198.72</v>
      </c>
      <c r="K10" s="5" t="inlineStr">
        <is>
          <t>55</t>
        </is>
      </c>
      <c r="L10" s="5" t="n">
        <v>0</v>
      </c>
      <c r="M10" s="6" t="n">
        <v>0</v>
      </c>
      <c r="N10" s="6" t="n">
        <v>0</v>
      </c>
      <c r="O10" s="5" t="inlineStr">
        <is>
          <t>02</t>
        </is>
      </c>
      <c r="P10" s="5" t="n">
        <v>2.2</v>
      </c>
      <c r="Q10" s="5" t="n">
        <v>10.3</v>
      </c>
    </row>
    <row r="11">
      <c r="A11" s="5" t="n">
        <v>8942</v>
      </c>
      <c r="B11" s="5" t="n">
        <v>1</v>
      </c>
      <c r="C11" s="5" t="inlineStr">
        <is>
          <t>CARTUCHO COLORACAO MAXX COLOR 60G</t>
        </is>
      </c>
      <c r="D11" s="5" t="inlineStr">
        <is>
          <t>48191000</t>
        </is>
      </c>
      <c r="E11" s="5" t="inlineStr">
        <is>
          <t>6902</t>
        </is>
      </c>
      <c r="F11" s="6" t="n">
        <v>475.2</v>
      </c>
      <c r="G11" s="5" t="inlineStr">
        <is>
          <t>41</t>
        </is>
      </c>
      <c r="H11" s="6" t="n">
        <v>0</v>
      </c>
      <c r="I11" s="5" t="n">
        <v>0</v>
      </c>
      <c r="J11" s="6" t="n">
        <v>0</v>
      </c>
      <c r="K11" s="5" t="n"/>
      <c r="L11" s="5" t="n">
        <v>0</v>
      </c>
      <c r="M11" s="6" t="n">
        <v>0</v>
      </c>
      <c r="N11" s="6" t="n">
        <v>0</v>
      </c>
      <c r="O11" s="5" t="inlineStr">
        <is>
          <t>49</t>
        </is>
      </c>
      <c r="P11" s="5" t="n">
        <v>0</v>
      </c>
      <c r="Q11" s="5" t="n">
        <v>0</v>
      </c>
    </row>
    <row r="12">
      <c r="A12" s="5" t="n">
        <v>8942</v>
      </c>
      <c r="B12" s="5" t="n">
        <v>2</v>
      </c>
      <c r="C12" s="5" t="inlineStr">
        <is>
          <t>BISNAGA COLORACAO ALUMINIO MAXX COLOR 60G</t>
        </is>
      </c>
      <c r="D12" s="5" t="inlineStr">
        <is>
          <t>76121000</t>
        </is>
      </c>
      <c r="E12" s="5" t="inlineStr">
        <is>
          <t>6902</t>
        </is>
      </c>
      <c r="F12" s="6" t="n">
        <v>540</v>
      </c>
      <c r="G12" s="5" t="inlineStr">
        <is>
          <t>41</t>
        </is>
      </c>
      <c r="H12" s="6" t="n">
        <v>0</v>
      </c>
      <c r="I12" s="5" t="n">
        <v>0</v>
      </c>
      <c r="J12" s="6" t="n">
        <v>0</v>
      </c>
      <c r="K12" s="5" t="n"/>
      <c r="L12" s="5" t="n">
        <v>0</v>
      </c>
      <c r="M12" s="6" t="n">
        <v>0</v>
      </c>
      <c r="N12" s="6" t="n">
        <v>0</v>
      </c>
      <c r="O12" s="5" t="inlineStr">
        <is>
          <t>49</t>
        </is>
      </c>
      <c r="P12" s="5" t="n">
        <v>0</v>
      </c>
      <c r="Q12" s="5" t="n">
        <v>0</v>
      </c>
    </row>
    <row r="13">
      <c r="A13" s="5" t="n">
        <v>8942</v>
      </c>
      <c r="B13" s="5" t="n">
        <v>3</v>
      </c>
      <c r="C13" s="5" t="inlineStr">
        <is>
          <t>CAIXA MASTER COLORACAO MAXX COLOR 60G</t>
        </is>
      </c>
      <c r="D13" s="5" t="inlineStr">
        <is>
          <t>48191000</t>
        </is>
      </c>
      <c r="E13" s="5" t="inlineStr">
        <is>
          <t>6902</t>
        </is>
      </c>
      <c r="F13" s="6" t="n">
        <v>35.4</v>
      </c>
      <c r="G13" s="5" t="inlineStr">
        <is>
          <t>41</t>
        </is>
      </c>
      <c r="H13" s="6" t="n">
        <v>0</v>
      </c>
      <c r="I13" s="5" t="n">
        <v>0</v>
      </c>
      <c r="J13" s="6" t="n">
        <v>0</v>
      </c>
      <c r="K13" s="5" t="n"/>
      <c r="L13" s="5" t="n">
        <v>0</v>
      </c>
      <c r="M13" s="6" t="n">
        <v>0</v>
      </c>
      <c r="N13" s="6" t="n">
        <v>0</v>
      </c>
      <c r="O13" s="5" t="inlineStr">
        <is>
          <t>49</t>
        </is>
      </c>
      <c r="P13" s="5" t="n">
        <v>0</v>
      </c>
      <c r="Q13" s="5" t="n">
        <v>0</v>
      </c>
    </row>
    <row r="14">
      <c r="A14" s="5" t="n">
        <v>8943</v>
      </c>
      <c r="B14" s="5" t="n">
        <v>1</v>
      </c>
      <c r="C14" s="5" t="inlineStr">
        <is>
          <t>COLOR. 7.46 ..... ETERNIZE MGA 60G</t>
        </is>
      </c>
      <c r="D14" s="5" t="inlineStr">
        <is>
          <t>33059000</t>
        </is>
      </c>
      <c r="E14" s="5" t="inlineStr">
        <is>
          <t>5124</t>
        </is>
      </c>
      <c r="F14" s="6" t="n">
        <v>1740</v>
      </c>
      <c r="G14" s="5" t="inlineStr">
        <is>
          <t>51</t>
        </is>
      </c>
      <c r="H14" s="6" t="n">
        <v>1740</v>
      </c>
      <c r="I14" s="5" t="n">
        <v>19.5</v>
      </c>
      <c r="J14" s="6" t="n">
        <v>0</v>
      </c>
      <c r="K14" s="5" t="inlineStr">
        <is>
          <t>55</t>
        </is>
      </c>
      <c r="L14" s="5" t="n">
        <v>0</v>
      </c>
      <c r="M14" s="6" t="n">
        <v>0</v>
      </c>
      <c r="N14" s="6" t="n">
        <v>0</v>
      </c>
      <c r="O14" s="5" t="inlineStr">
        <is>
          <t>02</t>
        </is>
      </c>
      <c r="P14" s="5" t="n">
        <v>2.2</v>
      </c>
      <c r="Q14" s="5" t="n">
        <v>10.3</v>
      </c>
    </row>
    <row r="15">
      <c r="A15" s="5" t="n">
        <v>8943</v>
      </c>
      <c r="B15" s="5" t="n">
        <v>2</v>
      </c>
      <c r="C15" s="5" t="inlineStr">
        <is>
          <t>COLOR. 7.62 ..... ETERNIZE MGA 60G</t>
        </is>
      </c>
      <c r="D15" s="5" t="inlineStr">
        <is>
          <t>33059000</t>
        </is>
      </c>
      <c r="E15" s="5" t="inlineStr">
        <is>
          <t>5124</t>
        </is>
      </c>
      <c r="F15" s="6" t="n">
        <v>696</v>
      </c>
      <c r="G15" s="5" t="inlineStr">
        <is>
          <t>51</t>
        </is>
      </c>
      <c r="H15" s="6" t="n">
        <v>696</v>
      </c>
      <c r="I15" s="5" t="n">
        <v>19.5</v>
      </c>
      <c r="J15" s="6" t="n">
        <v>0</v>
      </c>
      <c r="K15" s="5" t="inlineStr">
        <is>
          <t>55</t>
        </is>
      </c>
      <c r="L15" s="5" t="n">
        <v>0</v>
      </c>
      <c r="M15" s="6" t="n">
        <v>0</v>
      </c>
      <c r="N15" s="6" t="n">
        <v>0</v>
      </c>
      <c r="O15" s="5" t="inlineStr">
        <is>
          <t>02</t>
        </is>
      </c>
      <c r="P15" s="5" t="n">
        <v>2.2</v>
      </c>
      <c r="Q15" s="5" t="n">
        <v>10.3</v>
      </c>
    </row>
    <row r="16">
      <c r="A16" s="5" t="n">
        <v>8943</v>
      </c>
      <c r="B16" s="5" t="n">
        <v>3</v>
      </c>
      <c r="C16" s="5" t="inlineStr">
        <is>
          <t>COLOR. 8.66 ..... ETERNIZE MGA 60G</t>
        </is>
      </c>
      <c r="D16" s="5" t="inlineStr">
        <is>
          <t>33059000</t>
        </is>
      </c>
      <c r="E16" s="5" t="inlineStr">
        <is>
          <t>5124</t>
        </is>
      </c>
      <c r="F16" s="6" t="n">
        <v>2930.4</v>
      </c>
      <c r="G16" s="5" t="inlineStr">
        <is>
          <t>51</t>
        </is>
      </c>
      <c r="H16" s="6" t="n">
        <v>2930.4</v>
      </c>
      <c r="I16" s="5" t="n">
        <v>19.5</v>
      </c>
      <c r="J16" s="6" t="n">
        <v>0</v>
      </c>
      <c r="K16" s="5" t="inlineStr">
        <is>
          <t>55</t>
        </is>
      </c>
      <c r="L16" s="5" t="n">
        <v>0</v>
      </c>
      <c r="M16" s="6" t="n">
        <v>0</v>
      </c>
      <c r="N16" s="6" t="n">
        <v>0</v>
      </c>
      <c r="O16" s="5" t="inlineStr">
        <is>
          <t>02</t>
        </is>
      </c>
      <c r="P16" s="5" t="n">
        <v>2.2</v>
      </c>
      <c r="Q16" s="5" t="n">
        <v>10.3</v>
      </c>
    </row>
    <row r="17">
      <c r="A17" s="5" t="n">
        <v>8944</v>
      </c>
      <c r="B17" s="5" t="n">
        <v>1</v>
      </c>
      <c r="C17" s="5" t="inlineStr">
        <is>
          <t>CARTUCHO COLOR ETERNIZE MGA</t>
        </is>
      </c>
      <c r="D17" s="5" t="inlineStr">
        <is>
          <t>48191000</t>
        </is>
      </c>
      <c r="E17" s="5" t="inlineStr">
        <is>
          <t>5902</t>
        </is>
      </c>
      <c r="F17" s="6" t="n">
        <v>421.2</v>
      </c>
      <c r="G17" s="5" t="inlineStr">
        <is>
          <t>41</t>
        </is>
      </c>
      <c r="H17" s="6" t="n">
        <v>0</v>
      </c>
      <c r="I17" s="5" t="n">
        <v>0</v>
      </c>
      <c r="J17" s="6" t="n">
        <v>0</v>
      </c>
      <c r="K17" s="5" t="n"/>
      <c r="L17" s="5" t="n">
        <v>0</v>
      </c>
      <c r="M17" s="6" t="n">
        <v>0</v>
      </c>
      <c r="N17" s="6" t="n">
        <v>0</v>
      </c>
      <c r="O17" s="5" t="inlineStr">
        <is>
          <t>49</t>
        </is>
      </c>
      <c r="P17" s="5" t="n">
        <v>0</v>
      </c>
      <c r="Q17" s="5" t="n">
        <v>0</v>
      </c>
    </row>
    <row r="18">
      <c r="A18" s="5" t="n">
        <v>8945</v>
      </c>
      <c r="B18" s="5" t="n">
        <v>1</v>
      </c>
      <c r="C18" s="5" t="inlineStr">
        <is>
          <t>OXIDANTE ETERNIZE 10 VOL 900ML</t>
        </is>
      </c>
      <c r="D18" s="5" t="inlineStr">
        <is>
          <t>28470000</t>
        </is>
      </c>
      <c r="E18" s="5" t="inlineStr">
        <is>
          <t>5124</t>
        </is>
      </c>
      <c r="F18" s="6" t="n">
        <v>2169.1</v>
      </c>
      <c r="G18" s="5" t="inlineStr">
        <is>
          <t>51</t>
        </is>
      </c>
      <c r="H18" s="6" t="n">
        <v>2169.1</v>
      </c>
      <c r="I18" s="5" t="n">
        <v>19.5</v>
      </c>
      <c r="J18" s="6" t="n">
        <v>0</v>
      </c>
      <c r="K18" s="5" t="inlineStr">
        <is>
          <t>55</t>
        </is>
      </c>
      <c r="L18" s="5" t="n">
        <v>0</v>
      </c>
      <c r="M18" s="6" t="n">
        <v>0</v>
      </c>
      <c r="N18" s="6" t="n">
        <v>0</v>
      </c>
      <c r="O18" s="5" t="inlineStr">
        <is>
          <t>02</t>
        </is>
      </c>
      <c r="P18" s="5" t="n">
        <v>2.2</v>
      </c>
      <c r="Q18" s="5" t="n">
        <v>10.3</v>
      </c>
    </row>
    <row r="19">
      <c r="A19" s="5" t="n">
        <v>8945</v>
      </c>
      <c r="B19" s="5" t="n">
        <v>2</v>
      </c>
      <c r="C19" s="5" t="inlineStr">
        <is>
          <t>OXIDANTE ETERNIZE 20 VOL 900ML</t>
        </is>
      </c>
      <c r="D19" s="5" t="inlineStr">
        <is>
          <t>28470000</t>
        </is>
      </c>
      <c r="E19" s="5" t="inlineStr">
        <is>
          <t>5124</t>
        </is>
      </c>
      <c r="F19" s="6" t="n">
        <v>1323.35</v>
      </c>
      <c r="G19" s="5" t="inlineStr">
        <is>
          <t>51</t>
        </is>
      </c>
      <c r="H19" s="6" t="n">
        <v>1323.35</v>
      </c>
      <c r="I19" s="5" t="n">
        <v>19.5</v>
      </c>
      <c r="J19" s="6" t="n">
        <v>0</v>
      </c>
      <c r="K19" s="5" t="inlineStr">
        <is>
          <t>55</t>
        </is>
      </c>
      <c r="L19" s="5" t="n">
        <v>0</v>
      </c>
      <c r="M19" s="6" t="n">
        <v>0</v>
      </c>
      <c r="N19" s="6" t="n">
        <v>0</v>
      </c>
      <c r="O19" s="5" t="inlineStr">
        <is>
          <t>02</t>
        </is>
      </c>
      <c r="P19" s="5" t="n">
        <v>2.2</v>
      </c>
      <c r="Q19" s="5" t="n">
        <v>10.3</v>
      </c>
    </row>
    <row r="20">
      <c r="A20" s="5" t="n">
        <v>8945</v>
      </c>
      <c r="B20" s="5" t="n">
        <v>3</v>
      </c>
      <c r="C20" s="5" t="inlineStr">
        <is>
          <t>OXIDANTE ETERNIZE 20 VOL 90ML</t>
        </is>
      </c>
      <c r="D20" s="5" t="inlineStr">
        <is>
          <t>28470000</t>
        </is>
      </c>
      <c r="E20" s="5" t="inlineStr">
        <is>
          <t>5124</t>
        </is>
      </c>
      <c r="F20" s="6" t="n">
        <v>1078.35</v>
      </c>
      <c r="G20" s="5" t="inlineStr">
        <is>
          <t>51</t>
        </is>
      </c>
      <c r="H20" s="6" t="n">
        <v>1078.35</v>
      </c>
      <c r="I20" s="5" t="n">
        <v>19.5</v>
      </c>
      <c r="J20" s="6" t="n">
        <v>0</v>
      </c>
      <c r="K20" s="5" t="inlineStr">
        <is>
          <t>55</t>
        </is>
      </c>
      <c r="L20" s="5" t="n">
        <v>0</v>
      </c>
      <c r="M20" s="6" t="n">
        <v>0</v>
      </c>
      <c r="N20" s="6" t="n">
        <v>0</v>
      </c>
      <c r="O20" s="5" t="inlineStr">
        <is>
          <t>02</t>
        </is>
      </c>
      <c r="P20" s="5" t="n">
        <v>2.2</v>
      </c>
      <c r="Q20" s="5" t="n">
        <v>10.3</v>
      </c>
    </row>
    <row r="21">
      <c r="A21" s="5" t="n">
        <v>8946</v>
      </c>
      <c r="B21" s="5" t="n">
        <v>1</v>
      </c>
      <c r="C21" s="5" t="inlineStr">
        <is>
          <t>COLOR. 7.00...............ULTRA COLOR 60G</t>
        </is>
      </c>
      <c r="D21" s="5" t="inlineStr">
        <is>
          <t>33059000</t>
        </is>
      </c>
      <c r="E21" s="5" t="inlineStr">
        <is>
          <t>6124</t>
        </is>
      </c>
      <c r="F21" s="6" t="n">
        <v>2010</v>
      </c>
      <c r="G21" s="5" t="inlineStr">
        <is>
          <t>00</t>
        </is>
      </c>
      <c r="H21" s="6" t="n">
        <v>2010</v>
      </c>
      <c r="I21" s="5" t="n">
        <v>7</v>
      </c>
      <c r="J21" s="6" t="n">
        <v>140.7</v>
      </c>
      <c r="K21" s="5" t="inlineStr">
        <is>
          <t>55</t>
        </is>
      </c>
      <c r="L21" s="5" t="n">
        <v>0</v>
      </c>
      <c r="M21" s="6" t="n">
        <v>0</v>
      </c>
      <c r="N21" s="6" t="n">
        <v>0</v>
      </c>
      <c r="O21" s="5" t="inlineStr">
        <is>
          <t>02</t>
        </is>
      </c>
      <c r="P21" s="5" t="n">
        <v>2.2</v>
      </c>
      <c r="Q21" s="5" t="n">
        <v>10.3</v>
      </c>
    </row>
    <row r="22">
      <c r="A22" s="5" t="n">
        <v>8946</v>
      </c>
      <c r="B22" s="5" t="n">
        <v>2</v>
      </c>
      <c r="C22" s="5" t="inlineStr">
        <is>
          <t>COLOR. 7.3...............ULTRA COLOR 60G</t>
        </is>
      </c>
      <c r="D22" s="5" t="inlineStr">
        <is>
          <t>33059000</t>
        </is>
      </c>
      <c r="E22" s="5" t="inlineStr">
        <is>
          <t>6124</t>
        </is>
      </c>
      <c r="F22" s="6" t="n">
        <v>828</v>
      </c>
      <c r="G22" s="5" t="inlineStr">
        <is>
          <t>00</t>
        </is>
      </c>
      <c r="H22" s="6" t="n">
        <v>828</v>
      </c>
      <c r="I22" s="5" t="n">
        <v>7</v>
      </c>
      <c r="J22" s="6" t="n">
        <v>57.96</v>
      </c>
      <c r="K22" s="5" t="inlineStr">
        <is>
          <t>55</t>
        </is>
      </c>
      <c r="L22" s="5" t="n">
        <v>0</v>
      </c>
      <c r="M22" s="6" t="n">
        <v>0</v>
      </c>
      <c r="N22" s="6" t="n">
        <v>0</v>
      </c>
      <c r="O22" s="5" t="inlineStr">
        <is>
          <t>02</t>
        </is>
      </c>
      <c r="P22" s="5" t="n">
        <v>2.2</v>
      </c>
      <c r="Q22" s="5" t="n">
        <v>10.3</v>
      </c>
    </row>
    <row r="23">
      <c r="A23" s="5" t="n">
        <v>8947</v>
      </c>
      <c r="B23" s="5" t="n">
        <v>1</v>
      </c>
      <c r="C23" s="5" t="inlineStr">
        <is>
          <t>CARTUCHO COLORACAO ULTRA COLOR 60G</t>
        </is>
      </c>
      <c r="D23" s="5" t="inlineStr">
        <is>
          <t>48191000</t>
        </is>
      </c>
      <c r="E23" s="5" t="inlineStr">
        <is>
          <t>6902</t>
        </is>
      </c>
      <c r="F23" s="6" t="n">
        <v>222.6</v>
      </c>
      <c r="G23" s="5" t="inlineStr">
        <is>
          <t>41</t>
        </is>
      </c>
      <c r="H23" s="6" t="n">
        <v>0</v>
      </c>
      <c r="I23" s="5" t="n">
        <v>0</v>
      </c>
      <c r="J23" s="6" t="n">
        <v>0</v>
      </c>
      <c r="K23" s="5" t="n"/>
      <c r="L23" s="5" t="n">
        <v>0</v>
      </c>
      <c r="M23" s="6" t="n">
        <v>0</v>
      </c>
      <c r="N23" s="6" t="n">
        <v>0</v>
      </c>
      <c r="O23" s="5" t="inlineStr">
        <is>
          <t>49</t>
        </is>
      </c>
      <c r="P23" s="5" t="n">
        <v>0</v>
      </c>
      <c r="Q23" s="5" t="n">
        <v>0</v>
      </c>
    </row>
    <row r="24">
      <c r="A24" s="5" t="n">
        <v>8949</v>
      </c>
      <c r="B24" s="5" t="n">
        <v>1</v>
      </c>
      <c r="C24" s="5" t="inlineStr">
        <is>
          <t>COLOR. 7.00...............ULTRA COLOR 60G</t>
        </is>
      </c>
      <c r="D24" s="5" t="inlineStr">
        <is>
          <t>33059000</t>
        </is>
      </c>
      <c r="E24" s="5" t="inlineStr">
        <is>
          <t>6124</t>
        </is>
      </c>
      <c r="F24" s="6" t="n">
        <v>1206</v>
      </c>
      <c r="G24" s="5" t="inlineStr">
        <is>
          <t>00</t>
        </is>
      </c>
      <c r="H24" s="6" t="n">
        <v>1206</v>
      </c>
      <c r="I24" s="5" t="n">
        <v>7</v>
      </c>
      <c r="J24" s="6" t="n">
        <v>84.42</v>
      </c>
      <c r="K24" s="5" t="inlineStr">
        <is>
          <t>55</t>
        </is>
      </c>
      <c r="L24" s="5" t="n">
        <v>0</v>
      </c>
      <c r="M24" s="6" t="n">
        <v>0</v>
      </c>
      <c r="N24" s="6" t="n">
        <v>0</v>
      </c>
      <c r="O24" s="5" t="inlineStr">
        <is>
          <t>02</t>
        </is>
      </c>
      <c r="P24" s="5" t="n">
        <v>2.2</v>
      </c>
      <c r="Q24" s="5" t="n">
        <v>10.3</v>
      </c>
    </row>
    <row r="25">
      <c r="A25" s="5" t="n">
        <v>8949</v>
      </c>
      <c r="B25" s="5" t="n">
        <v>2</v>
      </c>
      <c r="C25" s="5" t="inlineStr">
        <is>
          <t>COLOR. 7.3...............ULTRA COLOR 60G</t>
        </is>
      </c>
      <c r="D25" s="5" t="inlineStr">
        <is>
          <t>33059000</t>
        </is>
      </c>
      <c r="E25" s="5" t="inlineStr">
        <is>
          <t>6124</t>
        </is>
      </c>
      <c r="F25" s="6" t="n">
        <v>828</v>
      </c>
      <c r="G25" s="5" t="inlineStr">
        <is>
          <t>00</t>
        </is>
      </c>
      <c r="H25" s="6" t="n">
        <v>828</v>
      </c>
      <c r="I25" s="5" t="n">
        <v>7</v>
      </c>
      <c r="J25" s="6" t="n">
        <v>57.96</v>
      </c>
      <c r="K25" s="5" t="inlineStr">
        <is>
          <t>55</t>
        </is>
      </c>
      <c r="L25" s="5" t="n">
        <v>0</v>
      </c>
      <c r="M25" s="6" t="n">
        <v>0</v>
      </c>
      <c r="N25" s="6" t="n">
        <v>0</v>
      </c>
      <c r="O25" s="5" t="inlineStr">
        <is>
          <t>02</t>
        </is>
      </c>
      <c r="P25" s="5" t="n">
        <v>2.2</v>
      </c>
      <c r="Q25" s="5" t="n">
        <v>10.3</v>
      </c>
    </row>
    <row r="26">
      <c r="A26" s="5" t="n">
        <v>8950</v>
      </c>
      <c r="B26" s="5" t="n">
        <v>1</v>
      </c>
      <c r="C26" s="5" t="inlineStr">
        <is>
          <t>CARTUCHO COLORACAO ULTRA COLOR 60G</t>
        </is>
      </c>
      <c r="D26" s="5" t="inlineStr">
        <is>
          <t>48191000</t>
        </is>
      </c>
      <c r="E26" s="5" t="inlineStr">
        <is>
          <t>6902</t>
        </is>
      </c>
      <c r="F26" s="6" t="n">
        <v>159</v>
      </c>
      <c r="G26" s="5" t="inlineStr">
        <is>
          <t>41</t>
        </is>
      </c>
      <c r="H26" s="6" t="n">
        <v>0</v>
      </c>
      <c r="I26" s="5" t="n">
        <v>0</v>
      </c>
      <c r="J26" s="6" t="n">
        <v>0</v>
      </c>
      <c r="K26" s="5" t="n"/>
      <c r="L26" s="5" t="n">
        <v>0</v>
      </c>
      <c r="M26" s="6" t="n">
        <v>0</v>
      </c>
      <c r="N26" s="6" t="n">
        <v>0</v>
      </c>
      <c r="O26" s="5" t="inlineStr">
        <is>
          <t>49</t>
        </is>
      </c>
      <c r="P26" s="5" t="n">
        <v>0</v>
      </c>
      <c r="Q26" s="5" t="n">
        <v>0</v>
      </c>
    </row>
    <row r="27">
      <c r="A27" s="5" t="n">
        <v>8953</v>
      </c>
      <c r="B27" s="5" t="n">
        <v>1</v>
      </c>
      <c r="C27" s="5" t="inlineStr">
        <is>
          <t>COLOR. 6................GUIDI 60G</t>
        </is>
      </c>
      <c r="D27" s="5" t="inlineStr">
        <is>
          <t>33059000</t>
        </is>
      </c>
      <c r="E27" s="5" t="inlineStr">
        <is>
          <t>6124</t>
        </is>
      </c>
      <c r="F27" s="6" t="n">
        <v>516.1799999999999</v>
      </c>
      <c r="G27" s="5" t="inlineStr">
        <is>
          <t>00</t>
        </is>
      </c>
      <c r="H27" s="6" t="n">
        <v>516.1799999999999</v>
      </c>
      <c r="I27" s="5" t="n">
        <v>12</v>
      </c>
      <c r="J27" s="6" t="n">
        <v>61.94</v>
      </c>
      <c r="K27" s="5" t="inlineStr">
        <is>
          <t>55</t>
        </is>
      </c>
      <c r="L27" s="5" t="n">
        <v>0</v>
      </c>
      <c r="M27" s="6" t="n">
        <v>0</v>
      </c>
      <c r="N27" s="6" t="n">
        <v>0</v>
      </c>
      <c r="O27" s="5" t="inlineStr">
        <is>
          <t>02</t>
        </is>
      </c>
      <c r="P27" s="5" t="n">
        <v>2.2</v>
      </c>
      <c r="Q27" s="5" t="n">
        <v>10.3</v>
      </c>
    </row>
    <row r="28">
      <c r="A28" s="5" t="n">
        <v>8953</v>
      </c>
      <c r="B28" s="5" t="n">
        <v>2</v>
      </c>
      <c r="C28" s="5" t="inlineStr">
        <is>
          <t>COLOR. 1.1............GUIDI 60G</t>
        </is>
      </c>
      <c r="D28" s="5" t="inlineStr">
        <is>
          <t>33059000</t>
        </is>
      </c>
      <c r="E28" s="5" t="inlineStr">
        <is>
          <t>6124</t>
        </is>
      </c>
      <c r="F28" s="6" t="n">
        <v>463.19</v>
      </c>
      <c r="G28" s="5" t="inlineStr">
        <is>
          <t>00</t>
        </is>
      </c>
      <c r="H28" s="6" t="n">
        <v>463.19</v>
      </c>
      <c r="I28" s="5" t="n">
        <v>12</v>
      </c>
      <c r="J28" s="6" t="n">
        <v>55.58</v>
      </c>
      <c r="K28" s="5" t="inlineStr">
        <is>
          <t>55</t>
        </is>
      </c>
      <c r="L28" s="5" t="n">
        <v>0</v>
      </c>
      <c r="M28" s="6" t="n">
        <v>0</v>
      </c>
      <c r="N28" s="6" t="n">
        <v>0</v>
      </c>
      <c r="O28" s="5" t="inlineStr">
        <is>
          <t>02</t>
        </is>
      </c>
      <c r="P28" s="5" t="n">
        <v>2.2</v>
      </c>
      <c r="Q28" s="5" t="n">
        <v>10.3</v>
      </c>
    </row>
    <row r="29">
      <c r="A29" s="5" t="n">
        <v>8953</v>
      </c>
      <c r="B29" s="5" t="n">
        <v>3</v>
      </c>
      <c r="C29" s="5" t="inlineStr">
        <is>
          <t>COLOR. 1................GUIDI 60G</t>
        </is>
      </c>
      <c r="D29" s="5" t="inlineStr">
        <is>
          <t>33059000</t>
        </is>
      </c>
      <c r="E29" s="5" t="inlineStr">
        <is>
          <t>6124</t>
        </is>
      </c>
      <c r="F29" s="6" t="n">
        <v>463.19</v>
      </c>
      <c r="G29" s="5" t="inlineStr">
        <is>
          <t>00</t>
        </is>
      </c>
      <c r="H29" s="6" t="n">
        <v>463.19</v>
      </c>
      <c r="I29" s="5" t="n">
        <v>12</v>
      </c>
      <c r="J29" s="6" t="n">
        <v>55.58</v>
      </c>
      <c r="K29" s="5" t="inlineStr">
        <is>
          <t>55</t>
        </is>
      </c>
      <c r="L29" s="5" t="n">
        <v>0</v>
      </c>
      <c r="M29" s="6" t="n">
        <v>0</v>
      </c>
      <c r="N29" s="6" t="n">
        <v>0</v>
      </c>
      <c r="O29" s="5" t="inlineStr">
        <is>
          <t>02</t>
        </is>
      </c>
      <c r="P29" s="5" t="n">
        <v>2.2</v>
      </c>
      <c r="Q29" s="5" t="n">
        <v>10.3</v>
      </c>
    </row>
    <row r="30">
      <c r="A30" s="5" t="n">
        <v>8953</v>
      </c>
      <c r="B30" s="5" t="n">
        <v>4</v>
      </c>
      <c r="C30" s="5" t="inlineStr">
        <is>
          <t>COLOR. 3................GUIDI 60G</t>
        </is>
      </c>
      <c r="D30" s="5" t="inlineStr">
        <is>
          <t>33059000</t>
        </is>
      </c>
      <c r="E30" s="5" t="inlineStr">
        <is>
          <t>6124</t>
        </is>
      </c>
      <c r="F30" s="6" t="n">
        <v>463.19</v>
      </c>
      <c r="G30" s="5" t="inlineStr">
        <is>
          <t>00</t>
        </is>
      </c>
      <c r="H30" s="6" t="n">
        <v>463.19</v>
      </c>
      <c r="I30" s="5" t="n">
        <v>12</v>
      </c>
      <c r="J30" s="6" t="n">
        <v>55.58</v>
      </c>
      <c r="K30" s="5" t="inlineStr">
        <is>
          <t>55</t>
        </is>
      </c>
      <c r="L30" s="5" t="n">
        <v>0</v>
      </c>
      <c r="M30" s="6" t="n">
        <v>0</v>
      </c>
      <c r="N30" s="6" t="n">
        <v>0</v>
      </c>
      <c r="O30" s="5" t="inlineStr">
        <is>
          <t>02</t>
        </is>
      </c>
      <c r="P30" s="5" t="n">
        <v>2.2</v>
      </c>
      <c r="Q30" s="5" t="n">
        <v>10.3</v>
      </c>
    </row>
    <row r="31">
      <c r="A31" s="5" t="n">
        <v>8953</v>
      </c>
      <c r="B31" s="5" t="n">
        <v>5</v>
      </c>
      <c r="C31" s="5" t="inlineStr">
        <is>
          <t>COLOR. 4................GUIDI 60G</t>
        </is>
      </c>
      <c r="D31" s="5" t="inlineStr">
        <is>
          <t>33059000</t>
        </is>
      </c>
      <c r="E31" s="5" t="inlineStr">
        <is>
          <t>6124</t>
        </is>
      </c>
      <c r="F31" s="6" t="n">
        <v>440.87</v>
      </c>
      <c r="G31" s="5" t="inlineStr">
        <is>
          <t>00</t>
        </is>
      </c>
      <c r="H31" s="6" t="n">
        <v>440.87</v>
      </c>
      <c r="I31" s="5" t="n">
        <v>12</v>
      </c>
      <c r="J31" s="6" t="n">
        <v>52.9</v>
      </c>
      <c r="K31" s="5" t="inlineStr">
        <is>
          <t>55</t>
        </is>
      </c>
      <c r="L31" s="5" t="n">
        <v>0</v>
      </c>
      <c r="M31" s="6" t="n">
        <v>0</v>
      </c>
      <c r="N31" s="6" t="n">
        <v>0</v>
      </c>
      <c r="O31" s="5" t="inlineStr">
        <is>
          <t>02</t>
        </is>
      </c>
      <c r="P31" s="5" t="n">
        <v>2.2</v>
      </c>
      <c r="Q31" s="5" t="n">
        <v>10.3</v>
      </c>
    </row>
    <row r="32">
      <c r="A32" s="5" t="n">
        <v>8953</v>
      </c>
      <c r="B32" s="5" t="n">
        <v>6</v>
      </c>
      <c r="C32" s="5" t="inlineStr">
        <is>
          <t>COLOR. 8................GUIDI 60G</t>
        </is>
      </c>
      <c r="D32" s="5" t="inlineStr">
        <is>
          <t>33059000</t>
        </is>
      </c>
      <c r="E32" s="5" t="inlineStr">
        <is>
          <t>6124</t>
        </is>
      </c>
      <c r="F32" s="6" t="n">
        <v>440.87</v>
      </c>
      <c r="G32" s="5" t="inlineStr">
        <is>
          <t>00</t>
        </is>
      </c>
      <c r="H32" s="6" t="n">
        <v>440.87</v>
      </c>
      <c r="I32" s="5" t="n">
        <v>12</v>
      </c>
      <c r="J32" s="6" t="n">
        <v>52.9</v>
      </c>
      <c r="K32" s="5" t="inlineStr">
        <is>
          <t>55</t>
        </is>
      </c>
      <c r="L32" s="5" t="n">
        <v>0</v>
      </c>
      <c r="M32" s="6" t="n">
        <v>0</v>
      </c>
      <c r="N32" s="6" t="n">
        <v>0</v>
      </c>
      <c r="O32" s="5" t="inlineStr">
        <is>
          <t>02</t>
        </is>
      </c>
      <c r="P32" s="5" t="n">
        <v>2.2</v>
      </c>
      <c r="Q32" s="5" t="n">
        <v>10.3</v>
      </c>
    </row>
    <row r="33">
      <c r="A33" s="5" t="n">
        <v>8953</v>
      </c>
      <c r="B33" s="5" t="n">
        <v>7</v>
      </c>
      <c r="C33" s="5" t="inlineStr">
        <is>
          <t>COLOR. 6.1.............GUIDI 60G</t>
        </is>
      </c>
      <c r="D33" s="5" t="inlineStr">
        <is>
          <t>33059000</t>
        </is>
      </c>
      <c r="E33" s="5" t="inlineStr">
        <is>
          <t>6124</t>
        </is>
      </c>
      <c r="F33" s="6" t="n">
        <v>433.52</v>
      </c>
      <c r="G33" s="5" t="inlineStr">
        <is>
          <t>00</t>
        </is>
      </c>
      <c r="H33" s="6" t="n">
        <v>433.52</v>
      </c>
      <c r="I33" s="5" t="n">
        <v>12</v>
      </c>
      <c r="J33" s="6" t="n">
        <v>52.02</v>
      </c>
      <c r="K33" s="5" t="inlineStr">
        <is>
          <t>55</t>
        </is>
      </c>
      <c r="L33" s="5" t="n">
        <v>0</v>
      </c>
      <c r="M33" s="6" t="n">
        <v>0</v>
      </c>
      <c r="N33" s="6" t="n">
        <v>0</v>
      </c>
      <c r="O33" s="5" t="inlineStr">
        <is>
          <t>02</t>
        </is>
      </c>
      <c r="P33" s="5" t="n">
        <v>2.2</v>
      </c>
      <c r="Q33" s="5" t="n">
        <v>10.3</v>
      </c>
    </row>
    <row r="34">
      <c r="A34" s="5" t="n">
        <v>8953</v>
      </c>
      <c r="B34" s="5" t="n">
        <v>8</v>
      </c>
      <c r="C34" s="5" t="inlineStr">
        <is>
          <t>COLOR. 7.3..............GUIDI 60G</t>
        </is>
      </c>
      <c r="D34" s="5" t="inlineStr">
        <is>
          <t>33059000</t>
        </is>
      </c>
      <c r="E34" s="5" t="inlineStr">
        <is>
          <t>6124</t>
        </is>
      </c>
      <c r="F34" s="6" t="n">
        <v>440.87</v>
      </c>
      <c r="G34" s="5" t="inlineStr">
        <is>
          <t>00</t>
        </is>
      </c>
      <c r="H34" s="6" t="n">
        <v>440.87</v>
      </c>
      <c r="I34" s="5" t="n">
        <v>12</v>
      </c>
      <c r="J34" s="6" t="n">
        <v>52.9</v>
      </c>
      <c r="K34" s="5" t="inlineStr">
        <is>
          <t>55</t>
        </is>
      </c>
      <c r="L34" s="5" t="n">
        <v>0</v>
      </c>
      <c r="M34" s="6" t="n">
        <v>0</v>
      </c>
      <c r="N34" s="6" t="n">
        <v>0</v>
      </c>
      <c r="O34" s="5" t="inlineStr">
        <is>
          <t>02</t>
        </is>
      </c>
      <c r="P34" s="5" t="n">
        <v>2.2</v>
      </c>
      <c r="Q34" s="5" t="n">
        <v>10.3</v>
      </c>
    </row>
    <row r="35">
      <c r="A35" s="5" t="n">
        <v>8953</v>
      </c>
      <c r="B35" s="5" t="n">
        <v>9</v>
      </c>
      <c r="C35" s="5" t="inlineStr">
        <is>
          <t>COLOR. 6.7.............GUIDI 60G</t>
        </is>
      </c>
      <c r="D35" s="5" t="inlineStr">
        <is>
          <t>33059000</t>
        </is>
      </c>
      <c r="E35" s="5" t="inlineStr">
        <is>
          <t>6124</t>
        </is>
      </c>
      <c r="F35" s="6" t="n">
        <v>440.87</v>
      </c>
      <c r="G35" s="5" t="inlineStr">
        <is>
          <t>00</t>
        </is>
      </c>
      <c r="H35" s="6" t="n">
        <v>440.87</v>
      </c>
      <c r="I35" s="5" t="n">
        <v>12</v>
      </c>
      <c r="J35" s="6" t="n">
        <v>52.9</v>
      </c>
      <c r="K35" s="5" t="inlineStr">
        <is>
          <t>55</t>
        </is>
      </c>
      <c r="L35" s="5" t="n">
        <v>0</v>
      </c>
      <c r="M35" s="6" t="n">
        <v>0</v>
      </c>
      <c r="N35" s="6" t="n">
        <v>0</v>
      </c>
      <c r="O35" s="5" t="inlineStr">
        <is>
          <t>02</t>
        </is>
      </c>
      <c r="P35" s="5" t="n">
        <v>2.2</v>
      </c>
      <c r="Q35" s="5" t="n">
        <v>10.3</v>
      </c>
    </row>
    <row r="36">
      <c r="A36" s="5" t="n">
        <v>8953</v>
      </c>
      <c r="B36" s="5" t="n">
        <v>10</v>
      </c>
      <c r="C36" s="5" t="inlineStr">
        <is>
          <t>COLOR. 7.1..............GUIDI 60G</t>
        </is>
      </c>
      <c r="D36" s="5" t="inlineStr">
        <is>
          <t>33059000</t>
        </is>
      </c>
      <c r="E36" s="5" t="inlineStr">
        <is>
          <t>6124</t>
        </is>
      </c>
      <c r="F36" s="6" t="n">
        <v>440.87</v>
      </c>
      <c r="G36" s="5" t="inlineStr">
        <is>
          <t>00</t>
        </is>
      </c>
      <c r="H36" s="6" t="n">
        <v>440.87</v>
      </c>
      <c r="I36" s="5" t="n">
        <v>12</v>
      </c>
      <c r="J36" s="6" t="n">
        <v>52.9</v>
      </c>
      <c r="K36" s="5" t="inlineStr">
        <is>
          <t>55</t>
        </is>
      </c>
      <c r="L36" s="5" t="n">
        <v>0</v>
      </c>
      <c r="M36" s="6" t="n">
        <v>0</v>
      </c>
      <c r="N36" s="6" t="n">
        <v>0</v>
      </c>
      <c r="O36" s="5" t="inlineStr">
        <is>
          <t>02</t>
        </is>
      </c>
      <c r="P36" s="5" t="n">
        <v>2.2</v>
      </c>
      <c r="Q36" s="5" t="n">
        <v>10.3</v>
      </c>
    </row>
    <row r="37">
      <c r="A37" s="5" t="n">
        <v>8953</v>
      </c>
      <c r="B37" s="5" t="n">
        <v>11</v>
      </c>
      <c r="C37" s="5" t="inlineStr">
        <is>
          <t>COLOR. 7.32...........GUIDI 60G</t>
        </is>
      </c>
      <c r="D37" s="5" t="inlineStr">
        <is>
          <t>33059000</t>
        </is>
      </c>
      <c r="E37" s="5" t="inlineStr">
        <is>
          <t>6124</t>
        </is>
      </c>
      <c r="F37" s="6" t="n">
        <v>440.87</v>
      </c>
      <c r="G37" s="5" t="inlineStr">
        <is>
          <t>00</t>
        </is>
      </c>
      <c r="H37" s="6" t="n">
        <v>440.87</v>
      </c>
      <c r="I37" s="5" t="n">
        <v>12</v>
      </c>
      <c r="J37" s="6" t="n">
        <v>52.9</v>
      </c>
      <c r="K37" s="5" t="inlineStr">
        <is>
          <t>55</t>
        </is>
      </c>
      <c r="L37" s="5" t="n">
        <v>0</v>
      </c>
      <c r="M37" s="6" t="n">
        <v>0</v>
      </c>
      <c r="N37" s="6" t="n">
        <v>0</v>
      </c>
      <c r="O37" s="5" t="inlineStr">
        <is>
          <t>02</t>
        </is>
      </c>
      <c r="P37" s="5" t="n">
        <v>2.2</v>
      </c>
      <c r="Q37" s="5" t="n">
        <v>10.3</v>
      </c>
    </row>
    <row r="38">
      <c r="A38" s="5" t="n">
        <v>8953</v>
      </c>
      <c r="B38" s="5" t="n">
        <v>12</v>
      </c>
      <c r="C38" s="5" t="inlineStr">
        <is>
          <t>COLOR. 8.1.............GUIDI 60G</t>
        </is>
      </c>
      <c r="D38" s="5" t="inlineStr">
        <is>
          <t>33059000</t>
        </is>
      </c>
      <c r="E38" s="5" t="inlineStr">
        <is>
          <t>6124</t>
        </is>
      </c>
      <c r="F38" s="6" t="n">
        <v>440.87</v>
      </c>
      <c r="G38" s="5" t="inlineStr">
        <is>
          <t>00</t>
        </is>
      </c>
      <c r="H38" s="6" t="n">
        <v>440.87</v>
      </c>
      <c r="I38" s="5" t="n">
        <v>12</v>
      </c>
      <c r="J38" s="6" t="n">
        <v>52.9</v>
      </c>
      <c r="K38" s="5" t="inlineStr">
        <is>
          <t>55</t>
        </is>
      </c>
      <c r="L38" s="5" t="n">
        <v>0</v>
      </c>
      <c r="M38" s="6" t="n">
        <v>0</v>
      </c>
      <c r="N38" s="6" t="n">
        <v>0</v>
      </c>
      <c r="O38" s="5" t="inlineStr">
        <is>
          <t>02</t>
        </is>
      </c>
      <c r="P38" s="5" t="n">
        <v>2.2</v>
      </c>
      <c r="Q38" s="5" t="n">
        <v>10.3</v>
      </c>
    </row>
    <row r="39">
      <c r="A39" s="5" t="n">
        <v>8953</v>
      </c>
      <c r="B39" s="5" t="n">
        <v>13</v>
      </c>
      <c r="C39" s="5" t="inlineStr">
        <is>
          <t>COLOR. 9.2..............GUIDI 60G</t>
        </is>
      </c>
      <c r="D39" s="5" t="inlineStr">
        <is>
          <t>33059000</t>
        </is>
      </c>
      <c r="E39" s="5" t="inlineStr">
        <is>
          <t>6124</t>
        </is>
      </c>
      <c r="F39" s="6" t="n">
        <v>440.87</v>
      </c>
      <c r="G39" s="5" t="inlineStr">
        <is>
          <t>00</t>
        </is>
      </c>
      <c r="H39" s="6" t="n">
        <v>440.87</v>
      </c>
      <c r="I39" s="5" t="n">
        <v>12</v>
      </c>
      <c r="J39" s="6" t="n">
        <v>52.9</v>
      </c>
      <c r="K39" s="5" t="inlineStr">
        <is>
          <t>55</t>
        </is>
      </c>
      <c r="L39" s="5" t="n">
        <v>0</v>
      </c>
      <c r="M39" s="6" t="n">
        <v>0</v>
      </c>
      <c r="N39" s="6" t="n">
        <v>0</v>
      </c>
      <c r="O39" s="5" t="inlineStr">
        <is>
          <t>02</t>
        </is>
      </c>
      <c r="P39" s="5" t="n">
        <v>2.2</v>
      </c>
      <c r="Q39" s="5" t="n">
        <v>10.3</v>
      </c>
    </row>
    <row r="40">
      <c r="A40" s="5" t="n">
        <v>8953</v>
      </c>
      <c r="B40" s="5" t="n">
        <v>14</v>
      </c>
      <c r="C40" s="5" t="inlineStr">
        <is>
          <t>COLOR. 10.89........GUIDI 60G</t>
        </is>
      </c>
      <c r="D40" s="5" t="inlineStr">
        <is>
          <t>33059000</t>
        </is>
      </c>
      <c r="E40" s="5" t="inlineStr">
        <is>
          <t>6124</t>
        </is>
      </c>
      <c r="F40" s="6" t="n">
        <v>440.87</v>
      </c>
      <c r="G40" s="5" t="inlineStr">
        <is>
          <t>00</t>
        </is>
      </c>
      <c r="H40" s="6" t="n">
        <v>440.87</v>
      </c>
      <c r="I40" s="5" t="n">
        <v>12</v>
      </c>
      <c r="J40" s="6" t="n">
        <v>52.9</v>
      </c>
      <c r="K40" s="5" t="inlineStr">
        <is>
          <t>55</t>
        </is>
      </c>
      <c r="L40" s="5" t="n">
        <v>0</v>
      </c>
      <c r="M40" s="6" t="n">
        <v>0</v>
      </c>
      <c r="N40" s="6" t="n">
        <v>0</v>
      </c>
      <c r="O40" s="5" t="inlineStr">
        <is>
          <t>02</t>
        </is>
      </c>
      <c r="P40" s="5" t="n">
        <v>2.2</v>
      </c>
      <c r="Q40" s="5" t="n">
        <v>10.3</v>
      </c>
    </row>
    <row r="41">
      <c r="A41" s="5" t="n">
        <v>8954</v>
      </c>
      <c r="B41" s="5" t="n">
        <v>1</v>
      </c>
      <c r="C41" s="5" t="inlineStr">
        <is>
          <t>CARTUCHO GUIDI COLOR 60G</t>
        </is>
      </c>
      <c r="D41" s="5" t="inlineStr">
        <is>
          <t>48191000</t>
        </is>
      </c>
      <c r="E41" s="5" t="inlineStr">
        <is>
          <t>6902</t>
        </is>
      </c>
      <c r="F41" s="6" t="n">
        <v>614.16</v>
      </c>
      <c r="G41" s="5" t="inlineStr">
        <is>
          <t>41</t>
        </is>
      </c>
      <c r="H41" s="6" t="n">
        <v>0</v>
      </c>
      <c r="I41" s="5" t="n">
        <v>0</v>
      </c>
      <c r="J41" s="6" t="n">
        <v>0</v>
      </c>
      <c r="K41" s="5" t="n"/>
      <c r="L41" s="5" t="n">
        <v>0</v>
      </c>
      <c r="M41" s="6" t="n">
        <v>0</v>
      </c>
      <c r="N41" s="6" t="n">
        <v>0</v>
      </c>
      <c r="O41" s="5" t="inlineStr">
        <is>
          <t>49</t>
        </is>
      </c>
      <c r="P41" s="5" t="n">
        <v>0</v>
      </c>
      <c r="Q41" s="5" t="n">
        <v>0</v>
      </c>
    </row>
    <row r="42">
      <c r="A42" s="5" t="n">
        <v>8955</v>
      </c>
      <c r="B42" s="5" t="n">
        <v>1</v>
      </c>
      <c r="C42" s="5" t="inlineStr">
        <is>
          <t>COLOR. 5.47.......NATURE COLOR 60G</t>
        </is>
      </c>
      <c r="D42" s="5" t="inlineStr">
        <is>
          <t>33059000</t>
        </is>
      </c>
      <c r="E42" s="5" t="inlineStr">
        <is>
          <t>5401</t>
        </is>
      </c>
      <c r="F42" s="6" t="n">
        <v>188.37</v>
      </c>
      <c r="G42" s="5" t="inlineStr">
        <is>
          <t>10</t>
        </is>
      </c>
      <c r="H42" s="6" t="n">
        <v>129.6</v>
      </c>
      <c r="I42" s="5" t="n">
        <v>12</v>
      </c>
      <c r="J42" s="6" t="n">
        <v>15.55</v>
      </c>
      <c r="K42" s="5" t="inlineStr">
        <is>
          <t>50</t>
        </is>
      </c>
      <c r="L42" s="5" t="n">
        <v>14.3</v>
      </c>
      <c r="M42" s="6" t="n">
        <v>18.53</v>
      </c>
      <c r="N42" s="6" t="n">
        <v>40.24</v>
      </c>
      <c r="O42" s="5" t="inlineStr">
        <is>
          <t>02</t>
        </is>
      </c>
      <c r="P42" s="5" t="n">
        <v>2.2</v>
      </c>
      <c r="Q42" s="5" t="n">
        <v>10.3</v>
      </c>
    </row>
    <row r="43">
      <c r="A43" s="5" t="n">
        <v>8955</v>
      </c>
      <c r="B43" s="5" t="n">
        <v>2</v>
      </c>
      <c r="C43" s="5" t="inlineStr">
        <is>
          <t>COLOR. 6.35.......NATURE COLOR 60G</t>
        </is>
      </c>
      <c r="D43" s="5" t="inlineStr">
        <is>
          <t>33059000</t>
        </is>
      </c>
      <c r="E43" s="5" t="inlineStr">
        <is>
          <t>5401</t>
        </is>
      </c>
      <c r="F43" s="6" t="n">
        <v>47.09</v>
      </c>
      <c r="G43" s="5" t="inlineStr">
        <is>
          <t>10</t>
        </is>
      </c>
      <c r="H43" s="6" t="n">
        <v>32.4</v>
      </c>
      <c r="I43" s="5" t="n">
        <v>12</v>
      </c>
      <c r="J43" s="6" t="n">
        <v>3.89</v>
      </c>
      <c r="K43" s="5" t="inlineStr">
        <is>
          <t>50</t>
        </is>
      </c>
      <c r="L43" s="5" t="n">
        <v>14.3</v>
      </c>
      <c r="M43" s="6" t="n">
        <v>4.63</v>
      </c>
      <c r="N43" s="6" t="n">
        <v>10.06</v>
      </c>
      <c r="O43" s="5" t="inlineStr">
        <is>
          <t>02</t>
        </is>
      </c>
      <c r="P43" s="5" t="n">
        <v>2.2</v>
      </c>
      <c r="Q43" s="5" t="n">
        <v>10.3</v>
      </c>
    </row>
    <row r="44">
      <c r="A44" s="5" t="n">
        <v>8955</v>
      </c>
      <c r="B44" s="5" t="n">
        <v>3</v>
      </c>
      <c r="C44" s="5" t="inlineStr">
        <is>
          <t>COLOR. 7.13.......NATURE COLOR 60G</t>
        </is>
      </c>
      <c r="D44" s="5" t="inlineStr">
        <is>
          <t>33059000</t>
        </is>
      </c>
      <c r="E44" s="5" t="inlineStr">
        <is>
          <t>5401</t>
        </is>
      </c>
      <c r="F44" s="6" t="n">
        <v>188.37</v>
      </c>
      <c r="G44" s="5" t="inlineStr">
        <is>
          <t>10</t>
        </is>
      </c>
      <c r="H44" s="6" t="n">
        <v>129.6</v>
      </c>
      <c r="I44" s="5" t="n">
        <v>12</v>
      </c>
      <c r="J44" s="6" t="n">
        <v>15.55</v>
      </c>
      <c r="K44" s="5" t="inlineStr">
        <is>
          <t>50</t>
        </is>
      </c>
      <c r="L44" s="5" t="n">
        <v>14.3</v>
      </c>
      <c r="M44" s="6" t="n">
        <v>18.53</v>
      </c>
      <c r="N44" s="6" t="n">
        <v>40.24</v>
      </c>
      <c r="O44" s="5" t="inlineStr">
        <is>
          <t>02</t>
        </is>
      </c>
      <c r="P44" s="5" t="n">
        <v>2.2</v>
      </c>
      <c r="Q44" s="5" t="n">
        <v>10.3</v>
      </c>
    </row>
    <row r="45">
      <c r="A45" s="5" t="n">
        <v>8955</v>
      </c>
      <c r="B45" s="5" t="n">
        <v>4</v>
      </c>
      <c r="C45" s="5" t="inlineStr">
        <is>
          <t>COLOR. 7.3.........NATURE COLOR 60G</t>
        </is>
      </c>
      <c r="D45" s="5" t="inlineStr">
        <is>
          <t>33059000</t>
        </is>
      </c>
      <c r="E45" s="5" t="inlineStr">
        <is>
          <t>5401</t>
        </is>
      </c>
      <c r="F45" s="6" t="n">
        <v>188.37</v>
      </c>
      <c r="G45" s="5" t="inlineStr">
        <is>
          <t>10</t>
        </is>
      </c>
      <c r="H45" s="6" t="n">
        <v>129.6</v>
      </c>
      <c r="I45" s="5" t="n">
        <v>12</v>
      </c>
      <c r="J45" s="6" t="n">
        <v>15.55</v>
      </c>
      <c r="K45" s="5" t="inlineStr">
        <is>
          <t>50</t>
        </is>
      </c>
      <c r="L45" s="5" t="n">
        <v>14.3</v>
      </c>
      <c r="M45" s="6" t="n">
        <v>18.53</v>
      </c>
      <c r="N45" s="6" t="n">
        <v>40.24</v>
      </c>
      <c r="O45" s="5" t="inlineStr">
        <is>
          <t>02</t>
        </is>
      </c>
      <c r="P45" s="5" t="n">
        <v>2.2</v>
      </c>
      <c r="Q45" s="5" t="n">
        <v>10.3</v>
      </c>
    </row>
    <row r="46">
      <c r="A46" s="5" t="n">
        <v>8955</v>
      </c>
      <c r="B46" s="5" t="n">
        <v>5</v>
      </c>
      <c r="C46" s="5" t="inlineStr">
        <is>
          <t>COLOR. 7.32.......NATURE COLOR 60G</t>
        </is>
      </c>
      <c r="D46" s="5" t="inlineStr">
        <is>
          <t>33059000</t>
        </is>
      </c>
      <c r="E46" s="5" t="inlineStr">
        <is>
          <t>5401</t>
        </is>
      </c>
      <c r="F46" s="6" t="n">
        <v>188.37</v>
      </c>
      <c r="G46" s="5" t="inlineStr">
        <is>
          <t>10</t>
        </is>
      </c>
      <c r="H46" s="6" t="n">
        <v>129.6</v>
      </c>
      <c r="I46" s="5" t="n">
        <v>12</v>
      </c>
      <c r="J46" s="6" t="n">
        <v>15.55</v>
      </c>
      <c r="K46" s="5" t="inlineStr">
        <is>
          <t>50</t>
        </is>
      </c>
      <c r="L46" s="5" t="n">
        <v>14.3</v>
      </c>
      <c r="M46" s="6" t="n">
        <v>18.53</v>
      </c>
      <c r="N46" s="6" t="n">
        <v>40.24</v>
      </c>
      <c r="O46" s="5" t="inlineStr">
        <is>
          <t>02</t>
        </is>
      </c>
      <c r="P46" s="5" t="n">
        <v>2.2</v>
      </c>
      <c r="Q46" s="5" t="n">
        <v>10.3</v>
      </c>
    </row>
    <row r="47">
      <c r="A47" s="5" t="n">
        <v>8955</v>
      </c>
      <c r="B47" s="5" t="n">
        <v>6</v>
      </c>
      <c r="C47" s="5" t="inlineStr">
        <is>
          <t>COLOR. 7.4.........NATURE COLOR 60G</t>
        </is>
      </c>
      <c r="D47" s="5" t="inlineStr">
        <is>
          <t>33059000</t>
        </is>
      </c>
      <c r="E47" s="5" t="inlineStr">
        <is>
          <t>5401</t>
        </is>
      </c>
      <c r="F47" s="6" t="n">
        <v>188.37</v>
      </c>
      <c r="G47" s="5" t="inlineStr">
        <is>
          <t>10</t>
        </is>
      </c>
      <c r="H47" s="6" t="n">
        <v>129.6</v>
      </c>
      <c r="I47" s="5" t="n">
        <v>12</v>
      </c>
      <c r="J47" s="6" t="n">
        <v>15.55</v>
      </c>
      <c r="K47" s="5" t="inlineStr">
        <is>
          <t>50</t>
        </is>
      </c>
      <c r="L47" s="5" t="n">
        <v>14.3</v>
      </c>
      <c r="M47" s="6" t="n">
        <v>18.53</v>
      </c>
      <c r="N47" s="6" t="n">
        <v>40.24</v>
      </c>
      <c r="O47" s="5" t="inlineStr">
        <is>
          <t>02</t>
        </is>
      </c>
      <c r="P47" s="5" t="n">
        <v>2.2</v>
      </c>
      <c r="Q47" s="5" t="n">
        <v>10.3</v>
      </c>
    </row>
    <row r="48">
      <c r="A48" s="5" t="n">
        <v>8955</v>
      </c>
      <c r="B48" s="5" t="n">
        <v>7</v>
      </c>
      <c r="C48" s="5" t="inlineStr">
        <is>
          <t>COLOR. 7.89......NATURE COLOR 60G</t>
        </is>
      </c>
      <c r="D48" s="5" t="inlineStr">
        <is>
          <t>33059000</t>
        </is>
      </c>
      <c r="E48" s="5" t="inlineStr">
        <is>
          <t>5401</t>
        </is>
      </c>
      <c r="F48" s="6" t="n">
        <v>188.37</v>
      </c>
      <c r="G48" s="5" t="inlineStr">
        <is>
          <t>10</t>
        </is>
      </c>
      <c r="H48" s="6" t="n">
        <v>129.6</v>
      </c>
      <c r="I48" s="5" t="n">
        <v>12</v>
      </c>
      <c r="J48" s="6" t="n">
        <v>15.55</v>
      </c>
      <c r="K48" s="5" t="inlineStr">
        <is>
          <t>50</t>
        </is>
      </c>
      <c r="L48" s="5" t="n">
        <v>14.3</v>
      </c>
      <c r="M48" s="6" t="n">
        <v>18.53</v>
      </c>
      <c r="N48" s="6" t="n">
        <v>40.24</v>
      </c>
      <c r="O48" s="5" t="inlineStr">
        <is>
          <t>02</t>
        </is>
      </c>
      <c r="P48" s="5" t="n">
        <v>2.2</v>
      </c>
      <c r="Q48" s="5" t="n">
        <v>10.3</v>
      </c>
    </row>
    <row r="49">
      <c r="A49" s="5" t="n">
        <v>8955</v>
      </c>
      <c r="B49" s="5" t="n">
        <v>8</v>
      </c>
      <c r="C49" s="5" t="inlineStr">
        <is>
          <t>COLOR. 8.............NATURE COLOR 60G</t>
        </is>
      </c>
      <c r="D49" s="5" t="inlineStr">
        <is>
          <t>33059000</t>
        </is>
      </c>
      <c r="E49" s="5" t="inlineStr">
        <is>
          <t>5401</t>
        </is>
      </c>
      <c r="F49" s="6" t="n">
        <v>282.56</v>
      </c>
      <c r="G49" s="5" t="inlineStr">
        <is>
          <t>10</t>
        </is>
      </c>
      <c r="H49" s="6" t="n">
        <v>194.4</v>
      </c>
      <c r="I49" s="5" t="n">
        <v>12</v>
      </c>
      <c r="J49" s="6" t="n">
        <v>23.33</v>
      </c>
      <c r="K49" s="5" t="inlineStr">
        <is>
          <t>50</t>
        </is>
      </c>
      <c r="L49" s="5" t="n">
        <v>14.3</v>
      </c>
      <c r="M49" s="6" t="n">
        <v>27.8</v>
      </c>
      <c r="N49" s="6" t="n">
        <v>60.36</v>
      </c>
      <c r="O49" s="5" t="inlineStr">
        <is>
          <t>02</t>
        </is>
      </c>
      <c r="P49" s="5" t="n">
        <v>2.2</v>
      </c>
      <c r="Q49" s="5" t="n">
        <v>10.3</v>
      </c>
    </row>
    <row r="50">
      <c r="A50" s="5" t="n">
        <v>8955</v>
      </c>
      <c r="B50" s="5" t="n">
        <v>9</v>
      </c>
      <c r="C50" s="5" t="inlineStr">
        <is>
          <t>COLOR. 8.32.......NATURE COLOR 60G</t>
        </is>
      </c>
      <c r="D50" s="5" t="inlineStr">
        <is>
          <t>33059000</t>
        </is>
      </c>
      <c r="E50" s="5" t="inlineStr">
        <is>
          <t>5401</t>
        </is>
      </c>
      <c r="F50" s="6" t="n">
        <v>188.37</v>
      </c>
      <c r="G50" s="5" t="inlineStr">
        <is>
          <t>10</t>
        </is>
      </c>
      <c r="H50" s="6" t="n">
        <v>129.6</v>
      </c>
      <c r="I50" s="5" t="n">
        <v>12</v>
      </c>
      <c r="J50" s="6" t="n">
        <v>15.55</v>
      </c>
      <c r="K50" s="5" t="inlineStr">
        <is>
          <t>50</t>
        </is>
      </c>
      <c r="L50" s="5" t="n">
        <v>14.3</v>
      </c>
      <c r="M50" s="6" t="n">
        <v>18.53</v>
      </c>
      <c r="N50" s="6" t="n">
        <v>40.24</v>
      </c>
      <c r="O50" s="5" t="inlineStr">
        <is>
          <t>02</t>
        </is>
      </c>
      <c r="P50" s="5" t="n">
        <v>2.2</v>
      </c>
      <c r="Q50" s="5" t="n">
        <v>10.3</v>
      </c>
    </row>
    <row r="51">
      <c r="A51" s="5" t="n">
        <v>8955</v>
      </c>
      <c r="B51" s="5" t="n">
        <v>10</v>
      </c>
      <c r="C51" s="5" t="inlineStr">
        <is>
          <t>COLOR. 9.32.......NATURE COLOR 60G</t>
        </is>
      </c>
      <c r="D51" s="5" t="inlineStr">
        <is>
          <t>33059000</t>
        </is>
      </c>
      <c r="E51" s="5" t="inlineStr">
        <is>
          <t>5401</t>
        </is>
      </c>
      <c r="F51" s="6" t="n">
        <v>188.37</v>
      </c>
      <c r="G51" s="5" t="inlineStr">
        <is>
          <t>10</t>
        </is>
      </c>
      <c r="H51" s="6" t="n">
        <v>129.6</v>
      </c>
      <c r="I51" s="5" t="n">
        <v>12</v>
      </c>
      <c r="J51" s="6" t="n">
        <v>15.55</v>
      </c>
      <c r="K51" s="5" t="inlineStr">
        <is>
          <t>50</t>
        </is>
      </c>
      <c r="L51" s="5" t="n">
        <v>14.3</v>
      </c>
      <c r="M51" s="6" t="n">
        <v>18.53</v>
      </c>
      <c r="N51" s="6" t="n">
        <v>40.24</v>
      </c>
      <c r="O51" s="5" t="inlineStr">
        <is>
          <t>02</t>
        </is>
      </c>
      <c r="P51" s="5" t="n">
        <v>2.2</v>
      </c>
      <c r="Q51" s="5" t="n">
        <v>10.3</v>
      </c>
    </row>
    <row r="52">
      <c r="A52" s="5" t="n">
        <v>8955</v>
      </c>
      <c r="B52" s="5" t="n">
        <v>11</v>
      </c>
      <c r="C52" s="5" t="inlineStr">
        <is>
          <t>COLOR. 9.89.......NATURE COLOR 60G</t>
        </is>
      </c>
      <c r="D52" s="5" t="inlineStr">
        <is>
          <t>33059000</t>
        </is>
      </c>
      <c r="E52" s="5" t="inlineStr">
        <is>
          <t>5401</t>
        </is>
      </c>
      <c r="F52" s="6" t="n">
        <v>282.56</v>
      </c>
      <c r="G52" s="5" t="inlineStr">
        <is>
          <t>10</t>
        </is>
      </c>
      <c r="H52" s="6" t="n">
        <v>194.4</v>
      </c>
      <c r="I52" s="5" t="n">
        <v>12</v>
      </c>
      <c r="J52" s="6" t="n">
        <v>23.33</v>
      </c>
      <c r="K52" s="5" t="inlineStr">
        <is>
          <t>50</t>
        </is>
      </c>
      <c r="L52" s="5" t="n">
        <v>14.3</v>
      </c>
      <c r="M52" s="6" t="n">
        <v>27.8</v>
      </c>
      <c r="N52" s="6" t="n">
        <v>60.36</v>
      </c>
      <c r="O52" s="5" t="inlineStr">
        <is>
          <t>02</t>
        </is>
      </c>
      <c r="P52" s="5" t="n">
        <v>2.2</v>
      </c>
      <c r="Q52" s="5" t="n">
        <v>10.3</v>
      </c>
    </row>
    <row r="53">
      <c r="A53" s="5" t="n">
        <v>8955</v>
      </c>
      <c r="B53" s="5" t="n">
        <v>12</v>
      </c>
      <c r="C53" s="5" t="inlineStr">
        <is>
          <t>COLOR. 10.2.......NATURE COLOR 60G</t>
        </is>
      </c>
      <c r="D53" s="5" t="inlineStr">
        <is>
          <t>33059000</t>
        </is>
      </c>
      <c r="E53" s="5" t="inlineStr">
        <is>
          <t>5401</t>
        </is>
      </c>
      <c r="F53" s="6" t="n">
        <v>94.19</v>
      </c>
      <c r="G53" s="5" t="inlineStr">
        <is>
          <t>10</t>
        </is>
      </c>
      <c r="H53" s="6" t="n">
        <v>64.8</v>
      </c>
      <c r="I53" s="5" t="n">
        <v>12</v>
      </c>
      <c r="J53" s="6" t="n">
        <v>7.78</v>
      </c>
      <c r="K53" s="5" t="inlineStr">
        <is>
          <t>50</t>
        </is>
      </c>
      <c r="L53" s="5" t="n">
        <v>14.3</v>
      </c>
      <c r="M53" s="6" t="n">
        <v>9.27</v>
      </c>
      <c r="N53" s="6" t="n">
        <v>20.12</v>
      </c>
      <c r="O53" s="5" t="inlineStr">
        <is>
          <t>02</t>
        </is>
      </c>
      <c r="P53" s="5" t="n">
        <v>2.2</v>
      </c>
      <c r="Q53" s="5" t="n">
        <v>10.3</v>
      </c>
    </row>
    <row r="54">
      <c r="A54" s="5" t="n">
        <v>8955</v>
      </c>
      <c r="B54" s="5" t="n">
        <v>13</v>
      </c>
      <c r="C54" s="5" t="inlineStr">
        <is>
          <t>COLOR. 11.89....NATURE COLOR 60G</t>
        </is>
      </c>
      <c r="D54" s="5" t="inlineStr">
        <is>
          <t>33059000</t>
        </is>
      </c>
      <c r="E54" s="5" t="inlineStr">
        <is>
          <t>5401</t>
        </is>
      </c>
      <c r="F54" s="6" t="n">
        <v>94.19</v>
      </c>
      <c r="G54" s="5" t="inlineStr">
        <is>
          <t>10</t>
        </is>
      </c>
      <c r="H54" s="6" t="n">
        <v>64.8</v>
      </c>
      <c r="I54" s="5" t="n">
        <v>12</v>
      </c>
      <c r="J54" s="6" t="n">
        <v>7.78</v>
      </c>
      <c r="K54" s="5" t="inlineStr">
        <is>
          <t>50</t>
        </is>
      </c>
      <c r="L54" s="5" t="n">
        <v>14.3</v>
      </c>
      <c r="M54" s="6" t="n">
        <v>9.27</v>
      </c>
      <c r="N54" s="6" t="n">
        <v>20.12</v>
      </c>
      <c r="O54" s="5" t="inlineStr">
        <is>
          <t>02</t>
        </is>
      </c>
      <c r="P54" s="5" t="n">
        <v>2.2</v>
      </c>
      <c r="Q54" s="5" t="n">
        <v>10.3</v>
      </c>
    </row>
    <row r="55">
      <c r="A55" s="5" t="n">
        <v>8955</v>
      </c>
      <c r="B55" s="5" t="n">
        <v>14</v>
      </c>
      <c r="C55" s="5" t="inlineStr">
        <is>
          <t>COLOR. 12..........NATURE COLOR 60G</t>
        </is>
      </c>
      <c r="D55" s="5" t="inlineStr">
        <is>
          <t>33059000</t>
        </is>
      </c>
      <c r="E55" s="5" t="inlineStr">
        <is>
          <t>5401</t>
        </is>
      </c>
      <c r="F55" s="6" t="n">
        <v>47.09</v>
      </c>
      <c r="G55" s="5" t="inlineStr">
        <is>
          <t>10</t>
        </is>
      </c>
      <c r="H55" s="6" t="n">
        <v>32.4</v>
      </c>
      <c r="I55" s="5" t="n">
        <v>12</v>
      </c>
      <c r="J55" s="6" t="n">
        <v>3.89</v>
      </c>
      <c r="K55" s="5" t="inlineStr">
        <is>
          <t>50</t>
        </is>
      </c>
      <c r="L55" s="5" t="n">
        <v>14.3</v>
      </c>
      <c r="M55" s="6" t="n">
        <v>4.63</v>
      </c>
      <c r="N55" s="6" t="n">
        <v>10.06</v>
      </c>
      <c r="O55" s="5" t="inlineStr">
        <is>
          <t>02</t>
        </is>
      </c>
      <c r="P55" s="5" t="n">
        <v>2.2</v>
      </c>
      <c r="Q55" s="5" t="n">
        <v>10.3</v>
      </c>
    </row>
    <row r="56">
      <c r="A56" s="5" t="n">
        <v>8955</v>
      </c>
      <c r="B56" s="5" t="n">
        <v>15</v>
      </c>
      <c r="C56" s="5" t="inlineStr">
        <is>
          <t>COLOR. 66.46....NATURE COLOR 60G</t>
        </is>
      </c>
      <c r="D56" s="5" t="inlineStr">
        <is>
          <t>33059000</t>
        </is>
      </c>
      <c r="E56" s="5" t="inlineStr">
        <is>
          <t>5401</t>
        </is>
      </c>
      <c r="F56" s="6" t="n">
        <v>94.19</v>
      </c>
      <c r="G56" s="5" t="inlineStr">
        <is>
          <t>10</t>
        </is>
      </c>
      <c r="H56" s="6" t="n">
        <v>64.8</v>
      </c>
      <c r="I56" s="5" t="n">
        <v>12</v>
      </c>
      <c r="J56" s="6" t="n">
        <v>7.78</v>
      </c>
      <c r="K56" s="5" t="inlineStr">
        <is>
          <t>50</t>
        </is>
      </c>
      <c r="L56" s="5" t="n">
        <v>14.3</v>
      </c>
      <c r="M56" s="6" t="n">
        <v>9.27</v>
      </c>
      <c r="N56" s="6" t="n">
        <v>20.12</v>
      </c>
      <c r="O56" s="5" t="inlineStr">
        <is>
          <t>02</t>
        </is>
      </c>
      <c r="P56" s="5" t="n">
        <v>2.2</v>
      </c>
      <c r="Q56" s="5" t="n">
        <v>10.3</v>
      </c>
    </row>
    <row r="57">
      <c r="A57" s="5" t="n">
        <v>8955</v>
      </c>
      <c r="B57" s="5" t="n">
        <v>16</v>
      </c>
      <c r="C57" s="5" t="inlineStr">
        <is>
          <t>COLOR. 7.66.......NATURE COLOR 60G</t>
        </is>
      </c>
      <c r="D57" s="5" t="inlineStr">
        <is>
          <t>33059000</t>
        </is>
      </c>
      <c r="E57" s="5" t="inlineStr">
        <is>
          <t>5401</t>
        </is>
      </c>
      <c r="F57" s="6" t="n">
        <v>94.19</v>
      </c>
      <c r="G57" s="5" t="inlineStr">
        <is>
          <t>10</t>
        </is>
      </c>
      <c r="H57" s="6" t="n">
        <v>64.8</v>
      </c>
      <c r="I57" s="5" t="n">
        <v>12</v>
      </c>
      <c r="J57" s="6" t="n">
        <v>7.78</v>
      </c>
      <c r="K57" s="5" t="inlineStr">
        <is>
          <t>50</t>
        </is>
      </c>
      <c r="L57" s="5" t="n">
        <v>14.3</v>
      </c>
      <c r="M57" s="6" t="n">
        <v>9.27</v>
      </c>
      <c r="N57" s="6" t="n">
        <v>20.12</v>
      </c>
      <c r="O57" s="5" t="inlineStr">
        <is>
          <t>02</t>
        </is>
      </c>
      <c r="P57" s="5" t="n">
        <v>2.2</v>
      </c>
      <c r="Q57" s="5" t="n">
        <v>10.3</v>
      </c>
    </row>
    <row r="58">
      <c r="A58" s="5" t="n">
        <v>8955</v>
      </c>
      <c r="B58" s="5" t="n">
        <v>17</v>
      </c>
      <c r="C58" s="5" t="inlineStr">
        <is>
          <t>COLOR. 77.77....NATURE COLOR 60G</t>
        </is>
      </c>
      <c r="D58" s="5" t="inlineStr">
        <is>
          <t>33059000</t>
        </is>
      </c>
      <c r="E58" s="5" t="inlineStr">
        <is>
          <t>5401</t>
        </is>
      </c>
      <c r="F58" s="6" t="n">
        <v>188.37</v>
      </c>
      <c r="G58" s="5" t="inlineStr">
        <is>
          <t>10</t>
        </is>
      </c>
      <c r="H58" s="6" t="n">
        <v>129.6</v>
      </c>
      <c r="I58" s="5" t="n">
        <v>12</v>
      </c>
      <c r="J58" s="6" t="n">
        <v>15.55</v>
      </c>
      <c r="K58" s="5" t="inlineStr">
        <is>
          <t>50</t>
        </is>
      </c>
      <c r="L58" s="5" t="n">
        <v>14.3</v>
      </c>
      <c r="M58" s="6" t="n">
        <v>18.53</v>
      </c>
      <c r="N58" s="6" t="n">
        <v>40.24</v>
      </c>
      <c r="O58" s="5" t="inlineStr">
        <is>
          <t>02</t>
        </is>
      </c>
      <c r="P58" s="5" t="n">
        <v>2.2</v>
      </c>
      <c r="Q58" s="5" t="n">
        <v>10.3</v>
      </c>
    </row>
    <row r="59">
      <c r="A59" s="5" t="n">
        <v>8955</v>
      </c>
      <c r="B59" s="5" t="n">
        <v>18</v>
      </c>
      <c r="C59" s="5" t="inlineStr">
        <is>
          <t>COLOR. 88.77.....NATURE COLOR 60G</t>
        </is>
      </c>
      <c r="D59" s="5" t="inlineStr">
        <is>
          <t>33059000</t>
        </is>
      </c>
      <c r="E59" s="5" t="inlineStr">
        <is>
          <t>5401</t>
        </is>
      </c>
      <c r="F59" s="6" t="n">
        <v>94.19</v>
      </c>
      <c r="G59" s="5" t="inlineStr">
        <is>
          <t>10</t>
        </is>
      </c>
      <c r="H59" s="6" t="n">
        <v>64.8</v>
      </c>
      <c r="I59" s="5" t="n">
        <v>12</v>
      </c>
      <c r="J59" s="6" t="n">
        <v>7.78</v>
      </c>
      <c r="K59" s="5" t="inlineStr">
        <is>
          <t>50</t>
        </is>
      </c>
      <c r="L59" s="5" t="n">
        <v>14.3</v>
      </c>
      <c r="M59" s="6" t="n">
        <v>9.27</v>
      </c>
      <c r="N59" s="6" t="n">
        <v>20.12</v>
      </c>
      <c r="O59" s="5" t="inlineStr">
        <is>
          <t>02</t>
        </is>
      </c>
      <c r="P59" s="5" t="n">
        <v>2.2</v>
      </c>
      <c r="Q59" s="5" t="n">
        <v>10.3</v>
      </c>
    </row>
    <row r="60">
      <c r="A60" s="5" t="n">
        <v>8955</v>
      </c>
      <c r="B60" s="5" t="n">
        <v>19</v>
      </c>
      <c r="C60" s="5" t="inlineStr">
        <is>
          <t>TONALIZANTE 1.1 .......... NATURE TON 60 GR</t>
        </is>
      </c>
      <c r="D60" s="5" t="inlineStr">
        <is>
          <t>33059000</t>
        </is>
      </c>
      <c r="E60" s="5" t="inlineStr">
        <is>
          <t>5401</t>
        </is>
      </c>
      <c r="F60" s="6" t="n">
        <v>94.19</v>
      </c>
      <c r="G60" s="5" t="inlineStr">
        <is>
          <t>10</t>
        </is>
      </c>
      <c r="H60" s="6" t="n">
        <v>64.8</v>
      </c>
      <c r="I60" s="5" t="n">
        <v>12</v>
      </c>
      <c r="J60" s="6" t="n">
        <v>7.78</v>
      </c>
      <c r="K60" s="5" t="inlineStr">
        <is>
          <t>50</t>
        </is>
      </c>
      <c r="L60" s="5" t="n">
        <v>14.3</v>
      </c>
      <c r="M60" s="6" t="n">
        <v>9.27</v>
      </c>
      <c r="N60" s="6" t="n">
        <v>20.12</v>
      </c>
      <c r="O60" s="5" t="inlineStr">
        <is>
          <t>02</t>
        </is>
      </c>
      <c r="P60" s="5" t="n">
        <v>2.2</v>
      </c>
      <c r="Q60" s="5" t="n">
        <v>10.3</v>
      </c>
    </row>
    <row r="61">
      <c r="A61" s="5" t="n">
        <v>8955</v>
      </c>
      <c r="B61" s="5" t="n">
        <v>20</v>
      </c>
      <c r="C61" s="5" t="inlineStr">
        <is>
          <t>TONALIZANTE 3 .......... NATURE TON 60 GR</t>
        </is>
      </c>
      <c r="D61" s="5" t="inlineStr">
        <is>
          <t>33059000</t>
        </is>
      </c>
      <c r="E61" s="5" t="inlineStr">
        <is>
          <t>5401</t>
        </is>
      </c>
      <c r="F61" s="6" t="n">
        <v>188.37</v>
      </c>
      <c r="G61" s="5" t="inlineStr">
        <is>
          <t>10</t>
        </is>
      </c>
      <c r="H61" s="6" t="n">
        <v>129.6</v>
      </c>
      <c r="I61" s="5" t="n">
        <v>12</v>
      </c>
      <c r="J61" s="6" t="n">
        <v>15.55</v>
      </c>
      <c r="K61" s="5" t="inlineStr">
        <is>
          <t>50</t>
        </is>
      </c>
      <c r="L61" s="5" t="n">
        <v>14.3</v>
      </c>
      <c r="M61" s="6" t="n">
        <v>18.53</v>
      </c>
      <c r="N61" s="6" t="n">
        <v>40.24</v>
      </c>
      <c r="O61" s="5" t="inlineStr">
        <is>
          <t>02</t>
        </is>
      </c>
      <c r="P61" s="5" t="n">
        <v>2.2</v>
      </c>
      <c r="Q61" s="5" t="n">
        <v>10.3</v>
      </c>
    </row>
    <row r="62">
      <c r="A62" s="5" t="n">
        <v>8955</v>
      </c>
      <c r="B62" s="5" t="n">
        <v>21</v>
      </c>
      <c r="C62" s="5" t="inlineStr">
        <is>
          <t>TONALIZANTE 5.26 .......... NATURE TON 60 GR</t>
        </is>
      </c>
      <c r="D62" s="5" t="inlineStr">
        <is>
          <t>33059000</t>
        </is>
      </c>
      <c r="E62" s="5" t="inlineStr">
        <is>
          <t>5401</t>
        </is>
      </c>
      <c r="F62" s="6" t="n">
        <v>94.19</v>
      </c>
      <c r="G62" s="5" t="inlineStr">
        <is>
          <t>10</t>
        </is>
      </c>
      <c r="H62" s="6" t="n">
        <v>64.8</v>
      </c>
      <c r="I62" s="5" t="n">
        <v>12</v>
      </c>
      <c r="J62" s="6" t="n">
        <v>7.78</v>
      </c>
      <c r="K62" s="5" t="inlineStr">
        <is>
          <t>50</t>
        </is>
      </c>
      <c r="L62" s="5" t="n">
        <v>14.3</v>
      </c>
      <c r="M62" s="6" t="n">
        <v>9.27</v>
      </c>
      <c r="N62" s="6" t="n">
        <v>20.12</v>
      </c>
      <c r="O62" s="5" t="inlineStr">
        <is>
          <t>02</t>
        </is>
      </c>
      <c r="P62" s="5" t="n">
        <v>2.2</v>
      </c>
      <c r="Q62" s="5" t="n">
        <v>10.3</v>
      </c>
    </row>
    <row r="63">
      <c r="A63" s="5" t="n">
        <v>8955</v>
      </c>
      <c r="B63" s="5" t="n">
        <v>22</v>
      </c>
      <c r="C63" s="5" t="inlineStr">
        <is>
          <t>TONALIZANTE 6.1 .......... NATURE TON 60 GR</t>
        </is>
      </c>
      <c r="D63" s="5" t="inlineStr">
        <is>
          <t>33059000</t>
        </is>
      </c>
      <c r="E63" s="5" t="inlineStr">
        <is>
          <t>5401</t>
        </is>
      </c>
      <c r="F63" s="6" t="n">
        <v>376.75</v>
      </c>
      <c r="G63" s="5" t="inlineStr">
        <is>
          <t>10</t>
        </is>
      </c>
      <c r="H63" s="6" t="n">
        <v>259.2</v>
      </c>
      <c r="I63" s="5" t="n">
        <v>12</v>
      </c>
      <c r="J63" s="6" t="n">
        <v>31.1</v>
      </c>
      <c r="K63" s="5" t="inlineStr">
        <is>
          <t>50</t>
        </is>
      </c>
      <c r="L63" s="5" t="n">
        <v>14.3</v>
      </c>
      <c r="M63" s="6" t="n">
        <v>37.07</v>
      </c>
      <c r="N63" s="6" t="n">
        <v>80.48</v>
      </c>
      <c r="O63" s="5" t="inlineStr">
        <is>
          <t>02</t>
        </is>
      </c>
      <c r="P63" s="5" t="n">
        <v>2.2</v>
      </c>
      <c r="Q63" s="5" t="n">
        <v>10.3</v>
      </c>
    </row>
    <row r="64">
      <c r="A64" s="5" t="n">
        <v>8955</v>
      </c>
      <c r="B64" s="5" t="n">
        <v>23</v>
      </c>
      <c r="C64" s="5" t="inlineStr">
        <is>
          <t>TONALIZANTE 7 .......... NATURE TON 60 GR</t>
        </is>
      </c>
      <c r="D64" s="5" t="inlineStr">
        <is>
          <t>33059000</t>
        </is>
      </c>
      <c r="E64" s="5" t="inlineStr">
        <is>
          <t>5401</t>
        </is>
      </c>
      <c r="F64" s="6" t="n">
        <v>188.37</v>
      </c>
      <c r="G64" s="5" t="inlineStr">
        <is>
          <t>10</t>
        </is>
      </c>
      <c r="H64" s="6" t="n">
        <v>129.6</v>
      </c>
      <c r="I64" s="5" t="n">
        <v>12</v>
      </c>
      <c r="J64" s="6" t="n">
        <v>15.55</v>
      </c>
      <c r="K64" s="5" t="inlineStr">
        <is>
          <t>50</t>
        </is>
      </c>
      <c r="L64" s="5" t="n">
        <v>14.3</v>
      </c>
      <c r="M64" s="6" t="n">
        <v>18.53</v>
      </c>
      <c r="N64" s="6" t="n">
        <v>40.24</v>
      </c>
      <c r="O64" s="5" t="inlineStr">
        <is>
          <t>02</t>
        </is>
      </c>
      <c r="P64" s="5" t="n">
        <v>2.2</v>
      </c>
      <c r="Q64" s="5" t="n">
        <v>10.3</v>
      </c>
    </row>
    <row r="65">
      <c r="A65" s="5" t="n">
        <v>8955</v>
      </c>
      <c r="B65" s="5" t="n">
        <v>24</v>
      </c>
      <c r="C65" s="5" t="inlineStr">
        <is>
          <t>TONALIZANTE 7.4 .......... NATURE TON 60 GR</t>
        </is>
      </c>
      <c r="D65" s="5" t="inlineStr">
        <is>
          <t>33059000</t>
        </is>
      </c>
      <c r="E65" s="5" t="inlineStr">
        <is>
          <t>5401</t>
        </is>
      </c>
      <c r="F65" s="6" t="n">
        <v>94.19</v>
      </c>
      <c r="G65" s="5" t="inlineStr">
        <is>
          <t>10</t>
        </is>
      </c>
      <c r="H65" s="6" t="n">
        <v>64.8</v>
      </c>
      <c r="I65" s="5" t="n">
        <v>12</v>
      </c>
      <c r="J65" s="6" t="n">
        <v>7.78</v>
      </c>
      <c r="K65" s="5" t="inlineStr">
        <is>
          <t>50</t>
        </is>
      </c>
      <c r="L65" s="5" t="n">
        <v>14.3</v>
      </c>
      <c r="M65" s="6" t="n">
        <v>9.27</v>
      </c>
      <c r="N65" s="6" t="n">
        <v>20.12</v>
      </c>
      <c r="O65" s="5" t="inlineStr">
        <is>
          <t>02</t>
        </is>
      </c>
      <c r="P65" s="5" t="n">
        <v>2.2</v>
      </c>
      <c r="Q65" s="5" t="n">
        <v>10.3</v>
      </c>
    </row>
    <row r="66">
      <c r="A66" s="5" t="n">
        <v>8955</v>
      </c>
      <c r="B66" s="5" t="n">
        <v>25</v>
      </c>
      <c r="C66" s="5" t="inlineStr">
        <is>
          <t>TONALIZANTE 8 .......... NATURE TON 60 GR</t>
        </is>
      </c>
      <c r="D66" s="5" t="inlineStr">
        <is>
          <t>33059000</t>
        </is>
      </c>
      <c r="E66" s="5" t="inlineStr">
        <is>
          <t>5401</t>
        </is>
      </c>
      <c r="F66" s="6" t="n">
        <v>94.19</v>
      </c>
      <c r="G66" s="5" t="inlineStr">
        <is>
          <t>10</t>
        </is>
      </c>
      <c r="H66" s="6" t="n">
        <v>64.8</v>
      </c>
      <c r="I66" s="5" t="n">
        <v>12</v>
      </c>
      <c r="J66" s="6" t="n">
        <v>7.78</v>
      </c>
      <c r="K66" s="5" t="inlineStr">
        <is>
          <t>50</t>
        </is>
      </c>
      <c r="L66" s="5" t="n">
        <v>14.3</v>
      </c>
      <c r="M66" s="6" t="n">
        <v>9.27</v>
      </c>
      <c r="N66" s="6" t="n">
        <v>20.12</v>
      </c>
      <c r="O66" s="5" t="inlineStr">
        <is>
          <t>02</t>
        </is>
      </c>
      <c r="P66" s="5" t="n">
        <v>2.2</v>
      </c>
      <c r="Q66" s="5" t="n">
        <v>10.3</v>
      </c>
    </row>
    <row r="67">
      <c r="A67" s="5" t="n">
        <v>8955</v>
      </c>
      <c r="B67" s="5" t="n">
        <v>26</v>
      </c>
      <c r="C67" s="5" t="inlineStr">
        <is>
          <t>TONALIZANTE 9 .......... NATURE TON 60 GR</t>
        </is>
      </c>
      <c r="D67" s="5" t="inlineStr">
        <is>
          <t>33059000</t>
        </is>
      </c>
      <c r="E67" s="5" t="inlineStr">
        <is>
          <t>5401</t>
        </is>
      </c>
      <c r="F67" s="6" t="n">
        <v>94.19</v>
      </c>
      <c r="G67" s="5" t="inlineStr">
        <is>
          <t>10</t>
        </is>
      </c>
      <c r="H67" s="6" t="n">
        <v>64.8</v>
      </c>
      <c r="I67" s="5" t="n">
        <v>12</v>
      </c>
      <c r="J67" s="6" t="n">
        <v>7.78</v>
      </c>
      <c r="K67" s="5" t="inlineStr">
        <is>
          <t>50</t>
        </is>
      </c>
      <c r="L67" s="5" t="n">
        <v>14.3</v>
      </c>
      <c r="M67" s="6" t="n">
        <v>9.27</v>
      </c>
      <c r="N67" s="6" t="n">
        <v>20.12</v>
      </c>
      <c r="O67" s="5" t="inlineStr">
        <is>
          <t>02</t>
        </is>
      </c>
      <c r="P67" s="5" t="n">
        <v>2.2</v>
      </c>
      <c r="Q67" s="5" t="n">
        <v>10.3</v>
      </c>
    </row>
    <row r="68">
      <c r="A68" s="5" t="n">
        <v>8957</v>
      </c>
      <c r="B68" s="5" t="n">
        <v>1</v>
      </c>
      <c r="C68" s="5" t="inlineStr">
        <is>
          <t>COLOR. 7.00................INTENSY 60G</t>
        </is>
      </c>
      <c r="D68" s="5" t="inlineStr">
        <is>
          <t>33059000</t>
        </is>
      </c>
      <c r="E68" s="5" t="inlineStr">
        <is>
          <t>5124</t>
        </is>
      </c>
      <c r="F68" s="6" t="n">
        <v>1350</v>
      </c>
      <c r="G68" s="5" t="inlineStr">
        <is>
          <t>51</t>
        </is>
      </c>
      <c r="H68" s="6" t="n">
        <v>1350</v>
      </c>
      <c r="I68" s="5" t="n">
        <v>19.5</v>
      </c>
      <c r="J68" s="6" t="n">
        <v>0</v>
      </c>
      <c r="K68" s="5" t="inlineStr">
        <is>
          <t>55</t>
        </is>
      </c>
      <c r="L68" s="5" t="n">
        <v>0</v>
      </c>
      <c r="M68" s="6" t="n">
        <v>0</v>
      </c>
      <c r="N68" s="6" t="n">
        <v>0</v>
      </c>
      <c r="O68" s="5" t="inlineStr">
        <is>
          <t>02</t>
        </is>
      </c>
      <c r="P68" s="5" t="n">
        <v>2.2</v>
      </c>
      <c r="Q68" s="5" t="n">
        <v>10.3</v>
      </c>
    </row>
    <row r="69">
      <c r="A69" s="5" t="n">
        <v>8957</v>
      </c>
      <c r="B69" s="5" t="n">
        <v>2</v>
      </c>
      <c r="C69" s="5" t="inlineStr">
        <is>
          <t>COLOR. 7.....................INTENSY 60G</t>
        </is>
      </c>
      <c r="D69" s="5" t="inlineStr">
        <is>
          <t>33059000</t>
        </is>
      </c>
      <c r="E69" s="5" t="inlineStr">
        <is>
          <t>5124</t>
        </is>
      </c>
      <c r="F69" s="6" t="n">
        <v>414</v>
      </c>
      <c r="G69" s="5" t="inlineStr">
        <is>
          <t>51</t>
        </is>
      </c>
      <c r="H69" s="6" t="n">
        <v>414</v>
      </c>
      <c r="I69" s="5" t="n">
        <v>19.5</v>
      </c>
      <c r="J69" s="6" t="n">
        <v>0</v>
      </c>
      <c r="K69" s="5" t="inlineStr">
        <is>
          <t>55</t>
        </is>
      </c>
      <c r="L69" s="5" t="n">
        <v>0</v>
      </c>
      <c r="M69" s="6" t="n">
        <v>0</v>
      </c>
      <c r="N69" s="6" t="n">
        <v>0</v>
      </c>
      <c r="O69" s="5" t="inlineStr">
        <is>
          <t>02</t>
        </is>
      </c>
      <c r="P69" s="5" t="n">
        <v>2.2</v>
      </c>
      <c r="Q69" s="5" t="n">
        <v>10.3</v>
      </c>
    </row>
    <row r="70">
      <c r="A70" s="5" t="n">
        <v>8958</v>
      </c>
      <c r="B70" s="5" t="n">
        <v>1</v>
      </c>
      <c r="C70" s="5" t="inlineStr">
        <is>
          <t>CARTUCHO COLOR. INTENSY 60G</t>
        </is>
      </c>
      <c r="D70" s="5" t="inlineStr">
        <is>
          <t>48191000</t>
        </is>
      </c>
      <c r="E70" s="5" t="inlineStr">
        <is>
          <t>5902</t>
        </is>
      </c>
      <c r="F70" s="6" t="n">
        <v>182.4</v>
      </c>
      <c r="G70" s="5" t="inlineStr">
        <is>
          <t>41</t>
        </is>
      </c>
      <c r="H70" s="6" t="n">
        <v>0</v>
      </c>
      <c r="I70" s="5" t="n">
        <v>0</v>
      </c>
      <c r="J70" s="6" t="n">
        <v>0</v>
      </c>
      <c r="K70" s="5" t="n"/>
      <c r="L70" s="5" t="n">
        <v>0</v>
      </c>
      <c r="M70" s="6" t="n">
        <v>0</v>
      </c>
      <c r="N70" s="6" t="n">
        <v>0</v>
      </c>
      <c r="O70" s="5" t="inlineStr">
        <is>
          <t>49</t>
        </is>
      </c>
      <c r="P70" s="5" t="n">
        <v>0</v>
      </c>
      <c r="Q70" s="5" t="n">
        <v>0</v>
      </c>
    </row>
    <row r="71">
      <c r="A71" s="5" t="n">
        <v>8959</v>
      </c>
      <c r="B71" s="5" t="n">
        <v>1</v>
      </c>
      <c r="C71" s="5" t="inlineStr">
        <is>
          <t>COLOR 1...BEAUTY MIXX</t>
        </is>
      </c>
      <c r="D71" s="5" t="inlineStr">
        <is>
          <t>33059000</t>
        </is>
      </c>
      <c r="E71" s="5" t="inlineStr">
        <is>
          <t>5124</t>
        </is>
      </c>
      <c r="F71" s="6" t="n">
        <v>1656</v>
      </c>
      <c r="G71" s="5" t="inlineStr">
        <is>
          <t>51</t>
        </is>
      </c>
      <c r="H71" s="6" t="n">
        <v>1656</v>
      </c>
      <c r="I71" s="5" t="n">
        <v>19.5</v>
      </c>
      <c r="J71" s="6" t="n">
        <v>0</v>
      </c>
      <c r="K71" s="5" t="inlineStr">
        <is>
          <t>55</t>
        </is>
      </c>
      <c r="L71" s="5" t="n">
        <v>0</v>
      </c>
      <c r="M71" s="6" t="n">
        <v>0</v>
      </c>
      <c r="N71" s="6" t="n">
        <v>0</v>
      </c>
      <c r="O71" s="5" t="inlineStr">
        <is>
          <t>02</t>
        </is>
      </c>
      <c r="P71" s="5" t="n">
        <v>2.2</v>
      </c>
      <c r="Q71" s="5" t="n">
        <v>10.3</v>
      </c>
    </row>
    <row r="72">
      <c r="A72" s="5" t="n">
        <v>8959</v>
      </c>
      <c r="B72" s="5" t="n">
        <v>2</v>
      </c>
      <c r="C72" s="5" t="inlineStr">
        <is>
          <t>COLOR 5...BEAUTY MIXX</t>
        </is>
      </c>
      <c r="D72" s="5" t="inlineStr">
        <is>
          <t>33059000</t>
        </is>
      </c>
      <c r="E72" s="5" t="inlineStr">
        <is>
          <t>5124</t>
        </is>
      </c>
      <c r="F72" s="6" t="n">
        <v>2412</v>
      </c>
      <c r="G72" s="5" t="inlineStr">
        <is>
          <t>51</t>
        </is>
      </c>
      <c r="H72" s="6" t="n">
        <v>2412</v>
      </c>
      <c r="I72" s="5" t="n">
        <v>19.5</v>
      </c>
      <c r="J72" s="6" t="n">
        <v>0</v>
      </c>
      <c r="K72" s="5" t="inlineStr">
        <is>
          <t>55</t>
        </is>
      </c>
      <c r="L72" s="5" t="n">
        <v>0</v>
      </c>
      <c r="M72" s="6" t="n">
        <v>0</v>
      </c>
      <c r="N72" s="6" t="n">
        <v>0</v>
      </c>
      <c r="O72" s="5" t="inlineStr">
        <is>
          <t>02</t>
        </is>
      </c>
      <c r="P72" s="5" t="n">
        <v>2.2</v>
      </c>
      <c r="Q72" s="5" t="n">
        <v>10.3</v>
      </c>
    </row>
    <row r="73">
      <c r="A73" s="5" t="n">
        <v>8959</v>
      </c>
      <c r="B73" s="5" t="n">
        <v>3</v>
      </c>
      <c r="C73" s="5" t="inlineStr">
        <is>
          <t>COLOR 7.3...BEAUTY MIXX</t>
        </is>
      </c>
      <c r="D73" s="5" t="inlineStr">
        <is>
          <t>33059000</t>
        </is>
      </c>
      <c r="E73" s="5" t="inlineStr">
        <is>
          <t>5124</t>
        </is>
      </c>
      <c r="F73" s="6" t="n">
        <v>948</v>
      </c>
      <c r="G73" s="5" t="inlineStr">
        <is>
          <t>51</t>
        </is>
      </c>
      <c r="H73" s="6" t="n">
        <v>948</v>
      </c>
      <c r="I73" s="5" t="n">
        <v>19.5</v>
      </c>
      <c r="J73" s="6" t="n">
        <v>0</v>
      </c>
      <c r="K73" s="5" t="inlineStr">
        <is>
          <t>55</t>
        </is>
      </c>
      <c r="L73" s="5" t="n">
        <v>0</v>
      </c>
      <c r="M73" s="6" t="n">
        <v>0</v>
      </c>
      <c r="N73" s="6" t="n">
        <v>0</v>
      </c>
      <c r="O73" s="5" t="inlineStr">
        <is>
          <t>02</t>
        </is>
      </c>
      <c r="P73" s="5" t="n">
        <v>2.2</v>
      </c>
      <c r="Q73" s="5" t="n">
        <v>10.3</v>
      </c>
    </row>
    <row r="74">
      <c r="A74" s="5" t="n">
        <v>8960</v>
      </c>
      <c r="B74" s="5" t="n">
        <v>1</v>
      </c>
      <c r="C74" s="5" t="inlineStr">
        <is>
          <t>CARTUCHO COLORACAO BEAUTY MIXX</t>
        </is>
      </c>
      <c r="D74" s="5" t="inlineStr">
        <is>
          <t>48191000</t>
        </is>
      </c>
      <c r="E74" s="5" t="inlineStr">
        <is>
          <t>5902</t>
        </is>
      </c>
      <c r="F74" s="6" t="n">
        <v>266.4</v>
      </c>
      <c r="G74" s="5" t="inlineStr">
        <is>
          <t>41</t>
        </is>
      </c>
      <c r="H74" s="6" t="n">
        <v>0</v>
      </c>
      <c r="I74" s="5" t="n">
        <v>0</v>
      </c>
      <c r="J74" s="6" t="n">
        <v>0</v>
      </c>
      <c r="K74" s="5" t="n"/>
      <c r="L74" s="5" t="n">
        <v>0</v>
      </c>
      <c r="M74" s="6" t="n">
        <v>0</v>
      </c>
      <c r="N74" s="6" t="n">
        <v>0</v>
      </c>
      <c r="O74" s="5" t="inlineStr">
        <is>
          <t>49</t>
        </is>
      </c>
      <c r="P74" s="5" t="n">
        <v>0</v>
      </c>
      <c r="Q74" s="5" t="n">
        <v>0</v>
      </c>
    </row>
    <row r="75">
      <c r="A75" s="5" t="n">
        <v>8961</v>
      </c>
      <c r="B75" s="5" t="n">
        <v>1</v>
      </c>
      <c r="C75" s="5" t="inlineStr">
        <is>
          <t>COLOR. 5..............VIBRANCE COLOR 60G</t>
        </is>
      </c>
      <c r="D75" s="5" t="inlineStr">
        <is>
          <t>33059000</t>
        </is>
      </c>
      <c r="E75" s="5" t="inlineStr">
        <is>
          <t>6124</t>
        </is>
      </c>
      <c r="F75" s="6" t="n">
        <v>810</v>
      </c>
      <c r="G75" s="5" t="inlineStr">
        <is>
          <t>00</t>
        </is>
      </c>
      <c r="H75" s="6" t="n">
        <v>810</v>
      </c>
      <c r="I75" s="5" t="n">
        <v>12</v>
      </c>
      <c r="J75" s="6" t="n">
        <v>97.2</v>
      </c>
      <c r="K75" s="5" t="inlineStr">
        <is>
          <t>55</t>
        </is>
      </c>
      <c r="L75" s="5" t="n">
        <v>0</v>
      </c>
      <c r="M75" s="6" t="n">
        <v>0</v>
      </c>
      <c r="N75" s="6" t="n">
        <v>0</v>
      </c>
      <c r="O75" s="5" t="inlineStr">
        <is>
          <t>02</t>
        </is>
      </c>
      <c r="P75" s="5" t="n">
        <v>2.2</v>
      </c>
      <c r="Q75" s="5" t="n">
        <v>10.3</v>
      </c>
    </row>
    <row r="76">
      <c r="A76" s="5" t="n">
        <v>8961</v>
      </c>
      <c r="B76" s="5" t="n">
        <v>2</v>
      </c>
      <c r="C76" s="5" t="inlineStr">
        <is>
          <t>COLOR. 6..............VIBRANCE COLOR 60G</t>
        </is>
      </c>
      <c r="D76" s="5" t="inlineStr">
        <is>
          <t>33059000</t>
        </is>
      </c>
      <c r="E76" s="5" t="inlineStr">
        <is>
          <t>6124</t>
        </is>
      </c>
      <c r="F76" s="6" t="n">
        <v>405</v>
      </c>
      <c r="G76" s="5" t="inlineStr">
        <is>
          <t>00</t>
        </is>
      </c>
      <c r="H76" s="6" t="n">
        <v>405</v>
      </c>
      <c r="I76" s="5" t="n">
        <v>12</v>
      </c>
      <c r="J76" s="6" t="n">
        <v>48.6</v>
      </c>
      <c r="K76" s="5" t="inlineStr">
        <is>
          <t>55</t>
        </is>
      </c>
      <c r="L76" s="5" t="n">
        <v>0</v>
      </c>
      <c r="M76" s="6" t="n">
        <v>0</v>
      </c>
      <c r="N76" s="6" t="n">
        <v>0</v>
      </c>
      <c r="O76" s="5" t="inlineStr">
        <is>
          <t>02</t>
        </is>
      </c>
      <c r="P76" s="5" t="n">
        <v>2.2</v>
      </c>
      <c r="Q76" s="5" t="n">
        <v>10.3</v>
      </c>
    </row>
    <row r="77">
      <c r="A77" s="5" t="n">
        <v>8961</v>
      </c>
      <c r="B77" s="5" t="n">
        <v>3</v>
      </c>
      <c r="C77" s="5" t="inlineStr">
        <is>
          <t>COLOR. 7..............VIBRANCE COLOR 60G</t>
        </is>
      </c>
      <c r="D77" s="5" t="inlineStr">
        <is>
          <t>33059000</t>
        </is>
      </c>
      <c r="E77" s="5" t="inlineStr">
        <is>
          <t>6124</t>
        </is>
      </c>
      <c r="F77" s="6" t="n">
        <v>405</v>
      </c>
      <c r="G77" s="5" t="inlineStr">
        <is>
          <t>00</t>
        </is>
      </c>
      <c r="H77" s="6" t="n">
        <v>405</v>
      </c>
      <c r="I77" s="5" t="n">
        <v>12</v>
      </c>
      <c r="J77" s="6" t="n">
        <v>48.6</v>
      </c>
      <c r="K77" s="5" t="inlineStr">
        <is>
          <t>55</t>
        </is>
      </c>
      <c r="L77" s="5" t="n">
        <v>0</v>
      </c>
      <c r="M77" s="6" t="n">
        <v>0</v>
      </c>
      <c r="N77" s="6" t="n">
        <v>0</v>
      </c>
      <c r="O77" s="5" t="inlineStr">
        <is>
          <t>02</t>
        </is>
      </c>
      <c r="P77" s="5" t="n">
        <v>2.2</v>
      </c>
      <c r="Q77" s="5" t="n">
        <v>10.3</v>
      </c>
    </row>
    <row r="78">
      <c r="A78" s="5" t="n">
        <v>8962</v>
      </c>
      <c r="B78" s="5" t="n">
        <v>1</v>
      </c>
      <c r="C78" s="5" t="inlineStr">
        <is>
          <t>CAIXA MASTER COLORACAO VIBRANCE 30 UND</t>
        </is>
      </c>
      <c r="D78" s="5" t="inlineStr">
        <is>
          <t>48191000</t>
        </is>
      </c>
      <c r="E78" s="5" t="inlineStr">
        <is>
          <t>6902</t>
        </is>
      </c>
      <c r="F78" s="6" t="n">
        <v>77.59999999999999</v>
      </c>
      <c r="G78" s="5" t="inlineStr">
        <is>
          <t>41</t>
        </is>
      </c>
      <c r="H78" s="6" t="n">
        <v>0</v>
      </c>
      <c r="I78" s="5" t="n">
        <v>0</v>
      </c>
      <c r="J78" s="6" t="n">
        <v>0</v>
      </c>
      <c r="K78" s="5" t="n"/>
      <c r="L78" s="5" t="n">
        <v>0</v>
      </c>
      <c r="M78" s="6" t="n">
        <v>0</v>
      </c>
      <c r="N78" s="6" t="n">
        <v>0</v>
      </c>
      <c r="O78" s="5" t="inlineStr">
        <is>
          <t>49</t>
        </is>
      </c>
      <c r="P78" s="5" t="n">
        <v>0</v>
      </c>
      <c r="Q78" s="5" t="n">
        <v>0</v>
      </c>
    </row>
    <row r="79">
      <c r="A79" s="5" t="n">
        <v>8962</v>
      </c>
      <c r="B79" s="5" t="n">
        <v>2</v>
      </c>
      <c r="C79" s="5" t="inlineStr">
        <is>
          <t>CARTUCHO VIBRANCE COLOR 60G</t>
        </is>
      </c>
      <c r="D79" s="5" t="inlineStr">
        <is>
          <t>48191000</t>
        </is>
      </c>
      <c r="E79" s="5" t="inlineStr">
        <is>
          <t>6902</t>
        </is>
      </c>
      <c r="F79" s="6" t="n">
        <v>636</v>
      </c>
      <c r="G79" s="5" t="inlineStr">
        <is>
          <t>41</t>
        </is>
      </c>
      <c r="H79" s="6" t="n">
        <v>0</v>
      </c>
      <c r="I79" s="5" t="n">
        <v>0</v>
      </c>
      <c r="J79" s="6" t="n">
        <v>0</v>
      </c>
      <c r="K79" s="5" t="n"/>
      <c r="L79" s="5" t="n">
        <v>0</v>
      </c>
      <c r="M79" s="6" t="n">
        <v>0</v>
      </c>
      <c r="N79" s="6" t="n">
        <v>0</v>
      </c>
      <c r="O79" s="5" t="inlineStr">
        <is>
          <t>49</t>
        </is>
      </c>
      <c r="P79" s="5" t="n">
        <v>0</v>
      </c>
      <c r="Q79" s="5" t="n">
        <v>0</v>
      </c>
    </row>
    <row r="80">
      <c r="A80" s="5" t="n">
        <v>8962</v>
      </c>
      <c r="B80" s="5" t="n">
        <v>3</v>
      </c>
      <c r="C80" s="5" t="inlineStr">
        <is>
          <t>BISNAGA COLORACAO ALUMINIO VIBRANCE 60G</t>
        </is>
      </c>
      <c r="D80" s="5" t="inlineStr">
        <is>
          <t>76121000</t>
        </is>
      </c>
      <c r="E80" s="5" t="inlineStr">
        <is>
          <t>6902</t>
        </is>
      </c>
      <c r="F80" s="6" t="n">
        <v>1092</v>
      </c>
      <c r="G80" s="5" t="inlineStr">
        <is>
          <t>41</t>
        </is>
      </c>
      <c r="H80" s="6" t="n">
        <v>0</v>
      </c>
      <c r="I80" s="5" t="n">
        <v>0</v>
      </c>
      <c r="J80" s="6" t="n">
        <v>0</v>
      </c>
      <c r="K80" s="5" t="n"/>
      <c r="L80" s="5" t="n">
        <v>0</v>
      </c>
      <c r="M80" s="6" t="n">
        <v>0</v>
      </c>
      <c r="N80" s="6" t="n">
        <v>0</v>
      </c>
      <c r="O80" s="5" t="inlineStr">
        <is>
          <t>49</t>
        </is>
      </c>
      <c r="P80" s="5" t="n">
        <v>0</v>
      </c>
      <c r="Q80" s="5" t="n">
        <v>0</v>
      </c>
    </row>
    <row r="81">
      <c r="A81" s="5" t="n">
        <v>8963</v>
      </c>
      <c r="B81" s="5" t="n">
        <v>1</v>
      </c>
      <c r="C81" s="5" t="inlineStr">
        <is>
          <t>COLOR. 1.1.............. BEAU BELLA 60G</t>
        </is>
      </c>
      <c r="D81" s="5" t="inlineStr">
        <is>
          <t>33059000</t>
        </is>
      </c>
      <c r="E81" s="5" t="inlineStr">
        <is>
          <t>5124</t>
        </is>
      </c>
      <c r="F81" s="6" t="n">
        <v>231</v>
      </c>
      <c r="G81" s="5" t="inlineStr">
        <is>
          <t>51</t>
        </is>
      </c>
      <c r="H81" s="6" t="n">
        <v>231</v>
      </c>
      <c r="I81" s="5" t="n">
        <v>19.5</v>
      </c>
      <c r="J81" s="6" t="n">
        <v>0</v>
      </c>
      <c r="K81" s="5" t="inlineStr">
        <is>
          <t>55</t>
        </is>
      </c>
      <c r="L81" s="5" t="n">
        <v>0</v>
      </c>
      <c r="M81" s="6" t="n">
        <v>0</v>
      </c>
      <c r="N81" s="6" t="n">
        <v>0</v>
      </c>
      <c r="O81" s="5" t="inlineStr">
        <is>
          <t>02</t>
        </is>
      </c>
      <c r="P81" s="5" t="n">
        <v>2.2</v>
      </c>
      <c r="Q81" s="5" t="n">
        <v>10.3</v>
      </c>
    </row>
    <row r="82">
      <c r="A82" s="5" t="n">
        <v>8963</v>
      </c>
      <c r="B82" s="5" t="n">
        <v>2</v>
      </c>
      <c r="C82" s="5" t="inlineStr">
        <is>
          <t>COLOR. 5.1.............. BEAU BELLA 60G</t>
        </is>
      </c>
      <c r="D82" s="5" t="inlineStr">
        <is>
          <t>33059000</t>
        </is>
      </c>
      <c r="E82" s="5" t="inlineStr">
        <is>
          <t>5124</t>
        </is>
      </c>
      <c r="F82" s="6" t="n">
        <v>216.9</v>
      </c>
      <c r="G82" s="5" t="inlineStr">
        <is>
          <t>51</t>
        </is>
      </c>
      <c r="H82" s="6" t="n">
        <v>216.9</v>
      </c>
      <c r="I82" s="5" t="n">
        <v>19.5</v>
      </c>
      <c r="J82" s="6" t="n">
        <v>0</v>
      </c>
      <c r="K82" s="5" t="inlineStr">
        <is>
          <t>55</t>
        </is>
      </c>
      <c r="L82" s="5" t="n">
        <v>0</v>
      </c>
      <c r="M82" s="6" t="n">
        <v>0</v>
      </c>
      <c r="N82" s="6" t="n">
        <v>0</v>
      </c>
      <c r="O82" s="5" t="inlineStr">
        <is>
          <t>02</t>
        </is>
      </c>
      <c r="P82" s="5" t="n">
        <v>2.2</v>
      </c>
      <c r="Q82" s="5" t="n">
        <v>10.3</v>
      </c>
    </row>
    <row r="83">
      <c r="A83" s="5" t="n">
        <v>8963</v>
      </c>
      <c r="B83" s="5" t="n">
        <v>3</v>
      </c>
      <c r="C83" s="5" t="inlineStr">
        <is>
          <t>COLOR. 6................. BEAU BELLA 60G</t>
        </is>
      </c>
      <c r="D83" s="5" t="inlineStr">
        <is>
          <t>33059000</t>
        </is>
      </c>
      <c r="E83" s="5" t="inlineStr">
        <is>
          <t>5124</t>
        </is>
      </c>
      <c r="F83" s="6" t="n">
        <v>216.9</v>
      </c>
      <c r="G83" s="5" t="inlineStr">
        <is>
          <t>51</t>
        </is>
      </c>
      <c r="H83" s="6" t="n">
        <v>216.9</v>
      </c>
      <c r="I83" s="5" t="n">
        <v>19.5</v>
      </c>
      <c r="J83" s="6" t="n">
        <v>0</v>
      </c>
      <c r="K83" s="5" t="inlineStr">
        <is>
          <t>55</t>
        </is>
      </c>
      <c r="L83" s="5" t="n">
        <v>0</v>
      </c>
      <c r="M83" s="6" t="n">
        <v>0</v>
      </c>
      <c r="N83" s="6" t="n">
        <v>0</v>
      </c>
      <c r="O83" s="5" t="inlineStr">
        <is>
          <t>02</t>
        </is>
      </c>
      <c r="P83" s="5" t="n">
        <v>2.2</v>
      </c>
      <c r="Q83" s="5" t="n">
        <v>10.3</v>
      </c>
    </row>
    <row r="84">
      <c r="A84" s="5" t="n">
        <v>8963</v>
      </c>
      <c r="B84" s="5" t="n">
        <v>4</v>
      </c>
      <c r="C84" s="5" t="inlineStr">
        <is>
          <t>COLOR. 6.1.............. BEAU BELLA 60G</t>
        </is>
      </c>
      <c r="D84" s="5" t="inlineStr">
        <is>
          <t>33059000</t>
        </is>
      </c>
      <c r="E84" s="5" t="inlineStr">
        <is>
          <t>5124</t>
        </is>
      </c>
      <c r="F84" s="6" t="n">
        <v>216.9</v>
      </c>
      <c r="G84" s="5" t="inlineStr">
        <is>
          <t>51</t>
        </is>
      </c>
      <c r="H84" s="6" t="n">
        <v>216.9</v>
      </c>
      <c r="I84" s="5" t="n">
        <v>19.5</v>
      </c>
      <c r="J84" s="6" t="n">
        <v>0</v>
      </c>
      <c r="K84" s="5" t="inlineStr">
        <is>
          <t>55</t>
        </is>
      </c>
      <c r="L84" s="5" t="n">
        <v>0</v>
      </c>
      <c r="M84" s="6" t="n">
        <v>0</v>
      </c>
      <c r="N84" s="6" t="n">
        <v>0</v>
      </c>
      <c r="O84" s="5" t="inlineStr">
        <is>
          <t>02</t>
        </is>
      </c>
      <c r="P84" s="5" t="n">
        <v>2.2</v>
      </c>
      <c r="Q84" s="5" t="n">
        <v>10.3</v>
      </c>
    </row>
    <row r="85">
      <c r="A85" s="5" t="n">
        <v>8963</v>
      </c>
      <c r="B85" s="5" t="n">
        <v>5</v>
      </c>
      <c r="C85" s="5" t="inlineStr">
        <is>
          <t>COLOR. 8.1.............. BEAU BELLA 60G</t>
        </is>
      </c>
      <c r="D85" s="5" t="inlineStr">
        <is>
          <t>33059000</t>
        </is>
      </c>
      <c r="E85" s="5" t="inlineStr">
        <is>
          <t>5124</t>
        </is>
      </c>
      <c r="F85" s="6" t="n">
        <v>231</v>
      </c>
      <c r="G85" s="5" t="inlineStr">
        <is>
          <t>51</t>
        </is>
      </c>
      <c r="H85" s="6" t="n">
        <v>231</v>
      </c>
      <c r="I85" s="5" t="n">
        <v>19.5</v>
      </c>
      <c r="J85" s="6" t="n">
        <v>0</v>
      </c>
      <c r="K85" s="5" t="inlineStr">
        <is>
          <t>55</t>
        </is>
      </c>
      <c r="L85" s="5" t="n">
        <v>0</v>
      </c>
      <c r="M85" s="6" t="n">
        <v>0</v>
      </c>
      <c r="N85" s="6" t="n">
        <v>0</v>
      </c>
      <c r="O85" s="5" t="inlineStr">
        <is>
          <t>02</t>
        </is>
      </c>
      <c r="P85" s="5" t="n">
        <v>2.2</v>
      </c>
      <c r="Q85" s="5" t="n">
        <v>10.3</v>
      </c>
    </row>
    <row r="86">
      <c r="A86" s="5" t="n">
        <v>8963</v>
      </c>
      <c r="B86" s="5" t="n">
        <v>6</v>
      </c>
      <c r="C86" s="5" t="inlineStr">
        <is>
          <t>TON. 7.74 MORENA ILUMINADA........BEAU BELLA 60G</t>
        </is>
      </c>
      <c r="D86" s="5" t="inlineStr">
        <is>
          <t>33059000</t>
        </is>
      </c>
      <c r="E86" s="5" t="inlineStr">
        <is>
          <t>5124</t>
        </is>
      </c>
      <c r="F86" s="6" t="n">
        <v>267</v>
      </c>
      <c r="G86" s="5" t="inlineStr">
        <is>
          <t>51</t>
        </is>
      </c>
      <c r="H86" s="6" t="n">
        <v>267</v>
      </c>
      <c r="I86" s="5" t="n">
        <v>19.5</v>
      </c>
      <c r="J86" s="6" t="n">
        <v>0</v>
      </c>
      <c r="K86" s="5" t="inlineStr">
        <is>
          <t>55</t>
        </is>
      </c>
      <c r="L86" s="5" t="n">
        <v>0</v>
      </c>
      <c r="M86" s="6" t="n">
        <v>0</v>
      </c>
      <c r="N86" s="6" t="n">
        <v>0</v>
      </c>
      <c r="O86" s="5" t="inlineStr">
        <is>
          <t>02</t>
        </is>
      </c>
      <c r="P86" s="5" t="n">
        <v>2.2</v>
      </c>
      <c r="Q86" s="5" t="n">
        <v>10.3</v>
      </c>
    </row>
    <row r="87">
      <c r="A87" s="5" t="n">
        <v>8964</v>
      </c>
      <c r="B87" s="5" t="n">
        <v>1</v>
      </c>
      <c r="C87" s="5" t="inlineStr">
        <is>
          <t>CARTUCHO COLORACAO BEAU BELLA 60G</t>
        </is>
      </c>
      <c r="D87" s="5" t="inlineStr">
        <is>
          <t>48191000</t>
        </is>
      </c>
      <c r="E87" s="5" t="inlineStr">
        <is>
          <t>5902</t>
        </is>
      </c>
      <c r="F87" s="6" t="n">
        <v>417.6</v>
      </c>
      <c r="G87" s="5" t="inlineStr">
        <is>
          <t>41</t>
        </is>
      </c>
      <c r="H87" s="6" t="n">
        <v>0</v>
      </c>
      <c r="I87" s="5" t="n">
        <v>0</v>
      </c>
      <c r="J87" s="6" t="n">
        <v>0</v>
      </c>
      <c r="K87" s="5" t="n"/>
      <c r="L87" s="5" t="n">
        <v>0</v>
      </c>
      <c r="M87" s="6" t="n">
        <v>0</v>
      </c>
      <c r="N87" s="6" t="n">
        <v>0</v>
      </c>
      <c r="O87" s="5" t="inlineStr">
        <is>
          <t>49</t>
        </is>
      </c>
      <c r="P87" s="5" t="n">
        <v>0</v>
      </c>
      <c r="Q87" s="5" t="n">
        <v>0</v>
      </c>
    </row>
    <row r="88">
      <c r="A88" s="5" t="n">
        <v>8966</v>
      </c>
      <c r="B88" s="5" t="n">
        <v>1</v>
      </c>
      <c r="C88" s="5" t="inlineStr">
        <is>
          <t>NEUTRALIZANTE ALL NATURE - 500ML</t>
        </is>
      </c>
      <c r="D88" s="5" t="inlineStr">
        <is>
          <t>33059000</t>
        </is>
      </c>
      <c r="E88" s="5" t="inlineStr">
        <is>
          <t>6102</t>
        </is>
      </c>
      <c r="F88" s="6" t="n">
        <v>667.6799999999999</v>
      </c>
      <c r="G88" s="5" t="inlineStr">
        <is>
          <t>00</t>
        </is>
      </c>
      <c r="H88" s="6" t="n">
        <v>667.6799999999999</v>
      </c>
      <c r="I88" s="5" t="n">
        <v>12</v>
      </c>
      <c r="J88" s="6" t="n">
        <v>80.12</v>
      </c>
      <c r="K88" s="5" t="inlineStr">
        <is>
          <t>51</t>
        </is>
      </c>
      <c r="L88" s="5" t="n">
        <v>0</v>
      </c>
      <c r="M88" s="6" t="n">
        <v>0</v>
      </c>
      <c r="N88" s="6" t="n">
        <v>0</v>
      </c>
      <c r="O88" s="5" t="inlineStr">
        <is>
          <t>02</t>
        </is>
      </c>
      <c r="P88" s="5" t="n">
        <v>2.2</v>
      </c>
      <c r="Q88" s="5" t="n">
        <v>10.3</v>
      </c>
    </row>
    <row r="89">
      <c r="A89" s="5" t="n">
        <v>8967</v>
      </c>
      <c r="B89" s="5" t="n">
        <v>1</v>
      </c>
      <c r="C89" s="5" t="inlineStr">
        <is>
          <t>COLOR. 6.............NATURE COLOR 60G</t>
        </is>
      </c>
      <c r="D89" s="5" t="inlineStr">
        <is>
          <t>33059000</t>
        </is>
      </c>
      <c r="E89" s="5" t="inlineStr">
        <is>
          <t>6102</t>
        </is>
      </c>
      <c r="F89" s="6" t="n">
        <v>370.33</v>
      </c>
      <c r="G89" s="5" t="inlineStr">
        <is>
          <t>00</t>
        </is>
      </c>
      <c r="H89" s="6" t="n">
        <v>370.33</v>
      </c>
      <c r="I89" s="5" t="n">
        <v>12</v>
      </c>
      <c r="J89" s="6" t="n">
        <v>44.44</v>
      </c>
      <c r="K89" s="5" t="inlineStr">
        <is>
          <t>50</t>
        </is>
      </c>
      <c r="L89" s="5" t="n">
        <v>14.3</v>
      </c>
      <c r="M89" s="6" t="n">
        <v>46.33</v>
      </c>
      <c r="N89" s="6" t="n">
        <v>0</v>
      </c>
      <c r="O89" s="5" t="inlineStr">
        <is>
          <t>02</t>
        </is>
      </c>
      <c r="P89" s="5" t="n">
        <v>2.2</v>
      </c>
      <c r="Q89" s="5" t="n">
        <v>10.3</v>
      </c>
    </row>
    <row r="90">
      <c r="A90" s="5" t="n">
        <v>8968</v>
      </c>
      <c r="B90" s="5" t="n">
        <v>1</v>
      </c>
      <c r="C90" s="5" t="inlineStr">
        <is>
          <t>OXIDANTE TRIOX..........20 VOL 900ML</t>
        </is>
      </c>
      <c r="D90" s="5" t="inlineStr">
        <is>
          <t>28470000</t>
        </is>
      </c>
      <c r="E90" s="5" t="inlineStr">
        <is>
          <t>5101</t>
        </is>
      </c>
      <c r="F90" s="6" t="n">
        <v>157.2</v>
      </c>
      <c r="G90" s="5" t="inlineStr">
        <is>
          <t>00</t>
        </is>
      </c>
      <c r="H90" s="6" t="n">
        <v>157.2</v>
      </c>
      <c r="I90" s="5" t="n">
        <v>19.5</v>
      </c>
      <c r="J90" s="6" t="n">
        <v>30.65</v>
      </c>
      <c r="K90" s="5" t="inlineStr">
        <is>
          <t>51</t>
        </is>
      </c>
      <c r="L90" s="5" t="n">
        <v>0</v>
      </c>
      <c r="M90" s="6" t="n">
        <v>0</v>
      </c>
      <c r="N90" s="6" t="n">
        <v>0</v>
      </c>
      <c r="O90" s="5" t="inlineStr">
        <is>
          <t>02</t>
        </is>
      </c>
      <c r="P90" s="5" t="n">
        <v>2.2</v>
      </c>
      <c r="Q90" s="5" t="n">
        <v>10.3</v>
      </c>
    </row>
    <row r="91">
      <c r="A91" s="5" t="n">
        <v>8969</v>
      </c>
      <c r="B91" s="5" t="n">
        <v>1</v>
      </c>
      <c r="C91" s="5" t="inlineStr">
        <is>
          <t>COLOR. 7.00.........TRIOX 60G</t>
        </is>
      </c>
      <c r="D91" s="5" t="inlineStr">
        <is>
          <t>33059000</t>
        </is>
      </c>
      <c r="E91" s="5" t="inlineStr">
        <is>
          <t>5102</t>
        </is>
      </c>
      <c r="F91" s="6" t="n">
        <v>219.46</v>
      </c>
      <c r="G91" s="5" t="inlineStr">
        <is>
          <t>00</t>
        </is>
      </c>
      <c r="H91" s="6" t="n">
        <v>219.46</v>
      </c>
      <c r="I91" s="5" t="n">
        <v>19.5</v>
      </c>
      <c r="J91" s="6" t="n">
        <v>42.79</v>
      </c>
      <c r="K91" s="5" t="inlineStr">
        <is>
          <t>50</t>
        </is>
      </c>
      <c r="L91" s="5" t="n">
        <v>14.3</v>
      </c>
      <c r="M91" s="6" t="n">
        <v>27.46</v>
      </c>
      <c r="N91" s="6" t="n">
        <v>0</v>
      </c>
      <c r="O91" s="5" t="inlineStr">
        <is>
          <t>02</t>
        </is>
      </c>
      <c r="P91" s="5" t="n">
        <v>2.2</v>
      </c>
      <c r="Q91" s="5" t="n">
        <v>10.3</v>
      </c>
    </row>
    <row r="92">
      <c r="A92" s="5" t="n">
        <v>8969</v>
      </c>
      <c r="B92" s="5" t="n">
        <v>2</v>
      </c>
      <c r="C92" s="5" t="inlineStr">
        <is>
          <t>COLOR. 7.00.......NATURE COLOR 60G</t>
        </is>
      </c>
      <c r="D92" s="5" t="inlineStr">
        <is>
          <t>33059000</t>
        </is>
      </c>
      <c r="E92" s="5" t="inlineStr">
        <is>
          <t>5102</t>
        </is>
      </c>
      <c r="F92" s="6" t="n">
        <v>592.53</v>
      </c>
      <c r="G92" s="5" t="inlineStr">
        <is>
          <t>00</t>
        </is>
      </c>
      <c r="H92" s="6" t="n">
        <v>592.53</v>
      </c>
      <c r="I92" s="5" t="n">
        <v>19.5</v>
      </c>
      <c r="J92" s="6" t="n">
        <v>115.54</v>
      </c>
      <c r="K92" s="5" t="inlineStr">
        <is>
          <t>50</t>
        </is>
      </c>
      <c r="L92" s="5" t="n">
        <v>14.3</v>
      </c>
      <c r="M92" s="6" t="n">
        <v>74.13</v>
      </c>
      <c r="N92" s="6" t="n">
        <v>0</v>
      </c>
      <c r="O92" s="5" t="inlineStr">
        <is>
          <t>02</t>
        </is>
      </c>
      <c r="P92" s="5" t="n">
        <v>2.2</v>
      </c>
      <c r="Q92" s="5" t="n">
        <v>10.3</v>
      </c>
    </row>
    <row r="93">
      <c r="A93" s="5" t="n">
        <v>8970</v>
      </c>
      <c r="B93" s="5" t="n">
        <v>1</v>
      </c>
      <c r="C93" s="5" t="inlineStr">
        <is>
          <t>OXIDANTE LOFT......30 VOL 900 ML</t>
        </is>
      </c>
      <c r="D93" s="5" t="inlineStr">
        <is>
          <t>28470000</t>
        </is>
      </c>
      <c r="E93" s="5" t="inlineStr">
        <is>
          <t>5101</t>
        </is>
      </c>
      <c r="F93" s="6" t="n">
        <v>621.88</v>
      </c>
      <c r="G93" s="5" t="inlineStr">
        <is>
          <t>00</t>
        </is>
      </c>
      <c r="H93" s="6" t="n">
        <v>621.88</v>
      </c>
      <c r="I93" s="5" t="n">
        <v>19.5</v>
      </c>
      <c r="J93" s="6" t="n">
        <v>121.27</v>
      </c>
      <c r="K93" s="5" t="inlineStr">
        <is>
          <t>51</t>
        </is>
      </c>
      <c r="L93" s="5" t="n">
        <v>0</v>
      </c>
      <c r="M93" s="6" t="n">
        <v>0</v>
      </c>
      <c r="N93" s="6" t="n">
        <v>0</v>
      </c>
      <c r="O93" s="5" t="inlineStr">
        <is>
          <t>02</t>
        </is>
      </c>
      <c r="P93" s="5" t="n">
        <v>2.2</v>
      </c>
      <c r="Q93" s="5" t="n">
        <v>10.3</v>
      </c>
    </row>
    <row r="94">
      <c r="A94" s="5" t="n">
        <v>8970</v>
      </c>
      <c r="B94" s="5" t="n">
        <v>2</v>
      </c>
      <c r="C94" s="5" t="inlineStr">
        <is>
          <t>OXIDANTE LOFT......6 VOL 900 ML</t>
        </is>
      </c>
      <c r="D94" s="5" t="inlineStr">
        <is>
          <t>28470000</t>
        </is>
      </c>
      <c r="E94" s="5" t="inlineStr">
        <is>
          <t>5101</t>
        </is>
      </c>
      <c r="F94" s="6" t="n">
        <v>373.13</v>
      </c>
      <c r="G94" s="5" t="inlineStr">
        <is>
          <t>00</t>
        </is>
      </c>
      <c r="H94" s="6" t="n">
        <v>373.13</v>
      </c>
      <c r="I94" s="5" t="n">
        <v>19.5</v>
      </c>
      <c r="J94" s="6" t="n">
        <v>72.76000000000001</v>
      </c>
      <c r="K94" s="5" t="inlineStr">
        <is>
          <t>51</t>
        </is>
      </c>
      <c r="L94" s="5" t="n">
        <v>0</v>
      </c>
      <c r="M94" s="6" t="n">
        <v>0</v>
      </c>
      <c r="N94" s="6" t="n">
        <v>0</v>
      </c>
      <c r="O94" s="5" t="inlineStr">
        <is>
          <t>02</t>
        </is>
      </c>
      <c r="P94" s="5" t="n">
        <v>2.2</v>
      </c>
      <c r="Q94" s="5" t="n">
        <v>10.3</v>
      </c>
    </row>
    <row r="95">
      <c r="A95" s="5" t="n">
        <v>8971</v>
      </c>
      <c r="B95" s="5" t="n">
        <v>1</v>
      </c>
      <c r="C95" s="5" t="inlineStr">
        <is>
          <t>TONALIZANTE. 4...........LIBERTY COLLOR 60G</t>
        </is>
      </c>
      <c r="D95" s="5" t="inlineStr">
        <is>
          <t>33059000</t>
        </is>
      </c>
      <c r="E95" s="5" t="inlineStr">
        <is>
          <t>6124</t>
        </is>
      </c>
      <c r="F95" s="6" t="n">
        <v>948</v>
      </c>
      <c r="G95" s="5" t="inlineStr">
        <is>
          <t>00</t>
        </is>
      </c>
      <c r="H95" s="6" t="n">
        <v>948</v>
      </c>
      <c r="I95" s="5" t="n">
        <v>12</v>
      </c>
      <c r="J95" s="6" t="n">
        <v>113.76</v>
      </c>
      <c r="K95" s="5" t="inlineStr">
        <is>
          <t>55</t>
        </is>
      </c>
      <c r="L95" s="5" t="n">
        <v>0</v>
      </c>
      <c r="M95" s="6" t="n">
        <v>0</v>
      </c>
      <c r="N95" s="6" t="n">
        <v>0</v>
      </c>
      <c r="O95" s="5" t="inlineStr">
        <is>
          <t>02</t>
        </is>
      </c>
      <c r="P95" s="5" t="n">
        <v>2.2</v>
      </c>
      <c r="Q95" s="5" t="n">
        <v>10.3</v>
      </c>
    </row>
    <row r="96">
      <c r="A96" s="5" t="n">
        <v>8971</v>
      </c>
      <c r="B96" s="5" t="n">
        <v>2</v>
      </c>
      <c r="C96" s="5" t="inlineStr">
        <is>
          <t>TONALIZANTE. 6...........LIBERTY COLLOR 60G</t>
        </is>
      </c>
      <c r="D96" s="5" t="inlineStr">
        <is>
          <t>33059000</t>
        </is>
      </c>
      <c r="E96" s="5" t="inlineStr">
        <is>
          <t>6124</t>
        </is>
      </c>
      <c r="F96" s="6" t="n">
        <v>948</v>
      </c>
      <c r="G96" s="5" t="inlineStr">
        <is>
          <t>00</t>
        </is>
      </c>
      <c r="H96" s="6" t="n">
        <v>948</v>
      </c>
      <c r="I96" s="5" t="n">
        <v>12</v>
      </c>
      <c r="J96" s="6" t="n">
        <v>113.76</v>
      </c>
      <c r="K96" s="5" t="inlineStr">
        <is>
          <t>55</t>
        </is>
      </c>
      <c r="L96" s="5" t="n">
        <v>0</v>
      </c>
      <c r="M96" s="6" t="n">
        <v>0</v>
      </c>
      <c r="N96" s="6" t="n">
        <v>0</v>
      </c>
      <c r="O96" s="5" t="inlineStr">
        <is>
          <t>02</t>
        </is>
      </c>
      <c r="P96" s="5" t="n">
        <v>2.2</v>
      </c>
      <c r="Q96" s="5" t="n">
        <v>10.3</v>
      </c>
    </row>
    <row r="97">
      <c r="A97" s="5" t="n">
        <v>8971</v>
      </c>
      <c r="B97" s="5" t="n">
        <v>3</v>
      </c>
      <c r="C97" s="5" t="inlineStr">
        <is>
          <t>TONALIZANTE. 5...........LIBERTY COLLOR 60G</t>
        </is>
      </c>
      <c r="D97" s="5" t="inlineStr">
        <is>
          <t>33059000</t>
        </is>
      </c>
      <c r="E97" s="5" t="inlineStr">
        <is>
          <t>6124</t>
        </is>
      </c>
      <c r="F97" s="6" t="n">
        <v>948</v>
      </c>
      <c r="G97" s="5" t="inlineStr">
        <is>
          <t>00</t>
        </is>
      </c>
      <c r="H97" s="6" t="n">
        <v>948</v>
      </c>
      <c r="I97" s="5" t="n">
        <v>12</v>
      </c>
      <c r="J97" s="6" t="n">
        <v>113.76</v>
      </c>
      <c r="K97" s="5" t="inlineStr">
        <is>
          <t>55</t>
        </is>
      </c>
      <c r="L97" s="5" t="n">
        <v>0</v>
      </c>
      <c r="M97" s="6" t="n">
        <v>0</v>
      </c>
      <c r="N97" s="6" t="n">
        <v>0</v>
      </c>
      <c r="O97" s="5" t="inlineStr">
        <is>
          <t>02</t>
        </is>
      </c>
      <c r="P97" s="5" t="n">
        <v>2.2</v>
      </c>
      <c r="Q97" s="5" t="n">
        <v>10.3</v>
      </c>
    </row>
    <row r="98">
      <c r="A98" s="5" t="n">
        <v>8971</v>
      </c>
      <c r="B98" s="5" t="n">
        <v>4</v>
      </c>
      <c r="C98" s="5" t="inlineStr">
        <is>
          <t>TONALIZANTE. 7...........LIBERTY COLLOR 60G</t>
        </is>
      </c>
      <c r="D98" s="5" t="inlineStr">
        <is>
          <t>33059000</t>
        </is>
      </c>
      <c r="E98" s="5" t="inlineStr">
        <is>
          <t>6124</t>
        </is>
      </c>
      <c r="F98" s="6" t="n">
        <v>474</v>
      </c>
      <c r="G98" s="5" t="inlineStr">
        <is>
          <t>00</t>
        </is>
      </c>
      <c r="H98" s="6" t="n">
        <v>474</v>
      </c>
      <c r="I98" s="5" t="n">
        <v>12</v>
      </c>
      <c r="J98" s="6" t="n">
        <v>56.88</v>
      </c>
      <c r="K98" s="5" t="inlineStr">
        <is>
          <t>55</t>
        </is>
      </c>
      <c r="L98" s="5" t="n">
        <v>0</v>
      </c>
      <c r="M98" s="6" t="n">
        <v>0</v>
      </c>
      <c r="N98" s="6" t="n">
        <v>0</v>
      </c>
      <c r="O98" s="5" t="inlineStr">
        <is>
          <t>02</t>
        </is>
      </c>
      <c r="P98" s="5" t="n">
        <v>2.2</v>
      </c>
      <c r="Q98" s="5" t="n">
        <v>10.3</v>
      </c>
    </row>
    <row r="99">
      <c r="A99" s="5" t="n">
        <v>8973</v>
      </c>
      <c r="B99" s="5" t="n">
        <v>1</v>
      </c>
      <c r="C99" s="5" t="inlineStr">
        <is>
          <t>LEAVE IN HIDRATANTE SUPREMO 1000ML AN COSMETICOS</t>
        </is>
      </c>
      <c r="D99" s="5" t="inlineStr">
        <is>
          <t>33051000</t>
        </is>
      </c>
      <c r="E99" s="5" t="inlineStr">
        <is>
          <t>6124</t>
        </is>
      </c>
      <c r="F99" s="6" t="n">
        <v>2838.24</v>
      </c>
      <c r="G99" s="5" t="inlineStr">
        <is>
          <t>00</t>
        </is>
      </c>
      <c r="H99" s="6" t="n">
        <v>2838.24</v>
      </c>
      <c r="I99" s="5" t="n">
        <v>7</v>
      </c>
      <c r="J99" s="6" t="n">
        <v>198.68</v>
      </c>
      <c r="K99" s="5" t="n"/>
      <c r="L99" s="5" t="n">
        <v>0</v>
      </c>
      <c r="M99" s="6" t="n">
        <v>0</v>
      </c>
      <c r="N99" s="6" t="n">
        <v>0</v>
      </c>
      <c r="O99" s="5" t="inlineStr">
        <is>
          <t>02</t>
        </is>
      </c>
      <c r="P99" s="5" t="n">
        <v>2.2</v>
      </c>
      <c r="Q99" s="5" t="n">
        <v>10.3</v>
      </c>
    </row>
    <row r="100">
      <c r="A100" s="5" t="n">
        <v>8973</v>
      </c>
      <c r="B100" s="5" t="n">
        <v>2</v>
      </c>
      <c r="C100" s="5" t="inlineStr">
        <is>
          <t>LEAVE IN HIDRATANTE SUPREMO 300ML AN COSMETICOS</t>
        </is>
      </c>
      <c r="D100" s="5" t="inlineStr">
        <is>
          <t>33051000</t>
        </is>
      </c>
      <c r="E100" s="5" t="inlineStr">
        <is>
          <t>6124</t>
        </is>
      </c>
      <c r="F100" s="6" t="n">
        <v>1211.28</v>
      </c>
      <c r="G100" s="5" t="inlineStr">
        <is>
          <t>00</t>
        </is>
      </c>
      <c r="H100" s="6" t="n">
        <v>1211.28</v>
      </c>
      <c r="I100" s="5" t="n">
        <v>7</v>
      </c>
      <c r="J100" s="6" t="n">
        <v>84.79000000000001</v>
      </c>
      <c r="K100" s="5" t="n"/>
      <c r="L100" s="5" t="n">
        <v>0</v>
      </c>
      <c r="M100" s="6" t="n">
        <v>0</v>
      </c>
      <c r="N100" s="6" t="n">
        <v>0</v>
      </c>
      <c r="O100" s="5" t="inlineStr">
        <is>
          <t>02</t>
        </is>
      </c>
      <c r="P100" s="5" t="n">
        <v>2.2</v>
      </c>
      <c r="Q100" s="5" t="n">
        <v>10.3</v>
      </c>
    </row>
    <row r="101">
      <c r="A101" s="5" t="n">
        <v>8974</v>
      </c>
      <c r="B101" s="5" t="n">
        <v>1</v>
      </c>
      <c r="C101" s="5" t="inlineStr">
        <is>
          <t>ROTULO LEAVE IN HIDRATANTE SUPREMO AN COSMETICOS 1000ML</t>
        </is>
      </c>
      <c r="D101" s="5" t="inlineStr">
        <is>
          <t>48219000</t>
        </is>
      </c>
      <c r="E101" s="5" t="inlineStr">
        <is>
          <t>6902</t>
        </is>
      </c>
      <c r="F101" s="6" t="n">
        <v>138.24</v>
      </c>
      <c r="G101" s="5" t="inlineStr">
        <is>
          <t>41</t>
        </is>
      </c>
      <c r="H101" s="6" t="n">
        <v>0</v>
      </c>
      <c r="I101" s="5" t="n">
        <v>0</v>
      </c>
      <c r="J101" s="6" t="n">
        <v>0</v>
      </c>
      <c r="K101" s="5" t="n"/>
      <c r="L101" s="5" t="n">
        <v>0</v>
      </c>
      <c r="M101" s="6" t="n">
        <v>0</v>
      </c>
      <c r="N101" s="6" t="n">
        <v>0</v>
      </c>
      <c r="O101" s="5" t="inlineStr">
        <is>
          <t>49</t>
        </is>
      </c>
      <c r="P101" s="5" t="n">
        <v>0</v>
      </c>
      <c r="Q101" s="5" t="n">
        <v>0</v>
      </c>
    </row>
    <row r="102">
      <c r="A102" s="5" t="n">
        <v>8974</v>
      </c>
      <c r="B102" s="5" t="n">
        <v>2</v>
      </c>
      <c r="C102" s="5" t="inlineStr">
        <is>
          <t>LEAVE IN HIDRATANTE SUPREMO 300ML AN COSMETICOS</t>
        </is>
      </c>
      <c r="D102" s="5" t="inlineStr">
        <is>
          <t>33051000</t>
        </is>
      </c>
      <c r="E102" s="5" t="inlineStr">
        <is>
          <t>6902</t>
        </is>
      </c>
      <c r="F102" s="6" t="n">
        <v>161.28</v>
      </c>
      <c r="G102" s="5" t="inlineStr">
        <is>
          <t>41</t>
        </is>
      </c>
      <c r="H102" s="6" t="n">
        <v>0</v>
      </c>
      <c r="I102" s="5" t="n">
        <v>0</v>
      </c>
      <c r="J102" s="6" t="n">
        <v>0</v>
      </c>
      <c r="K102" s="5" t="n"/>
      <c r="L102" s="5" t="n">
        <v>0</v>
      </c>
      <c r="M102" s="6" t="n">
        <v>0</v>
      </c>
      <c r="N102" s="6" t="n">
        <v>0</v>
      </c>
      <c r="O102" s="5" t="inlineStr">
        <is>
          <t>49</t>
        </is>
      </c>
      <c r="P102" s="5" t="n">
        <v>0</v>
      </c>
      <c r="Q102" s="5" t="n">
        <v>0</v>
      </c>
    </row>
    <row r="103">
      <c r="A103" s="5" t="n">
        <v>8975</v>
      </c>
      <c r="B103" s="5" t="n">
        <v>1</v>
      </c>
      <c r="C103" s="5" t="inlineStr">
        <is>
          <t>COLOR. 1................ESAINT 60G</t>
        </is>
      </c>
      <c r="D103" s="5" t="inlineStr">
        <is>
          <t>33059000</t>
        </is>
      </c>
      <c r="E103" s="5" t="inlineStr">
        <is>
          <t>5124</t>
        </is>
      </c>
      <c r="F103" s="6" t="n">
        <v>810.95</v>
      </c>
      <c r="G103" s="5" t="inlineStr">
        <is>
          <t>51</t>
        </is>
      </c>
      <c r="H103" s="6" t="n">
        <v>810.95</v>
      </c>
      <c r="I103" s="5" t="n">
        <v>19.5</v>
      </c>
      <c r="J103" s="6" t="n">
        <v>0</v>
      </c>
      <c r="K103" s="5" t="inlineStr">
        <is>
          <t>55</t>
        </is>
      </c>
      <c r="L103" s="5" t="n">
        <v>0</v>
      </c>
      <c r="M103" s="6" t="n">
        <v>0</v>
      </c>
      <c r="N103" s="6" t="n">
        <v>0</v>
      </c>
      <c r="O103" s="5" t="inlineStr">
        <is>
          <t>02</t>
        </is>
      </c>
      <c r="P103" s="5" t="n">
        <v>2.2</v>
      </c>
      <c r="Q103" s="5" t="n">
        <v>10.3</v>
      </c>
    </row>
    <row r="104">
      <c r="A104" s="5" t="n">
        <v>8975</v>
      </c>
      <c r="B104" s="5" t="n">
        <v>2</v>
      </c>
      <c r="C104" s="5" t="inlineStr">
        <is>
          <t>COLOR. 4.................ESAINT 60G</t>
        </is>
      </c>
      <c r="D104" s="5" t="inlineStr">
        <is>
          <t>33059000</t>
        </is>
      </c>
      <c r="E104" s="5" t="inlineStr">
        <is>
          <t>5124</t>
        </is>
      </c>
      <c r="F104" s="6" t="n">
        <v>810.95</v>
      </c>
      <c r="G104" s="5" t="inlineStr">
        <is>
          <t>51</t>
        </is>
      </c>
      <c r="H104" s="6" t="n">
        <v>810.95</v>
      </c>
      <c r="I104" s="5" t="n">
        <v>19.5</v>
      </c>
      <c r="J104" s="6" t="n">
        <v>0</v>
      </c>
      <c r="K104" s="5" t="inlineStr">
        <is>
          <t>55</t>
        </is>
      </c>
      <c r="L104" s="5" t="n">
        <v>0</v>
      </c>
      <c r="M104" s="6" t="n">
        <v>0</v>
      </c>
      <c r="N104" s="6" t="n">
        <v>0</v>
      </c>
      <c r="O104" s="5" t="inlineStr">
        <is>
          <t>02</t>
        </is>
      </c>
      <c r="P104" s="5" t="n">
        <v>2.2</v>
      </c>
      <c r="Q104" s="5" t="n">
        <v>10.3</v>
      </c>
    </row>
    <row r="105">
      <c r="A105" s="5" t="n">
        <v>8975</v>
      </c>
      <c r="B105" s="5" t="n">
        <v>3</v>
      </c>
      <c r="C105" s="5" t="inlineStr">
        <is>
          <t>COLOR. 6.................ESAINT 60G</t>
        </is>
      </c>
      <c r="D105" s="5" t="inlineStr">
        <is>
          <t>33059000</t>
        </is>
      </c>
      <c r="E105" s="5" t="inlineStr">
        <is>
          <t>5124</t>
        </is>
      </c>
      <c r="F105" s="6" t="n">
        <v>810.95</v>
      </c>
      <c r="G105" s="5" t="inlineStr">
        <is>
          <t>51</t>
        </is>
      </c>
      <c r="H105" s="6" t="n">
        <v>810.95</v>
      </c>
      <c r="I105" s="5" t="n">
        <v>19.5</v>
      </c>
      <c r="J105" s="6" t="n">
        <v>0</v>
      </c>
      <c r="K105" s="5" t="inlineStr">
        <is>
          <t>55</t>
        </is>
      </c>
      <c r="L105" s="5" t="n">
        <v>0</v>
      </c>
      <c r="M105" s="6" t="n">
        <v>0</v>
      </c>
      <c r="N105" s="6" t="n">
        <v>0</v>
      </c>
      <c r="O105" s="5" t="inlineStr">
        <is>
          <t>02</t>
        </is>
      </c>
      <c r="P105" s="5" t="n">
        <v>2.2</v>
      </c>
      <c r="Q105" s="5" t="n">
        <v>10.3</v>
      </c>
    </row>
    <row r="106">
      <c r="A106" s="5" t="n">
        <v>8975</v>
      </c>
      <c r="B106" s="5" t="n">
        <v>4</v>
      </c>
      <c r="C106" s="5" t="inlineStr">
        <is>
          <t>COLOR. 7.................ESAINT 60G</t>
        </is>
      </c>
      <c r="D106" s="5" t="inlineStr">
        <is>
          <t>33059000</t>
        </is>
      </c>
      <c r="E106" s="5" t="inlineStr">
        <is>
          <t>5124</t>
        </is>
      </c>
      <c r="F106" s="6" t="n">
        <v>427.1</v>
      </c>
      <c r="G106" s="5" t="inlineStr">
        <is>
          <t>51</t>
        </is>
      </c>
      <c r="H106" s="6" t="n">
        <v>427.1</v>
      </c>
      <c r="I106" s="5" t="n">
        <v>19.5</v>
      </c>
      <c r="J106" s="6" t="n">
        <v>0</v>
      </c>
      <c r="K106" s="5" t="inlineStr">
        <is>
          <t>55</t>
        </is>
      </c>
      <c r="L106" s="5" t="n">
        <v>0</v>
      </c>
      <c r="M106" s="6" t="n">
        <v>0</v>
      </c>
      <c r="N106" s="6" t="n">
        <v>0</v>
      </c>
      <c r="O106" s="5" t="inlineStr">
        <is>
          <t>02</t>
        </is>
      </c>
      <c r="P106" s="5" t="n">
        <v>2.2</v>
      </c>
      <c r="Q106" s="5" t="n">
        <v>10.3</v>
      </c>
    </row>
    <row r="107">
      <c r="A107" s="5" t="n">
        <v>8975</v>
      </c>
      <c r="B107" s="5" t="n">
        <v>5</v>
      </c>
      <c r="C107" s="5" t="inlineStr">
        <is>
          <t>COLOR. 10.89.........ESAINT 60G</t>
        </is>
      </c>
      <c r="D107" s="5" t="inlineStr">
        <is>
          <t>33059000</t>
        </is>
      </c>
      <c r="E107" s="5" t="inlineStr">
        <is>
          <t>5124</t>
        </is>
      </c>
      <c r="F107" s="6" t="n">
        <v>427.1</v>
      </c>
      <c r="G107" s="5" t="inlineStr">
        <is>
          <t>51</t>
        </is>
      </c>
      <c r="H107" s="6" t="n">
        <v>427.1</v>
      </c>
      <c r="I107" s="5" t="n">
        <v>19.5</v>
      </c>
      <c r="J107" s="6" t="n">
        <v>0</v>
      </c>
      <c r="K107" s="5" t="inlineStr">
        <is>
          <t>55</t>
        </is>
      </c>
      <c r="L107" s="5" t="n">
        <v>0</v>
      </c>
      <c r="M107" s="6" t="n">
        <v>0</v>
      </c>
      <c r="N107" s="6" t="n">
        <v>0</v>
      </c>
      <c r="O107" s="5" t="inlineStr">
        <is>
          <t>02</t>
        </is>
      </c>
      <c r="P107" s="5" t="n">
        <v>2.2</v>
      </c>
      <c r="Q107" s="5" t="n">
        <v>10.3</v>
      </c>
    </row>
    <row r="108">
      <c r="A108" s="5" t="n">
        <v>8975</v>
      </c>
      <c r="B108" s="5" t="n">
        <v>6</v>
      </c>
      <c r="C108" s="5" t="inlineStr">
        <is>
          <t>COLOR. 5.................ESAINT 60G</t>
        </is>
      </c>
      <c r="D108" s="5" t="inlineStr">
        <is>
          <t>33059000</t>
        </is>
      </c>
      <c r="E108" s="5" t="inlineStr">
        <is>
          <t>5124</t>
        </is>
      </c>
      <c r="F108" s="6" t="n">
        <v>810.95</v>
      </c>
      <c r="G108" s="5" t="inlineStr">
        <is>
          <t>51</t>
        </is>
      </c>
      <c r="H108" s="6" t="n">
        <v>810.95</v>
      </c>
      <c r="I108" s="5" t="n">
        <v>19.5</v>
      </c>
      <c r="J108" s="6" t="n">
        <v>0</v>
      </c>
      <c r="K108" s="5" t="inlineStr">
        <is>
          <t>55</t>
        </is>
      </c>
      <c r="L108" s="5" t="n">
        <v>0</v>
      </c>
      <c r="M108" s="6" t="n">
        <v>0</v>
      </c>
      <c r="N108" s="6" t="n">
        <v>0</v>
      </c>
      <c r="O108" s="5" t="inlineStr">
        <is>
          <t>02</t>
        </is>
      </c>
      <c r="P108" s="5" t="n">
        <v>2.2</v>
      </c>
      <c r="Q108" s="5" t="n">
        <v>10.3</v>
      </c>
    </row>
    <row r="109">
      <c r="A109" s="5" t="n">
        <v>8976</v>
      </c>
      <c r="B109" s="5" t="n">
        <v>1</v>
      </c>
      <c r="C109" s="5" t="inlineStr">
        <is>
          <t>CARTUCHO COLORACAO ESAINT 60G</t>
        </is>
      </c>
      <c r="D109" s="5" t="inlineStr">
        <is>
          <t>48191000</t>
        </is>
      </c>
      <c r="E109" s="5" t="inlineStr">
        <is>
          <t>5902</t>
        </is>
      </c>
      <c r="F109" s="6" t="n">
        <v>588</v>
      </c>
      <c r="G109" s="5" t="inlineStr">
        <is>
          <t>41</t>
        </is>
      </c>
      <c r="H109" s="6" t="n">
        <v>0</v>
      </c>
      <c r="I109" s="5" t="n">
        <v>0</v>
      </c>
      <c r="J109" s="6" t="n">
        <v>0</v>
      </c>
      <c r="K109" s="5" t="n"/>
      <c r="L109" s="5" t="n">
        <v>0</v>
      </c>
      <c r="M109" s="6" t="n">
        <v>0</v>
      </c>
      <c r="N109" s="6" t="n">
        <v>0</v>
      </c>
      <c r="O109" s="5" t="inlineStr">
        <is>
          <t>49</t>
        </is>
      </c>
      <c r="P109" s="5" t="n">
        <v>0</v>
      </c>
      <c r="Q109" s="5" t="n">
        <v>0</v>
      </c>
    </row>
    <row r="110">
      <c r="A110" s="5" t="n">
        <v>8977</v>
      </c>
      <c r="B110" s="5" t="n">
        <v>1</v>
      </c>
      <c r="C110" s="5" t="inlineStr">
        <is>
          <t>OXIDANTE ESAINT............30 VOL 900ML</t>
        </is>
      </c>
      <c r="D110" s="5" t="inlineStr">
        <is>
          <t>28470000</t>
        </is>
      </c>
      <c r="E110" s="5" t="inlineStr">
        <is>
          <t>5124</t>
        </is>
      </c>
      <c r="F110" s="6" t="n">
        <v>2740</v>
      </c>
      <c r="G110" s="5" t="inlineStr">
        <is>
          <t>51</t>
        </is>
      </c>
      <c r="H110" s="6" t="n">
        <v>2740</v>
      </c>
      <c r="I110" s="5" t="n">
        <v>19.5</v>
      </c>
      <c r="J110" s="6" t="n">
        <v>0</v>
      </c>
      <c r="K110" s="5" t="inlineStr">
        <is>
          <t>55</t>
        </is>
      </c>
      <c r="L110" s="5" t="n">
        <v>0</v>
      </c>
      <c r="M110" s="6" t="n">
        <v>0</v>
      </c>
      <c r="N110" s="6" t="n">
        <v>0</v>
      </c>
      <c r="O110" s="5" t="inlineStr">
        <is>
          <t>02</t>
        </is>
      </c>
      <c r="P110" s="5" t="n">
        <v>2.2</v>
      </c>
      <c r="Q110" s="5" t="n">
        <v>10.3</v>
      </c>
    </row>
    <row r="111">
      <c r="A111" s="5" t="n">
        <v>8978</v>
      </c>
      <c r="B111" s="5" t="n">
        <v>1</v>
      </c>
      <c r="C111" s="5" t="inlineStr">
        <is>
          <t>COLOR. 1.1..........NATURE COLOR 60G</t>
        </is>
      </c>
      <c r="D111" s="5" t="inlineStr">
        <is>
          <t>33059000</t>
        </is>
      </c>
      <c r="E111" s="5" t="inlineStr">
        <is>
          <t>5102</t>
        </is>
      </c>
      <c r="F111" s="6" t="n">
        <v>296.27</v>
      </c>
      <c r="G111" s="5" t="inlineStr">
        <is>
          <t>00</t>
        </is>
      </c>
      <c r="H111" s="6" t="n">
        <v>296.27</v>
      </c>
      <c r="I111" s="5" t="n">
        <v>19.5</v>
      </c>
      <c r="J111" s="6" t="n">
        <v>57.77</v>
      </c>
      <c r="K111" s="5" t="inlineStr">
        <is>
          <t>50</t>
        </is>
      </c>
      <c r="L111" s="5" t="n">
        <v>14.3</v>
      </c>
      <c r="M111" s="6" t="n">
        <v>37.07</v>
      </c>
      <c r="N111" s="6" t="n">
        <v>0</v>
      </c>
      <c r="O111" s="5" t="inlineStr">
        <is>
          <t>02</t>
        </is>
      </c>
      <c r="P111" s="5" t="n">
        <v>2.2</v>
      </c>
      <c r="Q111" s="5" t="n">
        <v>10.3</v>
      </c>
    </row>
    <row r="112">
      <c r="A112" s="5" t="n">
        <v>8978</v>
      </c>
      <c r="B112" s="5" t="n">
        <v>2</v>
      </c>
      <c r="C112" s="5" t="inlineStr">
        <is>
          <t>COLOR. 4.............NATURE COLOR 60G</t>
        </is>
      </c>
      <c r="D112" s="5" t="inlineStr">
        <is>
          <t>33059000</t>
        </is>
      </c>
      <c r="E112" s="5" t="inlineStr">
        <is>
          <t>5102</t>
        </is>
      </c>
      <c r="F112" s="6" t="n">
        <v>518.46</v>
      </c>
      <c r="G112" s="5" t="inlineStr">
        <is>
          <t>00</t>
        </is>
      </c>
      <c r="H112" s="6" t="n">
        <v>518.46</v>
      </c>
      <c r="I112" s="5" t="n">
        <v>19.5</v>
      </c>
      <c r="J112" s="6" t="n">
        <v>101.1</v>
      </c>
      <c r="K112" s="5" t="inlineStr">
        <is>
          <t>50</t>
        </is>
      </c>
      <c r="L112" s="5" t="n">
        <v>14.3</v>
      </c>
      <c r="M112" s="6" t="n">
        <v>64.86</v>
      </c>
      <c r="N112" s="6" t="n">
        <v>0</v>
      </c>
      <c r="O112" s="5" t="inlineStr">
        <is>
          <t>02</t>
        </is>
      </c>
      <c r="P112" s="5" t="n">
        <v>2.2</v>
      </c>
      <c r="Q112" s="5" t="n">
        <v>10.3</v>
      </c>
    </row>
    <row r="113">
      <c r="A113" s="5" t="n">
        <v>8978</v>
      </c>
      <c r="B113" s="5" t="n">
        <v>3</v>
      </c>
      <c r="C113" s="5" t="inlineStr">
        <is>
          <t>COLOR. 4.00.......NATURE COLOR 60G</t>
        </is>
      </c>
      <c r="D113" s="5" t="inlineStr">
        <is>
          <t>33059000</t>
        </is>
      </c>
      <c r="E113" s="5" t="inlineStr">
        <is>
          <t>5102</t>
        </is>
      </c>
      <c r="F113" s="6" t="n">
        <v>222.2</v>
      </c>
      <c r="G113" s="5" t="inlineStr">
        <is>
          <t>00</t>
        </is>
      </c>
      <c r="H113" s="6" t="n">
        <v>222.2</v>
      </c>
      <c r="I113" s="5" t="n">
        <v>19.5</v>
      </c>
      <c r="J113" s="6" t="n">
        <v>43.33</v>
      </c>
      <c r="K113" s="5" t="inlineStr">
        <is>
          <t>50</t>
        </is>
      </c>
      <c r="L113" s="5" t="n">
        <v>14.3</v>
      </c>
      <c r="M113" s="6" t="n">
        <v>27.8</v>
      </c>
      <c r="N113" s="6" t="n">
        <v>0</v>
      </c>
      <c r="O113" s="5" t="inlineStr">
        <is>
          <t>02</t>
        </is>
      </c>
      <c r="P113" s="5" t="n">
        <v>2.2</v>
      </c>
      <c r="Q113" s="5" t="n">
        <v>10.3</v>
      </c>
    </row>
    <row r="114">
      <c r="A114" s="5" t="n">
        <v>8978</v>
      </c>
      <c r="B114" s="5" t="n">
        <v>4</v>
      </c>
      <c r="C114" s="5" t="inlineStr">
        <is>
          <t>COLOR. 5.00.......NATURE COLOR 60G</t>
        </is>
      </c>
      <c r="D114" s="5" t="inlineStr">
        <is>
          <t>33059000</t>
        </is>
      </c>
      <c r="E114" s="5" t="inlineStr">
        <is>
          <t>5102</t>
        </is>
      </c>
      <c r="F114" s="6" t="n">
        <v>74.06999999999999</v>
      </c>
      <c r="G114" s="5" t="inlineStr">
        <is>
          <t>00</t>
        </is>
      </c>
      <c r="H114" s="6" t="n">
        <v>74.06999999999999</v>
      </c>
      <c r="I114" s="5" t="n">
        <v>19.5</v>
      </c>
      <c r="J114" s="6" t="n">
        <v>14.44</v>
      </c>
      <c r="K114" s="5" t="inlineStr">
        <is>
          <t>50</t>
        </is>
      </c>
      <c r="L114" s="5" t="n">
        <v>14.3</v>
      </c>
      <c r="M114" s="6" t="n">
        <v>9.27</v>
      </c>
      <c r="N114" s="6" t="n">
        <v>0</v>
      </c>
      <c r="O114" s="5" t="inlineStr">
        <is>
          <t>02</t>
        </is>
      </c>
      <c r="P114" s="5" t="n">
        <v>2.2</v>
      </c>
      <c r="Q114" s="5" t="n">
        <v>10.3</v>
      </c>
    </row>
    <row r="115">
      <c r="A115" s="5" t="n">
        <v>8978</v>
      </c>
      <c r="B115" s="5" t="n">
        <v>5</v>
      </c>
      <c r="C115" s="5" t="inlineStr">
        <is>
          <t>COLOR. 6.3.........NATURE COLOR 60G</t>
        </is>
      </c>
      <c r="D115" s="5" t="inlineStr">
        <is>
          <t>33059000</t>
        </is>
      </c>
      <c r="E115" s="5" t="inlineStr">
        <is>
          <t>5102</t>
        </is>
      </c>
      <c r="F115" s="6" t="n">
        <v>58.02</v>
      </c>
      <c r="G115" s="5" t="inlineStr">
        <is>
          <t>00</t>
        </is>
      </c>
      <c r="H115" s="6" t="n">
        <v>58.02</v>
      </c>
      <c r="I115" s="5" t="n">
        <v>19.5</v>
      </c>
      <c r="J115" s="6" t="n">
        <v>11.31</v>
      </c>
      <c r="K115" s="5" t="inlineStr">
        <is>
          <t>50</t>
        </is>
      </c>
      <c r="L115" s="5" t="n">
        <v>14.3</v>
      </c>
      <c r="M115" s="6" t="n">
        <v>7.26</v>
      </c>
      <c r="N115" s="6" t="n">
        <v>0</v>
      </c>
      <c r="O115" s="5" t="inlineStr">
        <is>
          <t>02</t>
        </is>
      </c>
      <c r="P115" s="5" t="n">
        <v>2.2</v>
      </c>
      <c r="Q115" s="5" t="n">
        <v>10.3</v>
      </c>
    </row>
    <row r="116">
      <c r="A116" s="5" t="n">
        <v>8978</v>
      </c>
      <c r="B116" s="5" t="n">
        <v>6</v>
      </c>
      <c r="C116" s="5" t="inlineStr">
        <is>
          <t>COLOR. 7.............NATURE COLOR 60G</t>
        </is>
      </c>
      <c r="D116" s="5" t="inlineStr">
        <is>
          <t>33059000</t>
        </is>
      </c>
      <c r="E116" s="5" t="inlineStr">
        <is>
          <t>5102</t>
        </is>
      </c>
      <c r="F116" s="6" t="n">
        <v>159.24</v>
      </c>
      <c r="G116" s="5" t="inlineStr">
        <is>
          <t>00</t>
        </is>
      </c>
      <c r="H116" s="6" t="n">
        <v>159.24</v>
      </c>
      <c r="I116" s="5" t="n">
        <v>19.5</v>
      </c>
      <c r="J116" s="6" t="n">
        <v>31.05</v>
      </c>
      <c r="K116" s="5" t="inlineStr">
        <is>
          <t>50</t>
        </is>
      </c>
      <c r="L116" s="5" t="n">
        <v>14.3</v>
      </c>
      <c r="M116" s="6" t="n">
        <v>19.92</v>
      </c>
      <c r="N116" s="6" t="n">
        <v>0</v>
      </c>
      <c r="O116" s="5" t="inlineStr">
        <is>
          <t>02</t>
        </is>
      </c>
      <c r="P116" s="5" t="n">
        <v>2.2</v>
      </c>
      <c r="Q116" s="5" t="n">
        <v>10.3</v>
      </c>
    </row>
    <row r="117">
      <c r="A117" s="5" t="n">
        <v>8978</v>
      </c>
      <c r="B117" s="5" t="n">
        <v>7</v>
      </c>
      <c r="C117" s="5" t="inlineStr">
        <is>
          <t>COLOR. 8.1.........NATURE COLOR 60G</t>
        </is>
      </c>
      <c r="D117" s="5" t="inlineStr">
        <is>
          <t>33059000</t>
        </is>
      </c>
      <c r="E117" s="5" t="inlineStr">
        <is>
          <t>5102</t>
        </is>
      </c>
      <c r="F117" s="6" t="n">
        <v>74.06999999999999</v>
      </c>
      <c r="G117" s="5" t="inlineStr">
        <is>
          <t>00</t>
        </is>
      </c>
      <c r="H117" s="6" t="n">
        <v>74.06999999999999</v>
      </c>
      <c r="I117" s="5" t="n">
        <v>19.5</v>
      </c>
      <c r="J117" s="6" t="n">
        <v>14.44</v>
      </c>
      <c r="K117" s="5" t="inlineStr">
        <is>
          <t>50</t>
        </is>
      </c>
      <c r="L117" s="5" t="n">
        <v>14.3</v>
      </c>
      <c r="M117" s="6" t="n">
        <v>9.27</v>
      </c>
      <c r="N117" s="6" t="n">
        <v>0</v>
      </c>
      <c r="O117" s="5" t="inlineStr">
        <is>
          <t>02</t>
        </is>
      </c>
      <c r="P117" s="5" t="n">
        <v>2.2</v>
      </c>
      <c r="Q117" s="5" t="n">
        <v>10.3</v>
      </c>
    </row>
    <row r="118">
      <c r="A118" s="5" t="n">
        <v>8978</v>
      </c>
      <c r="B118" s="5" t="n">
        <v>8</v>
      </c>
      <c r="C118" s="5" t="inlineStr">
        <is>
          <t>COLOR. 9.............NATURE COLOR 60G</t>
        </is>
      </c>
      <c r="D118" s="5" t="inlineStr">
        <is>
          <t>33059000</t>
        </is>
      </c>
      <c r="E118" s="5" t="inlineStr">
        <is>
          <t>5102</t>
        </is>
      </c>
      <c r="F118" s="6" t="n">
        <v>148.13</v>
      </c>
      <c r="G118" s="5" t="inlineStr">
        <is>
          <t>00</t>
        </is>
      </c>
      <c r="H118" s="6" t="n">
        <v>148.13</v>
      </c>
      <c r="I118" s="5" t="n">
        <v>19.5</v>
      </c>
      <c r="J118" s="6" t="n">
        <v>28.89</v>
      </c>
      <c r="K118" s="5" t="inlineStr">
        <is>
          <t>50</t>
        </is>
      </c>
      <c r="L118" s="5" t="n">
        <v>14.3</v>
      </c>
      <c r="M118" s="6" t="n">
        <v>18.53</v>
      </c>
      <c r="N118" s="6" t="n">
        <v>0</v>
      </c>
      <c r="O118" s="5" t="inlineStr">
        <is>
          <t>02</t>
        </is>
      </c>
      <c r="P118" s="5" t="n">
        <v>2.2</v>
      </c>
      <c r="Q118" s="5" t="n">
        <v>10.3</v>
      </c>
    </row>
    <row r="119">
      <c r="A119" s="5" t="n">
        <v>8978</v>
      </c>
      <c r="B119" s="5" t="n">
        <v>9</v>
      </c>
      <c r="C119" s="5" t="inlineStr">
        <is>
          <t>COLOR. 5.26......NATURE COLOR 60G</t>
        </is>
      </c>
      <c r="D119" s="5" t="inlineStr">
        <is>
          <t>33059000</t>
        </is>
      </c>
      <c r="E119" s="5" t="inlineStr">
        <is>
          <t>5102</t>
        </is>
      </c>
      <c r="F119" s="6" t="n">
        <v>148.13</v>
      </c>
      <c r="G119" s="5" t="inlineStr">
        <is>
          <t>00</t>
        </is>
      </c>
      <c r="H119" s="6" t="n">
        <v>148.13</v>
      </c>
      <c r="I119" s="5" t="n">
        <v>19.5</v>
      </c>
      <c r="J119" s="6" t="n">
        <v>28.89</v>
      </c>
      <c r="K119" s="5" t="inlineStr">
        <is>
          <t>50</t>
        </is>
      </c>
      <c r="L119" s="5" t="n">
        <v>14.3</v>
      </c>
      <c r="M119" s="6" t="n">
        <v>18.53</v>
      </c>
      <c r="N119" s="6" t="n">
        <v>0</v>
      </c>
      <c r="O119" s="5" t="inlineStr">
        <is>
          <t>02</t>
        </is>
      </c>
      <c r="P119" s="5" t="n">
        <v>2.2</v>
      </c>
      <c r="Q119" s="5" t="n">
        <v>10.3</v>
      </c>
    </row>
    <row r="120">
      <c r="A120" s="5" t="n">
        <v>8979</v>
      </c>
      <c r="B120" s="5" t="n">
        <v>1</v>
      </c>
      <c r="C120" s="5" t="inlineStr">
        <is>
          <t>COLOR. 1................UNIVERSE 60G</t>
        </is>
      </c>
      <c r="D120" s="5" t="inlineStr">
        <is>
          <t>33059000</t>
        </is>
      </c>
      <c r="E120" s="5" t="inlineStr">
        <is>
          <t>6124</t>
        </is>
      </c>
      <c r="F120" s="6" t="n">
        <v>948</v>
      </c>
      <c r="G120" s="5" t="inlineStr">
        <is>
          <t>00</t>
        </is>
      </c>
      <c r="H120" s="6" t="n">
        <v>948</v>
      </c>
      <c r="I120" s="5" t="n">
        <v>7</v>
      </c>
      <c r="J120" s="6" t="n">
        <v>66.36</v>
      </c>
      <c r="K120" s="5" t="inlineStr">
        <is>
          <t>55</t>
        </is>
      </c>
      <c r="L120" s="5" t="n">
        <v>0</v>
      </c>
      <c r="M120" s="6" t="n">
        <v>0</v>
      </c>
      <c r="N120" s="6" t="n">
        <v>0</v>
      </c>
      <c r="O120" s="5" t="inlineStr">
        <is>
          <t>02</t>
        </is>
      </c>
      <c r="P120" s="5" t="n">
        <v>2.2</v>
      </c>
      <c r="Q120" s="5" t="n">
        <v>10.3</v>
      </c>
    </row>
    <row r="121">
      <c r="A121" s="5" t="n">
        <v>8979</v>
      </c>
      <c r="B121" s="5" t="n">
        <v>2</v>
      </c>
      <c r="C121" s="5" t="inlineStr">
        <is>
          <t>COLOR. 4.00................UNIVERSE 60G</t>
        </is>
      </c>
      <c r="D121" s="5" t="inlineStr">
        <is>
          <t>33059000</t>
        </is>
      </c>
      <c r="E121" s="5" t="inlineStr">
        <is>
          <t>6124</t>
        </is>
      </c>
      <c r="F121" s="6" t="n">
        <v>900</v>
      </c>
      <c r="G121" s="5" t="inlineStr">
        <is>
          <t>00</t>
        </is>
      </c>
      <c r="H121" s="6" t="n">
        <v>900</v>
      </c>
      <c r="I121" s="5" t="n">
        <v>7</v>
      </c>
      <c r="J121" s="6" t="n">
        <v>63</v>
      </c>
      <c r="K121" s="5" t="inlineStr">
        <is>
          <t>55</t>
        </is>
      </c>
      <c r="L121" s="5" t="n">
        <v>0</v>
      </c>
      <c r="M121" s="6" t="n">
        <v>0</v>
      </c>
      <c r="N121" s="6" t="n">
        <v>0</v>
      </c>
      <c r="O121" s="5" t="inlineStr">
        <is>
          <t>02</t>
        </is>
      </c>
      <c r="P121" s="5" t="n">
        <v>2.2</v>
      </c>
      <c r="Q121" s="5" t="n">
        <v>10.3</v>
      </c>
    </row>
    <row r="122">
      <c r="A122" s="5" t="n">
        <v>8979</v>
      </c>
      <c r="B122" s="5" t="n">
        <v>3</v>
      </c>
      <c r="C122" s="5" t="inlineStr">
        <is>
          <t>COLOR. 5.00................UNIVERSE 60G</t>
        </is>
      </c>
      <c r="D122" s="5" t="inlineStr">
        <is>
          <t>33059000</t>
        </is>
      </c>
      <c r="E122" s="5" t="inlineStr">
        <is>
          <t>6124</t>
        </is>
      </c>
      <c r="F122" s="6" t="n">
        <v>900</v>
      </c>
      <c r="G122" s="5" t="inlineStr">
        <is>
          <t>00</t>
        </is>
      </c>
      <c r="H122" s="6" t="n">
        <v>900</v>
      </c>
      <c r="I122" s="5" t="n">
        <v>7</v>
      </c>
      <c r="J122" s="6" t="n">
        <v>63</v>
      </c>
      <c r="K122" s="5" t="inlineStr">
        <is>
          <t>55</t>
        </is>
      </c>
      <c r="L122" s="5" t="n">
        <v>0</v>
      </c>
      <c r="M122" s="6" t="n">
        <v>0</v>
      </c>
      <c r="N122" s="6" t="n">
        <v>0</v>
      </c>
      <c r="O122" s="5" t="inlineStr">
        <is>
          <t>02</t>
        </is>
      </c>
      <c r="P122" s="5" t="n">
        <v>2.2</v>
      </c>
      <c r="Q122" s="5" t="n">
        <v>10.3</v>
      </c>
    </row>
    <row r="123">
      <c r="A123" s="5" t="n">
        <v>8979</v>
      </c>
      <c r="B123" s="5" t="n">
        <v>4</v>
      </c>
      <c r="C123" s="5" t="inlineStr">
        <is>
          <t>COLOR. 7.00................UNIVERSE 60G</t>
        </is>
      </c>
      <c r="D123" s="5" t="inlineStr">
        <is>
          <t>33059000</t>
        </is>
      </c>
      <c r="E123" s="5" t="inlineStr">
        <is>
          <t>6124</t>
        </is>
      </c>
      <c r="F123" s="6" t="n">
        <v>1350</v>
      </c>
      <c r="G123" s="5" t="inlineStr">
        <is>
          <t>00</t>
        </is>
      </c>
      <c r="H123" s="6" t="n">
        <v>1350</v>
      </c>
      <c r="I123" s="5" t="n">
        <v>7</v>
      </c>
      <c r="J123" s="6" t="n">
        <v>94.5</v>
      </c>
      <c r="K123" s="5" t="inlineStr">
        <is>
          <t>55</t>
        </is>
      </c>
      <c r="L123" s="5" t="n">
        <v>0</v>
      </c>
      <c r="M123" s="6" t="n">
        <v>0</v>
      </c>
      <c r="N123" s="6" t="n">
        <v>0</v>
      </c>
      <c r="O123" s="5" t="inlineStr">
        <is>
          <t>02</t>
        </is>
      </c>
      <c r="P123" s="5" t="n">
        <v>2.2</v>
      </c>
      <c r="Q123" s="5" t="n">
        <v>10.3</v>
      </c>
    </row>
    <row r="124">
      <c r="A124" s="5" t="n">
        <v>8980</v>
      </c>
      <c r="B124" s="5" t="n">
        <v>1</v>
      </c>
      <c r="C124" s="5" t="inlineStr">
        <is>
          <t>TONALIZANTE 4 .......... NATURE TON 60 GR</t>
        </is>
      </c>
      <c r="D124" s="5" t="inlineStr">
        <is>
          <t>33059000</t>
        </is>
      </c>
      <c r="E124" s="5" t="inlineStr">
        <is>
          <t>5102</t>
        </is>
      </c>
      <c r="F124" s="6" t="n">
        <v>148.13</v>
      </c>
      <c r="G124" s="5" t="inlineStr">
        <is>
          <t>00</t>
        </is>
      </c>
      <c r="H124" s="6" t="n">
        <v>148.13</v>
      </c>
      <c r="I124" s="5" t="n">
        <v>19.5</v>
      </c>
      <c r="J124" s="6" t="n">
        <v>28.89</v>
      </c>
      <c r="K124" s="5" t="inlineStr">
        <is>
          <t>50</t>
        </is>
      </c>
      <c r="L124" s="5" t="n">
        <v>14.3</v>
      </c>
      <c r="M124" s="6" t="n">
        <v>18.53</v>
      </c>
      <c r="N124" s="6" t="n">
        <v>0</v>
      </c>
      <c r="O124" s="5" t="inlineStr">
        <is>
          <t>02</t>
        </is>
      </c>
      <c r="P124" s="5" t="n">
        <v>2.2</v>
      </c>
      <c r="Q124" s="5" t="n">
        <v>10.3</v>
      </c>
    </row>
    <row r="125">
      <c r="A125" s="5" t="n">
        <v>8980</v>
      </c>
      <c r="B125" s="5" t="n">
        <v>2</v>
      </c>
      <c r="C125" s="5" t="inlineStr">
        <is>
          <t>TONALIZANTE 5 .......... NATURE TON 60 GR</t>
        </is>
      </c>
      <c r="D125" s="5" t="inlineStr">
        <is>
          <t>33059000</t>
        </is>
      </c>
      <c r="E125" s="5" t="inlineStr">
        <is>
          <t>5102</t>
        </is>
      </c>
      <c r="F125" s="6" t="n">
        <v>148.13</v>
      </c>
      <c r="G125" s="5" t="inlineStr">
        <is>
          <t>00</t>
        </is>
      </c>
      <c r="H125" s="6" t="n">
        <v>148.13</v>
      </c>
      <c r="I125" s="5" t="n">
        <v>19.5</v>
      </c>
      <c r="J125" s="6" t="n">
        <v>28.89</v>
      </c>
      <c r="K125" s="5" t="inlineStr">
        <is>
          <t>50</t>
        </is>
      </c>
      <c r="L125" s="5" t="n">
        <v>14.3</v>
      </c>
      <c r="M125" s="6" t="n">
        <v>18.53</v>
      </c>
      <c r="N125" s="6" t="n">
        <v>0</v>
      </c>
      <c r="O125" s="5" t="inlineStr">
        <is>
          <t>02</t>
        </is>
      </c>
      <c r="P125" s="5" t="n">
        <v>2.2</v>
      </c>
      <c r="Q125" s="5" t="n">
        <v>10.3</v>
      </c>
    </row>
    <row r="126">
      <c r="A126" s="5" t="n">
        <v>8980</v>
      </c>
      <c r="B126" s="5" t="n">
        <v>3</v>
      </c>
      <c r="C126" s="5" t="inlineStr">
        <is>
          <t>TONALIZANTE 6 .......... NATURE TON 60 GR</t>
        </is>
      </c>
      <c r="D126" s="5" t="inlineStr">
        <is>
          <t>33059000</t>
        </is>
      </c>
      <c r="E126" s="5" t="inlineStr">
        <is>
          <t>5102</t>
        </is>
      </c>
      <c r="F126" s="6" t="n">
        <v>148.13</v>
      </c>
      <c r="G126" s="5" t="inlineStr">
        <is>
          <t>00</t>
        </is>
      </c>
      <c r="H126" s="6" t="n">
        <v>148.13</v>
      </c>
      <c r="I126" s="5" t="n">
        <v>19.5</v>
      </c>
      <c r="J126" s="6" t="n">
        <v>28.89</v>
      </c>
      <c r="K126" s="5" t="inlineStr">
        <is>
          <t>50</t>
        </is>
      </c>
      <c r="L126" s="5" t="n">
        <v>14.3</v>
      </c>
      <c r="M126" s="6" t="n">
        <v>18.53</v>
      </c>
      <c r="N126" s="6" t="n">
        <v>0</v>
      </c>
      <c r="O126" s="5" t="inlineStr">
        <is>
          <t>02</t>
        </is>
      </c>
      <c r="P126" s="5" t="n">
        <v>2.2</v>
      </c>
      <c r="Q126" s="5" t="n">
        <v>10.3</v>
      </c>
    </row>
    <row r="127">
      <c r="A127" s="5" t="n">
        <v>8980</v>
      </c>
      <c r="B127" s="5" t="n">
        <v>4</v>
      </c>
      <c r="C127" s="5" t="inlineStr">
        <is>
          <t>TONALIZANTE 7.1 .......... NATURE TON 60 GR</t>
        </is>
      </c>
      <c r="D127" s="5" t="inlineStr">
        <is>
          <t>33059000</t>
        </is>
      </c>
      <c r="E127" s="5" t="inlineStr">
        <is>
          <t>5102</t>
        </is>
      </c>
      <c r="F127" s="6" t="n">
        <v>148.13</v>
      </c>
      <c r="G127" s="5" t="inlineStr">
        <is>
          <t>00</t>
        </is>
      </c>
      <c r="H127" s="6" t="n">
        <v>148.13</v>
      </c>
      <c r="I127" s="5" t="n">
        <v>19.5</v>
      </c>
      <c r="J127" s="6" t="n">
        <v>28.89</v>
      </c>
      <c r="K127" s="5" t="inlineStr">
        <is>
          <t>50</t>
        </is>
      </c>
      <c r="L127" s="5" t="n">
        <v>14.3</v>
      </c>
      <c r="M127" s="6" t="n">
        <v>18.53</v>
      </c>
      <c r="N127" s="6" t="n">
        <v>0</v>
      </c>
      <c r="O127" s="5" t="inlineStr">
        <is>
          <t>02</t>
        </is>
      </c>
      <c r="P127" s="5" t="n">
        <v>2.2</v>
      </c>
      <c r="Q127" s="5" t="n">
        <v>10.3</v>
      </c>
    </row>
    <row r="128">
      <c r="A128" s="5" t="n">
        <v>8980</v>
      </c>
      <c r="B128" s="5" t="n">
        <v>5</v>
      </c>
      <c r="C128" s="5" t="inlineStr">
        <is>
          <t>LEAVE IN HIDRAT 22 ALL NATURE - 1000ML</t>
        </is>
      </c>
      <c r="D128" s="5" t="inlineStr">
        <is>
          <t>33059000</t>
        </is>
      </c>
      <c r="E128" s="5" t="inlineStr">
        <is>
          <t>5102</t>
        </is>
      </c>
      <c r="F128" s="6" t="n">
        <v>2329.39</v>
      </c>
      <c r="G128" s="5" t="inlineStr">
        <is>
          <t>00</t>
        </is>
      </c>
      <c r="H128" s="6" t="n">
        <v>2329.39</v>
      </c>
      <c r="I128" s="5" t="n">
        <v>19.5</v>
      </c>
      <c r="J128" s="6" t="n">
        <v>454.23</v>
      </c>
      <c r="K128" s="5" t="inlineStr">
        <is>
          <t>50</t>
        </is>
      </c>
      <c r="L128" s="5" t="n">
        <v>14.3</v>
      </c>
      <c r="M128" s="6" t="n">
        <v>291.43</v>
      </c>
      <c r="N128" s="6" t="n">
        <v>0</v>
      </c>
      <c r="O128" s="5" t="inlineStr">
        <is>
          <t>02</t>
        </is>
      </c>
      <c r="P128" s="5" t="n">
        <v>2.2</v>
      </c>
      <c r="Q128" s="5" t="n">
        <v>10.3</v>
      </c>
    </row>
    <row r="129">
      <c r="A129" s="5" t="n">
        <v>8980</v>
      </c>
      <c r="B129" s="5" t="n">
        <v>6</v>
      </c>
      <c r="C129" s="5" t="inlineStr">
        <is>
          <t>ATIVADOR DESPERTA CACHOS (ROSA) - 300ML</t>
        </is>
      </c>
      <c r="D129" s="5" t="inlineStr">
        <is>
          <t>33059000</t>
        </is>
      </c>
      <c r="E129" s="5" t="inlineStr">
        <is>
          <t>5102</t>
        </is>
      </c>
      <c r="F129" s="6" t="n">
        <v>275.69</v>
      </c>
      <c r="G129" s="5" t="inlineStr">
        <is>
          <t>00</t>
        </is>
      </c>
      <c r="H129" s="6" t="n">
        <v>275.69</v>
      </c>
      <c r="I129" s="5" t="n">
        <v>19.5</v>
      </c>
      <c r="J129" s="6" t="n">
        <v>53.76</v>
      </c>
      <c r="K129" s="5" t="inlineStr">
        <is>
          <t>50</t>
        </is>
      </c>
      <c r="L129" s="5" t="n">
        <v>14.3</v>
      </c>
      <c r="M129" s="6" t="n">
        <v>34.49</v>
      </c>
      <c r="N129" s="6" t="n">
        <v>0</v>
      </c>
      <c r="O129" s="5" t="inlineStr">
        <is>
          <t>02</t>
        </is>
      </c>
      <c r="P129" s="5" t="n">
        <v>2.2</v>
      </c>
      <c r="Q129" s="5" t="n">
        <v>10.3</v>
      </c>
    </row>
    <row r="130">
      <c r="A130" s="5" t="n">
        <v>8980</v>
      </c>
      <c r="B130" s="5" t="n">
        <v>7</v>
      </c>
      <c r="C130" s="5" t="inlineStr">
        <is>
          <t>OLEO DE COCO DERRUBA VOLUME ALL NATURE - 60ML</t>
        </is>
      </c>
      <c r="D130" s="5" t="inlineStr">
        <is>
          <t>33059000</t>
        </is>
      </c>
      <c r="E130" s="5" t="inlineStr">
        <is>
          <t>5102</t>
        </is>
      </c>
      <c r="F130" s="6" t="n">
        <v>7379.21</v>
      </c>
      <c r="G130" s="5" t="inlineStr">
        <is>
          <t>00</t>
        </is>
      </c>
      <c r="H130" s="6" t="n">
        <v>7379.21</v>
      </c>
      <c r="I130" s="5" t="n">
        <v>19.5</v>
      </c>
      <c r="J130" s="6" t="n">
        <v>1438.95</v>
      </c>
      <c r="K130" s="5" t="inlineStr">
        <is>
          <t>50</t>
        </is>
      </c>
      <c r="L130" s="5" t="n">
        <v>14.3</v>
      </c>
      <c r="M130" s="6" t="n">
        <v>923.21</v>
      </c>
      <c r="N130" s="6" t="n">
        <v>0</v>
      </c>
      <c r="O130" s="5" t="inlineStr">
        <is>
          <t>02</t>
        </is>
      </c>
      <c r="P130" s="5" t="n">
        <v>2.2</v>
      </c>
      <c r="Q130" s="5" t="n">
        <v>10.3</v>
      </c>
    </row>
    <row r="131">
      <c r="A131" s="5" t="n">
        <v>8980</v>
      </c>
      <c r="B131" s="5" t="n">
        <v>8</v>
      </c>
      <c r="C131" s="5" t="inlineStr">
        <is>
          <t>NEUTRALIZANTE ALL NATURE - 500ML</t>
        </is>
      </c>
      <c r="D131" s="5" t="inlineStr">
        <is>
          <t>33059000</t>
        </is>
      </c>
      <c r="E131" s="5" t="inlineStr">
        <is>
          <t>5102</t>
        </is>
      </c>
      <c r="F131" s="6" t="n">
        <v>469.64</v>
      </c>
      <c r="G131" s="5" t="inlineStr">
        <is>
          <t>00</t>
        </is>
      </c>
      <c r="H131" s="6" t="n">
        <v>469.64</v>
      </c>
      <c r="I131" s="5" t="n">
        <v>19.5</v>
      </c>
      <c r="J131" s="6" t="n">
        <v>91.58</v>
      </c>
      <c r="K131" s="5" t="inlineStr">
        <is>
          <t>50</t>
        </is>
      </c>
      <c r="L131" s="5" t="n">
        <v>14.3</v>
      </c>
      <c r="M131" s="6" t="n">
        <v>58.76</v>
      </c>
      <c r="N131" s="6" t="n">
        <v>0</v>
      </c>
      <c r="O131" s="5" t="inlineStr">
        <is>
          <t>02</t>
        </is>
      </c>
      <c r="P131" s="5" t="n">
        <v>2.2</v>
      </c>
      <c r="Q131" s="5" t="n">
        <v>10.3</v>
      </c>
    </row>
    <row r="132">
      <c r="A132" s="5" t="n">
        <v>8980</v>
      </c>
      <c r="B132" s="5" t="n">
        <v>9</v>
      </c>
      <c r="C132" s="5" t="inlineStr">
        <is>
          <t>COLOR. 10............TRIOX 60G</t>
        </is>
      </c>
      <c r="D132" s="5" t="inlineStr">
        <is>
          <t>33059000</t>
        </is>
      </c>
      <c r="E132" s="5" t="inlineStr">
        <is>
          <t>5102</t>
        </is>
      </c>
      <c r="F132" s="6" t="n">
        <v>54.86</v>
      </c>
      <c r="G132" s="5" t="inlineStr">
        <is>
          <t>00</t>
        </is>
      </c>
      <c r="H132" s="6" t="n">
        <v>54.86</v>
      </c>
      <c r="I132" s="5" t="n">
        <v>19.5</v>
      </c>
      <c r="J132" s="6" t="n">
        <v>10.7</v>
      </c>
      <c r="K132" s="5" t="inlineStr">
        <is>
          <t>50</t>
        </is>
      </c>
      <c r="L132" s="5" t="n">
        <v>14.3</v>
      </c>
      <c r="M132" s="6" t="n">
        <v>6.86</v>
      </c>
      <c r="N132" s="6" t="n">
        <v>0</v>
      </c>
      <c r="O132" s="5" t="inlineStr">
        <is>
          <t>02</t>
        </is>
      </c>
      <c r="P132" s="5" t="n">
        <v>2.2</v>
      </c>
      <c r="Q132" s="5" t="n">
        <v>10.3</v>
      </c>
    </row>
    <row r="133">
      <c r="A133" s="5" t="n">
        <v>8980</v>
      </c>
      <c r="B133" s="5" t="n">
        <v>10</v>
      </c>
      <c r="C133" s="5" t="inlineStr">
        <is>
          <t>COLOR. 10.2..........TRIOX 60G</t>
        </is>
      </c>
      <c r="D133" s="5" t="inlineStr">
        <is>
          <t>33059000</t>
        </is>
      </c>
      <c r="E133" s="5" t="inlineStr">
        <is>
          <t>5102</t>
        </is>
      </c>
      <c r="F133" s="6" t="n">
        <v>27.43</v>
      </c>
      <c r="G133" s="5" t="inlineStr">
        <is>
          <t>00</t>
        </is>
      </c>
      <c r="H133" s="6" t="n">
        <v>27.43</v>
      </c>
      <c r="I133" s="5" t="n">
        <v>19.5</v>
      </c>
      <c r="J133" s="6" t="n">
        <v>5.35</v>
      </c>
      <c r="K133" s="5" t="inlineStr">
        <is>
          <t>50</t>
        </is>
      </c>
      <c r="L133" s="5" t="n">
        <v>14.3</v>
      </c>
      <c r="M133" s="6" t="n">
        <v>3.43</v>
      </c>
      <c r="N133" s="6" t="n">
        <v>0</v>
      </c>
      <c r="O133" s="5" t="inlineStr">
        <is>
          <t>02</t>
        </is>
      </c>
      <c r="P133" s="5" t="n">
        <v>2.2</v>
      </c>
      <c r="Q133" s="5" t="n">
        <v>10.3</v>
      </c>
    </row>
    <row r="134">
      <c r="A134" s="5" t="n">
        <v>8980</v>
      </c>
      <c r="B134" s="5" t="n">
        <v>11</v>
      </c>
      <c r="C134" s="5" t="inlineStr">
        <is>
          <t>COLOR. 11.89.........TRIOX 60G</t>
        </is>
      </c>
      <c r="D134" s="5" t="inlineStr">
        <is>
          <t>33059000</t>
        </is>
      </c>
      <c r="E134" s="5" t="inlineStr">
        <is>
          <t>5102</t>
        </is>
      </c>
      <c r="F134" s="6" t="n">
        <v>54.86</v>
      </c>
      <c r="G134" s="5" t="inlineStr">
        <is>
          <t>00</t>
        </is>
      </c>
      <c r="H134" s="6" t="n">
        <v>54.86</v>
      </c>
      <c r="I134" s="5" t="n">
        <v>19.5</v>
      </c>
      <c r="J134" s="6" t="n">
        <v>10.7</v>
      </c>
      <c r="K134" s="5" t="inlineStr">
        <is>
          <t>50</t>
        </is>
      </c>
      <c r="L134" s="5" t="n">
        <v>14.3</v>
      </c>
      <c r="M134" s="6" t="n">
        <v>6.86</v>
      </c>
      <c r="N134" s="6" t="n">
        <v>0</v>
      </c>
      <c r="O134" s="5" t="inlineStr">
        <is>
          <t>02</t>
        </is>
      </c>
      <c r="P134" s="5" t="n">
        <v>2.2</v>
      </c>
      <c r="Q134" s="5" t="n">
        <v>10.3</v>
      </c>
    </row>
    <row r="135">
      <c r="A135" s="5" t="n">
        <v>8980</v>
      </c>
      <c r="B135" s="5" t="n">
        <v>12</v>
      </c>
      <c r="C135" s="5" t="inlineStr">
        <is>
          <t>COLOR. 12.............TRIOX 60G</t>
        </is>
      </c>
      <c r="D135" s="5" t="inlineStr">
        <is>
          <t>33059000</t>
        </is>
      </c>
      <c r="E135" s="5" t="inlineStr">
        <is>
          <t>5102</t>
        </is>
      </c>
      <c r="F135" s="6" t="n">
        <v>74.06999999999999</v>
      </c>
      <c r="G135" s="5" t="inlineStr">
        <is>
          <t>00</t>
        </is>
      </c>
      <c r="H135" s="6" t="n">
        <v>74.06999999999999</v>
      </c>
      <c r="I135" s="5" t="n">
        <v>19.5</v>
      </c>
      <c r="J135" s="6" t="n">
        <v>14.44</v>
      </c>
      <c r="K135" s="5" t="inlineStr">
        <is>
          <t>50</t>
        </is>
      </c>
      <c r="L135" s="5" t="n">
        <v>14.3</v>
      </c>
      <c r="M135" s="6" t="n">
        <v>9.27</v>
      </c>
      <c r="N135" s="6" t="n">
        <v>0</v>
      </c>
      <c r="O135" s="5" t="inlineStr">
        <is>
          <t>02</t>
        </is>
      </c>
      <c r="P135" s="5" t="n">
        <v>2.2</v>
      </c>
      <c r="Q135" s="5" t="n">
        <v>10.3</v>
      </c>
    </row>
    <row r="136">
      <c r="A136" s="5" t="n">
        <v>8980</v>
      </c>
      <c r="B136" s="5" t="n">
        <v>13</v>
      </c>
      <c r="C136" s="5" t="inlineStr">
        <is>
          <t>COLOR. 7.32..........TRIOX 60G</t>
        </is>
      </c>
      <c r="D136" s="5" t="inlineStr">
        <is>
          <t>33059000</t>
        </is>
      </c>
      <c r="E136" s="5" t="inlineStr">
        <is>
          <t>5102</t>
        </is>
      </c>
      <c r="F136" s="6" t="n">
        <v>13.72</v>
      </c>
      <c r="G136" s="5" t="inlineStr">
        <is>
          <t>00</t>
        </is>
      </c>
      <c r="H136" s="6" t="n">
        <v>13.72</v>
      </c>
      <c r="I136" s="5" t="n">
        <v>19.5</v>
      </c>
      <c r="J136" s="6" t="n">
        <v>2.68</v>
      </c>
      <c r="K136" s="5" t="inlineStr">
        <is>
          <t>50</t>
        </is>
      </c>
      <c r="L136" s="5" t="n">
        <v>14.3</v>
      </c>
      <c r="M136" s="6" t="n">
        <v>1.72</v>
      </c>
      <c r="N136" s="6" t="n">
        <v>0</v>
      </c>
      <c r="O136" s="5" t="inlineStr">
        <is>
          <t>02</t>
        </is>
      </c>
      <c r="P136" s="5" t="n">
        <v>2.2</v>
      </c>
      <c r="Q136" s="5" t="n">
        <v>10.3</v>
      </c>
    </row>
    <row r="137">
      <c r="A137" s="5" t="n">
        <v>8980</v>
      </c>
      <c r="B137" s="5" t="n">
        <v>14</v>
      </c>
      <c r="C137" s="5" t="inlineStr">
        <is>
          <t>COLOR. 88.77..........TRIOX 60G</t>
        </is>
      </c>
      <c r="D137" s="5" t="inlineStr">
        <is>
          <t>33059000</t>
        </is>
      </c>
      <c r="E137" s="5" t="inlineStr">
        <is>
          <t>5102</t>
        </is>
      </c>
      <c r="F137" s="6" t="n">
        <v>18.29</v>
      </c>
      <c r="G137" s="5" t="inlineStr">
        <is>
          <t>00</t>
        </is>
      </c>
      <c r="H137" s="6" t="n">
        <v>18.29</v>
      </c>
      <c r="I137" s="5" t="n">
        <v>19.5</v>
      </c>
      <c r="J137" s="6" t="n">
        <v>3.57</v>
      </c>
      <c r="K137" s="5" t="inlineStr">
        <is>
          <t>50</t>
        </is>
      </c>
      <c r="L137" s="5" t="n">
        <v>14.3</v>
      </c>
      <c r="M137" s="6" t="n">
        <v>2.29</v>
      </c>
      <c r="N137" s="6" t="n">
        <v>0</v>
      </c>
      <c r="O137" s="5" t="inlineStr">
        <is>
          <t>02</t>
        </is>
      </c>
      <c r="P137" s="5" t="n">
        <v>2.2</v>
      </c>
      <c r="Q137" s="5" t="n">
        <v>10.3</v>
      </c>
    </row>
    <row r="138">
      <c r="A138" s="5" t="n">
        <v>8980</v>
      </c>
      <c r="B138" s="5" t="n">
        <v>15</v>
      </c>
      <c r="C138" s="5" t="inlineStr">
        <is>
          <t>TONALIZANTE 5.26.....TRIOX 60 GR</t>
        </is>
      </c>
      <c r="D138" s="5" t="inlineStr">
        <is>
          <t>33059000</t>
        </is>
      </c>
      <c r="E138" s="5" t="inlineStr">
        <is>
          <t>5102</t>
        </is>
      </c>
      <c r="F138" s="6" t="n">
        <v>68.58</v>
      </c>
      <c r="G138" s="5" t="inlineStr">
        <is>
          <t>00</t>
        </is>
      </c>
      <c r="H138" s="6" t="n">
        <v>68.58</v>
      </c>
      <c r="I138" s="5" t="n">
        <v>19.5</v>
      </c>
      <c r="J138" s="6" t="n">
        <v>13.37</v>
      </c>
      <c r="K138" s="5" t="inlineStr">
        <is>
          <t>50</t>
        </is>
      </c>
      <c r="L138" s="5" t="n">
        <v>14.3</v>
      </c>
      <c r="M138" s="6" t="n">
        <v>8.58</v>
      </c>
      <c r="N138" s="6" t="n">
        <v>0</v>
      </c>
      <c r="O138" s="5" t="inlineStr">
        <is>
          <t>02</t>
        </is>
      </c>
      <c r="P138" s="5" t="n">
        <v>2.2</v>
      </c>
      <c r="Q138" s="5" t="n">
        <v>10.3</v>
      </c>
    </row>
    <row r="139">
      <c r="A139" s="5" t="n">
        <v>8980</v>
      </c>
      <c r="B139" s="5" t="n">
        <v>16</v>
      </c>
      <c r="C139" s="5" t="inlineStr">
        <is>
          <t>COLOR. 7.46.......NATURE COLOR 60G</t>
        </is>
      </c>
      <c r="D139" s="5" t="inlineStr">
        <is>
          <t>33059000</t>
        </is>
      </c>
      <c r="E139" s="5" t="inlineStr">
        <is>
          <t>5102</t>
        </is>
      </c>
      <c r="F139" s="6" t="n">
        <v>37.03</v>
      </c>
      <c r="G139" s="5" t="inlineStr">
        <is>
          <t>00</t>
        </is>
      </c>
      <c r="H139" s="6" t="n">
        <v>37.03</v>
      </c>
      <c r="I139" s="5" t="n">
        <v>19.5</v>
      </c>
      <c r="J139" s="6" t="n">
        <v>7.22</v>
      </c>
      <c r="K139" s="5" t="inlineStr">
        <is>
          <t>50</t>
        </is>
      </c>
      <c r="L139" s="5" t="n">
        <v>14.3</v>
      </c>
      <c r="M139" s="6" t="n">
        <v>4.63</v>
      </c>
      <c r="N139" s="6" t="n">
        <v>0</v>
      </c>
      <c r="O139" s="5" t="inlineStr">
        <is>
          <t>02</t>
        </is>
      </c>
      <c r="P139" s="5" t="n">
        <v>2.2</v>
      </c>
      <c r="Q139" s="5" t="n">
        <v>10.3</v>
      </c>
    </row>
    <row r="140">
      <c r="A140" s="5" t="n">
        <v>8980</v>
      </c>
      <c r="B140" s="5" t="n">
        <v>17</v>
      </c>
      <c r="C140" s="5" t="inlineStr">
        <is>
          <t>COLOR. 0.66.......NATURE COLOR 60G</t>
        </is>
      </c>
      <c r="D140" s="5" t="inlineStr">
        <is>
          <t>33059000</t>
        </is>
      </c>
      <c r="E140" s="5" t="inlineStr">
        <is>
          <t>5102</t>
        </is>
      </c>
      <c r="F140" s="6" t="n">
        <v>74.06999999999999</v>
      </c>
      <c r="G140" s="5" t="inlineStr">
        <is>
          <t>00</t>
        </is>
      </c>
      <c r="H140" s="6" t="n">
        <v>74.06999999999999</v>
      </c>
      <c r="I140" s="5" t="n">
        <v>19.5</v>
      </c>
      <c r="J140" s="6" t="n">
        <v>14.44</v>
      </c>
      <c r="K140" s="5" t="inlineStr">
        <is>
          <t>50</t>
        </is>
      </c>
      <c r="L140" s="5" t="n">
        <v>14.3</v>
      </c>
      <c r="M140" s="6" t="n">
        <v>9.27</v>
      </c>
      <c r="N140" s="6" t="n">
        <v>0</v>
      </c>
      <c r="O140" s="5" t="inlineStr">
        <is>
          <t>02</t>
        </is>
      </c>
      <c r="P140" s="5" t="n">
        <v>2.2</v>
      </c>
      <c r="Q140" s="5" t="n">
        <v>10.3</v>
      </c>
    </row>
    <row r="141">
      <c r="A141" s="5" t="n">
        <v>8980</v>
      </c>
      <c r="B141" s="5" t="n">
        <v>18</v>
      </c>
      <c r="C141" s="5" t="inlineStr">
        <is>
          <t>COLOR. 8.66.......NATURE COLOR 60G</t>
        </is>
      </c>
      <c r="D141" s="5" t="inlineStr">
        <is>
          <t>33059000</t>
        </is>
      </c>
      <c r="E141" s="5" t="inlineStr">
        <is>
          <t>5102</t>
        </is>
      </c>
      <c r="F141" s="6" t="n">
        <v>18.52</v>
      </c>
      <c r="G141" s="5" t="inlineStr">
        <is>
          <t>00</t>
        </is>
      </c>
      <c r="H141" s="6" t="n">
        <v>18.52</v>
      </c>
      <c r="I141" s="5" t="n">
        <v>19.5</v>
      </c>
      <c r="J141" s="6" t="n">
        <v>3.61</v>
      </c>
      <c r="K141" s="5" t="inlineStr">
        <is>
          <t>50</t>
        </is>
      </c>
      <c r="L141" s="5" t="n">
        <v>14.3</v>
      </c>
      <c r="M141" s="6" t="n">
        <v>2.32</v>
      </c>
      <c r="N141" s="6" t="n">
        <v>0</v>
      </c>
      <c r="O141" s="5" t="inlineStr">
        <is>
          <t>02</t>
        </is>
      </c>
      <c r="P141" s="5" t="n">
        <v>2.2</v>
      </c>
      <c r="Q141" s="5" t="n">
        <v>10.3</v>
      </c>
    </row>
    <row r="142">
      <c r="A142" s="5" t="n">
        <v>8980</v>
      </c>
      <c r="B142" s="5" t="n">
        <v>19</v>
      </c>
      <c r="C142" s="5" t="inlineStr">
        <is>
          <t>OLEO DE CHIA ALL NATURE 30 ML</t>
        </is>
      </c>
      <c r="D142" s="5" t="inlineStr">
        <is>
          <t>33071000</t>
        </is>
      </c>
      <c r="E142" s="5" t="inlineStr">
        <is>
          <t>5102</t>
        </is>
      </c>
      <c r="F142" s="6" t="n">
        <v>2050.3</v>
      </c>
      <c r="G142" s="5" t="inlineStr">
        <is>
          <t>00</t>
        </is>
      </c>
      <c r="H142" s="6" t="n">
        <v>2050.3</v>
      </c>
      <c r="I142" s="5" t="n">
        <v>19.5</v>
      </c>
      <c r="J142" s="6" t="n">
        <v>399.81</v>
      </c>
      <c r="K142" s="5" t="n"/>
      <c r="L142" s="5" t="n">
        <v>0</v>
      </c>
      <c r="M142" s="6" t="n">
        <v>0</v>
      </c>
      <c r="N142" s="6" t="n">
        <v>0</v>
      </c>
      <c r="O142" s="5" t="inlineStr">
        <is>
          <t>02</t>
        </is>
      </c>
      <c r="P142" s="5" t="n">
        <v>2.2</v>
      </c>
      <c r="Q142" s="5" t="n">
        <v>10.3</v>
      </c>
    </row>
    <row r="143">
      <c r="A143" s="5" t="n">
        <v>8980</v>
      </c>
      <c r="B143" s="5" t="n">
        <v>20</v>
      </c>
      <c r="C143" s="5" t="inlineStr">
        <is>
          <t>OLEO DE GIRASSOL ALL NATURE 30 ML</t>
        </is>
      </c>
      <c r="D143" s="5" t="inlineStr">
        <is>
          <t>33071000</t>
        </is>
      </c>
      <c r="E143" s="5" t="inlineStr">
        <is>
          <t>5102</t>
        </is>
      </c>
      <c r="F143" s="6" t="n">
        <v>2050.3</v>
      </c>
      <c r="G143" s="5" t="inlineStr">
        <is>
          <t>00</t>
        </is>
      </c>
      <c r="H143" s="6" t="n">
        <v>2050.3</v>
      </c>
      <c r="I143" s="5" t="n">
        <v>19.5</v>
      </c>
      <c r="J143" s="6" t="n">
        <v>399.81</v>
      </c>
      <c r="K143" s="5" t="n"/>
      <c r="L143" s="5" t="n">
        <v>0</v>
      </c>
      <c r="M143" s="6" t="n">
        <v>0</v>
      </c>
      <c r="N143" s="6" t="n">
        <v>0</v>
      </c>
      <c r="O143" s="5" t="inlineStr">
        <is>
          <t>02</t>
        </is>
      </c>
      <c r="P143" s="5" t="n">
        <v>2.2</v>
      </c>
      <c r="Q143" s="5" t="n">
        <v>10.3</v>
      </c>
    </row>
    <row r="144">
      <c r="A144" s="5" t="n">
        <v>8980</v>
      </c>
      <c r="B144" s="5" t="n">
        <v>21</v>
      </c>
      <c r="C144" s="5" t="inlineStr">
        <is>
          <t>OLEO CARTAMO ALL NATURE 30 ML</t>
        </is>
      </c>
      <c r="D144" s="5" t="inlineStr">
        <is>
          <t>33071000</t>
        </is>
      </c>
      <c r="E144" s="5" t="inlineStr">
        <is>
          <t>5102</t>
        </is>
      </c>
      <c r="F144" s="6" t="n">
        <v>2050.3</v>
      </c>
      <c r="G144" s="5" t="inlineStr">
        <is>
          <t>00</t>
        </is>
      </c>
      <c r="H144" s="6" t="n">
        <v>2050.3</v>
      </c>
      <c r="I144" s="5" t="n">
        <v>19.5</v>
      </c>
      <c r="J144" s="6" t="n">
        <v>399.81</v>
      </c>
      <c r="K144" s="5" t="n"/>
      <c r="L144" s="5" t="n">
        <v>0</v>
      </c>
      <c r="M144" s="6" t="n">
        <v>0</v>
      </c>
      <c r="N144" s="6" t="n">
        <v>0</v>
      </c>
      <c r="O144" s="5" t="inlineStr">
        <is>
          <t>02</t>
        </is>
      </c>
      <c r="P144" s="5" t="n">
        <v>2.2</v>
      </c>
      <c r="Q144" s="5" t="n">
        <v>10.3</v>
      </c>
    </row>
    <row r="145">
      <c r="A145" s="5" t="n">
        <v>8980</v>
      </c>
      <c r="B145" s="5" t="n">
        <v>22</v>
      </c>
      <c r="C145" s="5" t="inlineStr">
        <is>
          <t>CONDICIONADOR TOTAL THERAPY 5L</t>
        </is>
      </c>
      <c r="D145" s="5" t="inlineStr">
        <is>
          <t>33059000</t>
        </is>
      </c>
      <c r="E145" s="5" t="inlineStr">
        <is>
          <t>5102</t>
        </is>
      </c>
      <c r="F145" s="6" t="n">
        <v>132.91</v>
      </c>
      <c r="G145" s="5" t="inlineStr">
        <is>
          <t>00</t>
        </is>
      </c>
      <c r="H145" s="6" t="n">
        <v>132.91</v>
      </c>
      <c r="I145" s="5" t="n">
        <v>19.5</v>
      </c>
      <c r="J145" s="6" t="n">
        <v>25.92</v>
      </c>
      <c r="K145" s="5" t="inlineStr">
        <is>
          <t>50</t>
        </is>
      </c>
      <c r="L145" s="5" t="n">
        <v>14.3</v>
      </c>
      <c r="M145" s="6" t="n">
        <v>16.63</v>
      </c>
      <c r="N145" s="6" t="n">
        <v>0</v>
      </c>
      <c r="O145" s="5" t="inlineStr">
        <is>
          <t>02</t>
        </is>
      </c>
      <c r="P145" s="5" t="n">
        <v>2.2</v>
      </c>
      <c r="Q145" s="5" t="n">
        <v>10.3</v>
      </c>
    </row>
    <row r="146">
      <c r="A146" s="5" t="n">
        <v>8981</v>
      </c>
      <c r="B146" s="5" t="n">
        <v>1</v>
      </c>
      <c r="C146" s="5" t="inlineStr">
        <is>
          <t>OLEO DE COCO DERRUBA VOLUME ALL NATURE - 60ML</t>
        </is>
      </c>
      <c r="D146" s="5" t="inlineStr">
        <is>
          <t>33059000</t>
        </is>
      </c>
      <c r="E146" s="5" t="inlineStr">
        <is>
          <t>5102</t>
        </is>
      </c>
      <c r="F146" s="6" t="n">
        <v>1691.57</v>
      </c>
      <c r="G146" s="5" t="inlineStr">
        <is>
          <t>00</t>
        </is>
      </c>
      <c r="H146" s="6" t="n">
        <v>1691.57</v>
      </c>
      <c r="I146" s="5" t="n">
        <v>19.5</v>
      </c>
      <c r="J146" s="6" t="n">
        <v>329.86</v>
      </c>
      <c r="K146" s="5" t="inlineStr">
        <is>
          <t>50</t>
        </is>
      </c>
      <c r="L146" s="5" t="n">
        <v>14.3</v>
      </c>
      <c r="M146" s="6" t="n">
        <v>211.63</v>
      </c>
      <c r="N146" s="6" t="n">
        <v>0</v>
      </c>
      <c r="O146" s="5" t="inlineStr">
        <is>
          <t>02</t>
        </is>
      </c>
      <c r="P146" s="5" t="n">
        <v>2.2</v>
      </c>
      <c r="Q146" s="5" t="n">
        <v>10.3</v>
      </c>
    </row>
    <row r="147">
      <c r="A147" s="5" t="n">
        <v>8982</v>
      </c>
      <c r="B147" s="5" t="n">
        <v>1</v>
      </c>
      <c r="C147" s="5" t="inlineStr">
        <is>
          <t>CREME RELAXANTE - 250GR</t>
        </is>
      </c>
      <c r="D147" s="5" t="inlineStr">
        <is>
          <t>33052000</t>
        </is>
      </c>
      <c r="E147" s="5" t="inlineStr">
        <is>
          <t>5102</t>
        </is>
      </c>
      <c r="F147" s="6" t="n">
        <v>6901.45</v>
      </c>
      <c r="G147" s="5" t="inlineStr">
        <is>
          <t>00</t>
        </is>
      </c>
      <c r="H147" s="6" t="n">
        <v>6901.45</v>
      </c>
      <c r="I147" s="5" t="n">
        <v>19.5</v>
      </c>
      <c r="J147" s="6" t="n">
        <v>1345.78</v>
      </c>
      <c r="K147" s="5" t="inlineStr">
        <is>
          <t>50</t>
        </is>
      </c>
      <c r="L147" s="5" t="n">
        <v>14.3</v>
      </c>
      <c r="M147" s="6" t="n">
        <v>863.4400000000001</v>
      </c>
      <c r="N147" s="6" t="n">
        <v>0</v>
      </c>
      <c r="O147" s="5" t="inlineStr">
        <is>
          <t>02</t>
        </is>
      </c>
      <c r="P147" s="5" t="n">
        <v>2.2</v>
      </c>
      <c r="Q147" s="5" t="n">
        <v>10.3</v>
      </c>
    </row>
    <row r="148">
      <c r="A148" s="5" t="n">
        <v>8983</v>
      </c>
      <c r="B148" s="5" t="n">
        <v>1</v>
      </c>
      <c r="C148" s="5" t="inlineStr">
        <is>
          <t>COLOR. 1........................REVE 60G</t>
        </is>
      </c>
      <c r="D148" s="5" t="inlineStr">
        <is>
          <t>33059000</t>
        </is>
      </c>
      <c r="E148" s="5" t="inlineStr">
        <is>
          <t>6124</t>
        </is>
      </c>
      <c r="F148" s="6" t="n">
        <v>112.5</v>
      </c>
      <c r="G148" s="5" t="inlineStr">
        <is>
          <t>00</t>
        </is>
      </c>
      <c r="H148" s="6" t="n">
        <v>112.5</v>
      </c>
      <c r="I148" s="5" t="n">
        <v>7</v>
      </c>
      <c r="J148" s="6" t="n">
        <v>7.88</v>
      </c>
      <c r="K148" s="5" t="inlineStr">
        <is>
          <t>55</t>
        </is>
      </c>
      <c r="L148" s="5" t="n">
        <v>0</v>
      </c>
      <c r="M148" s="6" t="n">
        <v>0</v>
      </c>
      <c r="N148" s="6" t="n">
        <v>0</v>
      </c>
      <c r="O148" s="5" t="inlineStr">
        <is>
          <t>02</t>
        </is>
      </c>
      <c r="P148" s="5" t="n">
        <v>2.2</v>
      </c>
      <c r="Q148" s="5" t="n">
        <v>10.3</v>
      </c>
    </row>
    <row r="149">
      <c r="A149" s="5" t="n">
        <v>8983</v>
      </c>
      <c r="B149" s="5" t="n">
        <v>2</v>
      </c>
      <c r="C149" s="5" t="inlineStr">
        <is>
          <t>COLOR. 5........................REVE 60G</t>
        </is>
      </c>
      <c r="D149" s="5" t="inlineStr">
        <is>
          <t>33059000</t>
        </is>
      </c>
      <c r="E149" s="5" t="inlineStr">
        <is>
          <t>6124</t>
        </is>
      </c>
      <c r="F149" s="6" t="n">
        <v>207</v>
      </c>
      <c r="G149" s="5" t="inlineStr">
        <is>
          <t>00</t>
        </is>
      </c>
      <c r="H149" s="6" t="n">
        <v>207</v>
      </c>
      <c r="I149" s="5" t="n">
        <v>7</v>
      </c>
      <c r="J149" s="6" t="n">
        <v>14.49</v>
      </c>
      <c r="K149" s="5" t="inlineStr">
        <is>
          <t>55</t>
        </is>
      </c>
      <c r="L149" s="5" t="n">
        <v>0</v>
      </c>
      <c r="M149" s="6" t="n">
        <v>0</v>
      </c>
      <c r="N149" s="6" t="n">
        <v>0</v>
      </c>
      <c r="O149" s="5" t="inlineStr">
        <is>
          <t>02</t>
        </is>
      </c>
      <c r="P149" s="5" t="n">
        <v>2.2</v>
      </c>
      <c r="Q149" s="5" t="n">
        <v>10.3</v>
      </c>
    </row>
    <row r="150">
      <c r="A150" s="5" t="n">
        <v>8983</v>
      </c>
      <c r="B150" s="5" t="n">
        <v>3</v>
      </c>
      <c r="C150" s="5" t="inlineStr">
        <is>
          <t>COLOR. 6........................REVE 60G</t>
        </is>
      </c>
      <c r="D150" s="5" t="inlineStr">
        <is>
          <t>33059000</t>
        </is>
      </c>
      <c r="E150" s="5" t="inlineStr">
        <is>
          <t>6124</t>
        </is>
      </c>
      <c r="F150" s="6" t="n">
        <v>103.5</v>
      </c>
      <c r="G150" s="5" t="inlineStr">
        <is>
          <t>00</t>
        </is>
      </c>
      <c r="H150" s="6" t="n">
        <v>103.5</v>
      </c>
      <c r="I150" s="5" t="n">
        <v>7</v>
      </c>
      <c r="J150" s="6" t="n">
        <v>7.25</v>
      </c>
      <c r="K150" s="5" t="inlineStr">
        <is>
          <t>55</t>
        </is>
      </c>
      <c r="L150" s="5" t="n">
        <v>0</v>
      </c>
      <c r="M150" s="6" t="n">
        <v>0</v>
      </c>
      <c r="N150" s="6" t="n">
        <v>0</v>
      </c>
      <c r="O150" s="5" t="inlineStr">
        <is>
          <t>02</t>
        </is>
      </c>
      <c r="P150" s="5" t="n">
        <v>2.2</v>
      </c>
      <c r="Q150" s="5" t="n">
        <v>10.3</v>
      </c>
    </row>
    <row r="151">
      <c r="A151" s="5" t="n">
        <v>8983</v>
      </c>
      <c r="B151" s="5" t="n">
        <v>4</v>
      </c>
      <c r="C151" s="5" t="inlineStr">
        <is>
          <t>COLOR. 7........................REVE 60G</t>
        </is>
      </c>
      <c r="D151" s="5" t="inlineStr">
        <is>
          <t>33059000</t>
        </is>
      </c>
      <c r="E151" s="5" t="inlineStr">
        <is>
          <t>6124</t>
        </is>
      </c>
      <c r="F151" s="6" t="n">
        <v>207</v>
      </c>
      <c r="G151" s="5" t="inlineStr">
        <is>
          <t>00</t>
        </is>
      </c>
      <c r="H151" s="6" t="n">
        <v>207</v>
      </c>
      <c r="I151" s="5" t="n">
        <v>7</v>
      </c>
      <c r="J151" s="6" t="n">
        <v>14.49</v>
      </c>
      <c r="K151" s="5" t="inlineStr">
        <is>
          <t>55</t>
        </is>
      </c>
      <c r="L151" s="5" t="n">
        <v>0</v>
      </c>
      <c r="M151" s="6" t="n">
        <v>0</v>
      </c>
      <c r="N151" s="6" t="n">
        <v>0</v>
      </c>
      <c r="O151" s="5" t="inlineStr">
        <is>
          <t>02</t>
        </is>
      </c>
      <c r="P151" s="5" t="n">
        <v>2.2</v>
      </c>
      <c r="Q151" s="5" t="n">
        <v>10.3</v>
      </c>
    </row>
    <row r="152">
      <c r="A152" s="5" t="n">
        <v>8983</v>
      </c>
      <c r="B152" s="5" t="n">
        <v>5</v>
      </c>
      <c r="C152" s="5" t="inlineStr">
        <is>
          <t>COLOR. 7.00...................REVE 60G</t>
        </is>
      </c>
      <c r="D152" s="5" t="inlineStr">
        <is>
          <t>33059000</t>
        </is>
      </c>
      <c r="E152" s="5" t="inlineStr">
        <is>
          <t>6124</t>
        </is>
      </c>
      <c r="F152" s="6" t="n">
        <v>112.5</v>
      </c>
      <c r="G152" s="5" t="inlineStr">
        <is>
          <t>00</t>
        </is>
      </c>
      <c r="H152" s="6" t="n">
        <v>112.5</v>
      </c>
      <c r="I152" s="5" t="n">
        <v>7</v>
      </c>
      <c r="J152" s="6" t="n">
        <v>7.88</v>
      </c>
      <c r="K152" s="5" t="inlineStr">
        <is>
          <t>55</t>
        </is>
      </c>
      <c r="L152" s="5" t="n">
        <v>0</v>
      </c>
      <c r="M152" s="6" t="n">
        <v>0</v>
      </c>
      <c r="N152" s="6" t="n">
        <v>0</v>
      </c>
      <c r="O152" s="5" t="inlineStr">
        <is>
          <t>02</t>
        </is>
      </c>
      <c r="P152" s="5" t="n">
        <v>2.2</v>
      </c>
      <c r="Q152" s="5" t="n">
        <v>10.3</v>
      </c>
    </row>
    <row r="153">
      <c r="A153" s="5" t="n">
        <v>8983</v>
      </c>
      <c r="B153" s="5" t="n">
        <v>6</v>
      </c>
      <c r="C153" s="5" t="inlineStr">
        <is>
          <t>COLOR. 5.1.....................REVE 60G</t>
        </is>
      </c>
      <c r="D153" s="5" t="inlineStr">
        <is>
          <t>33059000</t>
        </is>
      </c>
      <c r="E153" s="5" t="inlineStr">
        <is>
          <t>6124</t>
        </is>
      </c>
      <c r="F153" s="6" t="n">
        <v>112.5</v>
      </c>
      <c r="G153" s="5" t="inlineStr">
        <is>
          <t>00</t>
        </is>
      </c>
      <c r="H153" s="6" t="n">
        <v>112.5</v>
      </c>
      <c r="I153" s="5" t="n">
        <v>7</v>
      </c>
      <c r="J153" s="6" t="n">
        <v>7.88</v>
      </c>
      <c r="K153" s="5" t="inlineStr">
        <is>
          <t>55</t>
        </is>
      </c>
      <c r="L153" s="5" t="n">
        <v>0</v>
      </c>
      <c r="M153" s="6" t="n">
        <v>0</v>
      </c>
      <c r="N153" s="6" t="n">
        <v>0</v>
      </c>
      <c r="O153" s="5" t="inlineStr">
        <is>
          <t>02</t>
        </is>
      </c>
      <c r="P153" s="5" t="n">
        <v>2.2</v>
      </c>
      <c r="Q153" s="5" t="n">
        <v>10.3</v>
      </c>
    </row>
    <row r="154">
      <c r="A154" s="5" t="n">
        <v>8983</v>
      </c>
      <c r="B154" s="5" t="n">
        <v>7</v>
      </c>
      <c r="C154" s="5" t="inlineStr">
        <is>
          <t>COLOR. 7.47...................REVE 60G</t>
        </is>
      </c>
      <c r="D154" s="5" t="inlineStr">
        <is>
          <t>33059000</t>
        </is>
      </c>
      <c r="E154" s="5" t="inlineStr">
        <is>
          <t>6124</t>
        </is>
      </c>
      <c r="F154" s="6" t="n">
        <v>112.5</v>
      </c>
      <c r="G154" s="5" t="inlineStr">
        <is>
          <t>00</t>
        </is>
      </c>
      <c r="H154" s="6" t="n">
        <v>112.5</v>
      </c>
      <c r="I154" s="5" t="n">
        <v>7</v>
      </c>
      <c r="J154" s="6" t="n">
        <v>7.88</v>
      </c>
      <c r="K154" s="5" t="inlineStr">
        <is>
          <t>55</t>
        </is>
      </c>
      <c r="L154" s="5" t="n">
        <v>0</v>
      </c>
      <c r="M154" s="6" t="n">
        <v>0</v>
      </c>
      <c r="N154" s="6" t="n">
        <v>0</v>
      </c>
      <c r="O154" s="5" t="inlineStr">
        <is>
          <t>02</t>
        </is>
      </c>
      <c r="P154" s="5" t="n">
        <v>2.2</v>
      </c>
      <c r="Q154" s="5" t="n">
        <v>10.3</v>
      </c>
    </row>
    <row r="155">
      <c r="A155" s="5" t="n">
        <v>8984</v>
      </c>
      <c r="B155" s="5" t="n">
        <v>1</v>
      </c>
      <c r="C155" s="5" t="inlineStr">
        <is>
          <t>CARTUCHO COLOR. REVE COLOR 60G</t>
        </is>
      </c>
      <c r="D155" s="5" t="inlineStr">
        <is>
          <t>48191000</t>
        </is>
      </c>
      <c r="E155" s="5" t="inlineStr">
        <is>
          <t>6902</t>
        </is>
      </c>
      <c r="F155" s="6" t="n">
        <v>334.8</v>
      </c>
      <c r="G155" s="5" t="inlineStr">
        <is>
          <t>41</t>
        </is>
      </c>
      <c r="H155" s="6" t="n">
        <v>0</v>
      </c>
      <c r="I155" s="5" t="n">
        <v>0</v>
      </c>
      <c r="J155" s="6" t="n">
        <v>0</v>
      </c>
      <c r="K155" s="5" t="n"/>
      <c r="L155" s="5" t="n">
        <v>0</v>
      </c>
      <c r="M155" s="6" t="n">
        <v>0</v>
      </c>
      <c r="N155" s="6" t="n">
        <v>0</v>
      </c>
      <c r="O155" s="5" t="inlineStr">
        <is>
          <t>49</t>
        </is>
      </c>
      <c r="P155" s="5" t="n">
        <v>0</v>
      </c>
      <c r="Q155" s="5" t="n">
        <v>0</v>
      </c>
    </row>
    <row r="156">
      <c r="A156" s="5" t="n">
        <v>8985</v>
      </c>
      <c r="B156" s="5" t="n">
        <v>1</v>
      </c>
      <c r="C156" s="5" t="inlineStr">
        <is>
          <t>COLOR. 6.00........... MAXX COLOR 60G</t>
        </is>
      </c>
      <c r="D156" s="5" t="inlineStr">
        <is>
          <t>33059000</t>
        </is>
      </c>
      <c r="E156" s="5" t="inlineStr">
        <is>
          <t>6124</t>
        </is>
      </c>
      <c r="F156" s="6" t="n">
        <v>402</v>
      </c>
      <c r="G156" s="5" t="inlineStr">
        <is>
          <t>00</t>
        </is>
      </c>
      <c r="H156" s="6" t="n">
        <v>402</v>
      </c>
      <c r="I156" s="5" t="n">
        <v>12</v>
      </c>
      <c r="J156" s="6" t="n">
        <v>48.24</v>
      </c>
      <c r="K156" s="5" t="inlineStr">
        <is>
          <t>55</t>
        </is>
      </c>
      <c r="L156" s="5" t="n">
        <v>0</v>
      </c>
      <c r="M156" s="6" t="n">
        <v>0</v>
      </c>
      <c r="N156" s="6" t="n">
        <v>0</v>
      </c>
      <c r="O156" s="5" t="inlineStr">
        <is>
          <t>02</t>
        </is>
      </c>
      <c r="P156" s="5" t="n">
        <v>2.2</v>
      </c>
      <c r="Q156" s="5" t="n">
        <v>10.3</v>
      </c>
    </row>
    <row r="157">
      <c r="A157" s="5" t="n">
        <v>8986</v>
      </c>
      <c r="B157" s="5" t="n">
        <v>1</v>
      </c>
      <c r="C157" s="5" t="inlineStr">
        <is>
          <t>CARTUCHO COLORACAO MAXX COLOR 60G</t>
        </is>
      </c>
      <c r="D157" s="5" t="inlineStr">
        <is>
          <t>48191000</t>
        </is>
      </c>
      <c r="E157" s="5" t="inlineStr">
        <is>
          <t>6902</t>
        </is>
      </c>
      <c r="F157" s="6" t="n">
        <v>26.4</v>
      </c>
      <c r="G157" s="5" t="inlineStr">
        <is>
          <t>41</t>
        </is>
      </c>
      <c r="H157" s="6" t="n">
        <v>0</v>
      </c>
      <c r="I157" s="5" t="n">
        <v>0</v>
      </c>
      <c r="J157" s="6" t="n">
        <v>0</v>
      </c>
      <c r="K157" s="5" t="n"/>
      <c r="L157" s="5" t="n">
        <v>0</v>
      </c>
      <c r="M157" s="6" t="n">
        <v>0</v>
      </c>
      <c r="N157" s="6" t="n">
        <v>0</v>
      </c>
      <c r="O157" s="5" t="inlineStr">
        <is>
          <t>49</t>
        </is>
      </c>
      <c r="P157" s="5" t="n">
        <v>0</v>
      </c>
      <c r="Q157" s="5" t="n">
        <v>0</v>
      </c>
    </row>
    <row r="158">
      <c r="A158" s="5" t="n">
        <v>8986</v>
      </c>
      <c r="B158" s="5" t="n">
        <v>2</v>
      </c>
      <c r="C158" s="5" t="inlineStr">
        <is>
          <t>BISNAGA COLORACAO ALUMINIO MAXX COLOR 60G</t>
        </is>
      </c>
      <c r="D158" s="5" t="inlineStr">
        <is>
          <t>76121000</t>
        </is>
      </c>
      <c r="E158" s="5" t="inlineStr">
        <is>
          <t>6902</t>
        </is>
      </c>
      <c r="F158" s="6" t="n">
        <v>54</v>
      </c>
      <c r="G158" s="5" t="inlineStr">
        <is>
          <t>41</t>
        </is>
      </c>
      <c r="H158" s="6" t="n">
        <v>0</v>
      </c>
      <c r="I158" s="5" t="n">
        <v>0</v>
      </c>
      <c r="J158" s="6" t="n">
        <v>0</v>
      </c>
      <c r="K158" s="5" t="n"/>
      <c r="L158" s="5" t="n">
        <v>0</v>
      </c>
      <c r="M158" s="6" t="n">
        <v>0</v>
      </c>
      <c r="N158" s="6" t="n">
        <v>0</v>
      </c>
      <c r="O158" s="5" t="inlineStr">
        <is>
          <t>49</t>
        </is>
      </c>
      <c r="P158" s="5" t="n">
        <v>0</v>
      </c>
      <c r="Q158" s="5" t="n">
        <v>0</v>
      </c>
    </row>
    <row r="159">
      <c r="A159" s="5" t="n">
        <v>8986</v>
      </c>
      <c r="B159" s="5" t="n">
        <v>3</v>
      </c>
      <c r="C159" s="5" t="inlineStr">
        <is>
          <t>CAIXA MASTER COLORACAO MAXX COLOR 60G</t>
        </is>
      </c>
      <c r="D159" s="5" t="inlineStr">
        <is>
          <t>48191000</t>
        </is>
      </c>
      <c r="E159" s="5" t="inlineStr">
        <is>
          <t>6902</t>
        </is>
      </c>
      <c r="F159" s="6" t="n">
        <v>20.65</v>
      </c>
      <c r="G159" s="5" t="inlineStr">
        <is>
          <t>41</t>
        </is>
      </c>
      <c r="H159" s="6" t="n">
        <v>0</v>
      </c>
      <c r="I159" s="5" t="n">
        <v>0</v>
      </c>
      <c r="J159" s="6" t="n">
        <v>0</v>
      </c>
      <c r="K159" s="5" t="n"/>
      <c r="L159" s="5" t="n">
        <v>0</v>
      </c>
      <c r="M159" s="6" t="n">
        <v>0</v>
      </c>
      <c r="N159" s="6" t="n">
        <v>0</v>
      </c>
      <c r="O159" s="5" t="inlineStr">
        <is>
          <t>49</t>
        </is>
      </c>
      <c r="P159" s="5" t="n">
        <v>0</v>
      </c>
      <c r="Q159" s="5" t="n">
        <v>0</v>
      </c>
    </row>
    <row r="160">
      <c r="A160" s="5" t="n">
        <v>8987</v>
      </c>
      <c r="B160" s="5" t="n">
        <v>1</v>
      </c>
      <c r="C160" s="5" t="inlineStr">
        <is>
          <t>TONALIZANTE 5 ..........SCOLARI 60G</t>
        </is>
      </c>
      <c r="D160" s="5" t="inlineStr">
        <is>
          <t>33059000</t>
        </is>
      </c>
      <c r="E160" s="5" t="inlineStr">
        <is>
          <t>6124</t>
        </is>
      </c>
      <c r="F160" s="6" t="n">
        <v>526.95</v>
      </c>
      <c r="G160" s="5" t="inlineStr">
        <is>
          <t>00</t>
        </is>
      </c>
      <c r="H160" s="6" t="n">
        <v>526.95</v>
      </c>
      <c r="I160" s="5" t="n">
        <v>12</v>
      </c>
      <c r="J160" s="6" t="n">
        <v>63.23</v>
      </c>
      <c r="K160" s="5" t="inlineStr">
        <is>
          <t>55</t>
        </is>
      </c>
      <c r="L160" s="5" t="n">
        <v>0</v>
      </c>
      <c r="M160" s="6" t="n">
        <v>0</v>
      </c>
      <c r="N160" s="6" t="n">
        <v>0</v>
      </c>
      <c r="O160" s="5" t="inlineStr">
        <is>
          <t>02</t>
        </is>
      </c>
      <c r="P160" s="5" t="n">
        <v>2.2</v>
      </c>
      <c r="Q160" s="5" t="n">
        <v>10.3</v>
      </c>
    </row>
    <row r="161">
      <c r="A161" s="5" t="n">
        <v>8987</v>
      </c>
      <c r="B161" s="5" t="n">
        <v>2</v>
      </c>
      <c r="C161" s="5" t="inlineStr">
        <is>
          <t>COLOR. 7.................SCOLARI 60G</t>
        </is>
      </c>
      <c r="D161" s="5" t="inlineStr">
        <is>
          <t>33059000</t>
        </is>
      </c>
      <c r="E161" s="5" t="inlineStr">
        <is>
          <t>6124</t>
        </is>
      </c>
      <c r="F161" s="6" t="n">
        <v>952.3200000000001</v>
      </c>
      <c r="G161" s="5" t="inlineStr">
        <is>
          <t>00</t>
        </is>
      </c>
      <c r="H161" s="6" t="n">
        <v>952.3200000000001</v>
      </c>
      <c r="I161" s="5" t="n">
        <v>12</v>
      </c>
      <c r="J161" s="6" t="n">
        <v>114.28</v>
      </c>
      <c r="K161" s="5" t="inlineStr">
        <is>
          <t>55</t>
        </is>
      </c>
      <c r="L161" s="5" t="n">
        <v>0</v>
      </c>
      <c r="M161" s="6" t="n">
        <v>0</v>
      </c>
      <c r="N161" s="6" t="n">
        <v>0</v>
      </c>
      <c r="O161" s="5" t="inlineStr">
        <is>
          <t>02</t>
        </is>
      </c>
      <c r="P161" s="5" t="n">
        <v>2.2</v>
      </c>
      <c r="Q161" s="5" t="n">
        <v>10.3</v>
      </c>
    </row>
    <row r="162">
      <c r="A162" s="5" t="n">
        <v>8988</v>
      </c>
      <c r="B162" s="5" t="n">
        <v>1</v>
      </c>
      <c r="C162" s="5" t="inlineStr">
        <is>
          <t>CARTUCHO TONALIZANTE SCOLARI 60G</t>
        </is>
      </c>
      <c r="D162" s="5" t="inlineStr">
        <is>
          <t>48191000</t>
        </is>
      </c>
      <c r="E162" s="5" t="inlineStr">
        <is>
          <t>6902</t>
        </is>
      </c>
      <c r="F162" s="6" t="n">
        <v>35.4</v>
      </c>
      <c r="G162" s="5" t="inlineStr">
        <is>
          <t>41</t>
        </is>
      </c>
      <c r="H162" s="6" t="n">
        <v>0</v>
      </c>
      <c r="I162" s="5" t="n">
        <v>0</v>
      </c>
      <c r="J162" s="6" t="n">
        <v>0</v>
      </c>
      <c r="K162" s="5" t="n"/>
      <c r="L162" s="5" t="n">
        <v>0</v>
      </c>
      <c r="M162" s="6" t="n">
        <v>0</v>
      </c>
      <c r="N162" s="6" t="n">
        <v>0</v>
      </c>
      <c r="O162" s="5" t="inlineStr">
        <is>
          <t>49</t>
        </is>
      </c>
      <c r="P162" s="5" t="n">
        <v>0</v>
      </c>
      <c r="Q162" s="5" t="n">
        <v>0</v>
      </c>
    </row>
    <row r="163">
      <c r="A163" s="5" t="n">
        <v>8988</v>
      </c>
      <c r="B163" s="5" t="n">
        <v>2</v>
      </c>
      <c r="C163" s="5" t="inlineStr">
        <is>
          <t>CARTUCHO COLORACAO SCOLARI 60G</t>
        </is>
      </c>
      <c r="D163" s="5" t="inlineStr">
        <is>
          <t>48191000</t>
        </is>
      </c>
      <c r="E163" s="5" t="inlineStr">
        <is>
          <t>6902</t>
        </is>
      </c>
      <c r="F163" s="6" t="n">
        <v>6.36</v>
      </c>
      <c r="G163" s="5" t="inlineStr">
        <is>
          <t>41</t>
        </is>
      </c>
      <c r="H163" s="6" t="n">
        <v>0</v>
      </c>
      <c r="I163" s="5" t="n">
        <v>0</v>
      </c>
      <c r="J163" s="6" t="n">
        <v>0</v>
      </c>
      <c r="K163" s="5" t="n"/>
      <c r="L163" s="5" t="n">
        <v>0</v>
      </c>
      <c r="M163" s="6" t="n">
        <v>0</v>
      </c>
      <c r="N163" s="6" t="n">
        <v>0</v>
      </c>
      <c r="O163" s="5" t="inlineStr">
        <is>
          <t>49</t>
        </is>
      </c>
      <c r="P163" s="5" t="n">
        <v>0</v>
      </c>
      <c r="Q163" s="5" t="n">
        <v>0</v>
      </c>
    </row>
    <row r="164">
      <c r="A164" s="5" t="n">
        <v>8989</v>
      </c>
      <c r="B164" s="5" t="n">
        <v>1</v>
      </c>
      <c r="C164" s="5" t="inlineStr">
        <is>
          <t>FRASCO IMPRESSO OX 30V 900ML MIX ETERNIZE</t>
        </is>
      </c>
      <c r="D164" s="5" t="inlineStr">
        <is>
          <t>39233090</t>
        </is>
      </c>
      <c r="E164" s="5" t="inlineStr">
        <is>
          <t>5124</t>
        </is>
      </c>
      <c r="F164" s="6" t="n">
        <v>600</v>
      </c>
      <c r="G164" s="5" t="inlineStr">
        <is>
          <t>41</t>
        </is>
      </c>
      <c r="H164" s="6" t="n">
        <v>0</v>
      </c>
      <c r="I164" s="5" t="n">
        <v>0</v>
      </c>
      <c r="J164" s="6" t="n">
        <v>0</v>
      </c>
      <c r="K164" s="5" t="n"/>
      <c r="L164" s="5" t="n">
        <v>0</v>
      </c>
      <c r="M164" s="6" t="n">
        <v>0</v>
      </c>
      <c r="N164" s="6" t="n">
        <v>0</v>
      </c>
      <c r="O164" s="5" t="inlineStr">
        <is>
          <t>49</t>
        </is>
      </c>
      <c r="P164" s="5" t="n">
        <v>0</v>
      </c>
      <c r="Q164" s="5" t="n">
        <v>0</v>
      </c>
    </row>
    <row r="165">
      <c r="A165" s="5" t="n">
        <v>8990</v>
      </c>
      <c r="B165" s="5" t="n">
        <v>1</v>
      </c>
      <c r="C165" s="5" t="inlineStr">
        <is>
          <t>TONALIZANTE 9.89...........EKTA 60G</t>
        </is>
      </c>
      <c r="D165" s="5" t="inlineStr">
        <is>
          <t>33059000</t>
        </is>
      </c>
      <c r="E165" s="5" t="inlineStr">
        <is>
          <t>6124</t>
        </is>
      </c>
      <c r="F165" s="6" t="n">
        <v>1092.89</v>
      </c>
      <c r="G165" s="5" t="inlineStr">
        <is>
          <t>00</t>
        </is>
      </c>
      <c r="H165" s="6" t="n">
        <v>1092.89</v>
      </c>
      <c r="I165" s="5" t="n">
        <v>12</v>
      </c>
      <c r="J165" s="6" t="n">
        <v>131.15</v>
      </c>
      <c r="K165" s="5" t="inlineStr">
        <is>
          <t>55</t>
        </is>
      </c>
      <c r="L165" s="5" t="n">
        <v>0</v>
      </c>
      <c r="M165" s="6" t="n">
        <v>0</v>
      </c>
      <c r="N165" s="6" t="n">
        <v>0</v>
      </c>
      <c r="O165" s="5" t="inlineStr">
        <is>
          <t>02</t>
        </is>
      </c>
      <c r="P165" s="5" t="n">
        <v>2.2</v>
      </c>
      <c r="Q165" s="5" t="n">
        <v>10.3</v>
      </c>
    </row>
    <row r="166">
      <c r="A166" s="5" t="n">
        <v>8991</v>
      </c>
      <c r="B166" s="5" t="n">
        <v>1</v>
      </c>
      <c r="C166" s="5" t="inlineStr">
        <is>
          <t>CARTUCHO TONALIZANTE EKTA 60G</t>
        </is>
      </c>
      <c r="D166" s="5" t="inlineStr">
        <is>
          <t>48191000</t>
        </is>
      </c>
      <c r="E166" s="5" t="inlineStr">
        <is>
          <t>6902</t>
        </is>
      </c>
      <c r="F166" s="6" t="n">
        <v>32.64</v>
      </c>
      <c r="G166" s="5" t="inlineStr">
        <is>
          <t>41</t>
        </is>
      </c>
      <c r="H166" s="6" t="n">
        <v>0</v>
      </c>
      <c r="I166" s="5" t="n">
        <v>0</v>
      </c>
      <c r="J166" s="6" t="n">
        <v>0</v>
      </c>
      <c r="K166" s="5" t="n"/>
      <c r="L166" s="5" t="n">
        <v>0</v>
      </c>
      <c r="M166" s="6" t="n">
        <v>0</v>
      </c>
      <c r="N166" s="6" t="n">
        <v>0</v>
      </c>
      <c r="O166" s="5" t="inlineStr">
        <is>
          <t>49</t>
        </is>
      </c>
      <c r="P166" s="5" t="n">
        <v>0</v>
      </c>
      <c r="Q166" s="5" t="n">
        <v>0</v>
      </c>
    </row>
    <row r="167">
      <c r="A167" s="5" t="n">
        <v>8992</v>
      </c>
      <c r="B167" s="5" t="n">
        <v>1</v>
      </c>
      <c r="C167" s="5" t="inlineStr">
        <is>
          <t>OXIDANTE ETERNIZE 30 VOL 900ML</t>
        </is>
      </c>
      <c r="D167" s="5" t="inlineStr">
        <is>
          <t>28470000</t>
        </is>
      </c>
      <c r="E167" s="5" t="inlineStr">
        <is>
          <t>5124</t>
        </is>
      </c>
      <c r="F167" s="6" t="n">
        <v>3800</v>
      </c>
      <c r="G167" s="5" t="inlineStr">
        <is>
          <t>51</t>
        </is>
      </c>
      <c r="H167" s="6" t="n">
        <v>3800</v>
      </c>
      <c r="I167" s="5" t="n">
        <v>19.5</v>
      </c>
      <c r="J167" s="6" t="n">
        <v>0</v>
      </c>
      <c r="K167" s="5" t="inlineStr">
        <is>
          <t>55</t>
        </is>
      </c>
      <c r="L167" s="5" t="n">
        <v>0</v>
      </c>
      <c r="M167" s="6" t="n">
        <v>0</v>
      </c>
      <c r="N167" s="6" t="n">
        <v>0</v>
      </c>
      <c r="O167" s="5" t="inlineStr">
        <is>
          <t>02</t>
        </is>
      </c>
      <c r="P167" s="5" t="n">
        <v>2.2</v>
      </c>
      <c r="Q167" s="5" t="n">
        <v>10.3</v>
      </c>
    </row>
    <row r="168">
      <c r="A168" s="5" t="n">
        <v>8993</v>
      </c>
      <c r="B168" s="5" t="n">
        <v>1</v>
      </c>
      <c r="C168" s="5" t="inlineStr">
        <is>
          <t>FRASCO IMPRESSO OX 30V 900ML MIX ETERNIZE</t>
        </is>
      </c>
      <c r="D168" s="5" t="inlineStr">
        <is>
          <t>39233090</t>
        </is>
      </c>
      <c r="E168" s="5" t="inlineStr">
        <is>
          <t>5902</t>
        </is>
      </c>
      <c r="F168" s="6" t="n">
        <v>600</v>
      </c>
      <c r="G168" s="5" t="inlineStr">
        <is>
          <t>41</t>
        </is>
      </c>
      <c r="H168" s="6" t="n">
        <v>0</v>
      </c>
      <c r="I168" s="5" t="n">
        <v>0</v>
      </c>
      <c r="J168" s="6" t="n">
        <v>0</v>
      </c>
      <c r="K168" s="5" t="n"/>
      <c r="L168" s="5" t="n">
        <v>0</v>
      </c>
      <c r="M168" s="6" t="n">
        <v>0</v>
      </c>
      <c r="N168" s="6" t="n">
        <v>0</v>
      </c>
      <c r="O168" s="5" t="inlineStr">
        <is>
          <t>49</t>
        </is>
      </c>
      <c r="P168" s="5" t="n">
        <v>0</v>
      </c>
      <c r="Q168" s="5" t="n">
        <v>0</v>
      </c>
    </row>
    <row r="169">
      <c r="A169" s="5" t="n">
        <v>8994</v>
      </c>
      <c r="B169" s="5" t="n">
        <v>1</v>
      </c>
      <c r="C169" s="5" t="inlineStr">
        <is>
          <t>TONALIZANTE. 5.......NANNO RIO 60G</t>
        </is>
      </c>
      <c r="D169" s="5" t="inlineStr">
        <is>
          <t>33059000</t>
        </is>
      </c>
      <c r="E169" s="5" t="inlineStr">
        <is>
          <t>6124</t>
        </is>
      </c>
      <c r="F169" s="6" t="n">
        <v>876</v>
      </c>
      <c r="G169" s="5" t="inlineStr">
        <is>
          <t>00</t>
        </is>
      </c>
      <c r="H169" s="6" t="n">
        <v>876</v>
      </c>
      <c r="I169" s="5" t="n">
        <v>12</v>
      </c>
      <c r="J169" s="6" t="n">
        <v>105.12</v>
      </c>
      <c r="K169" s="5" t="inlineStr">
        <is>
          <t>55</t>
        </is>
      </c>
      <c r="L169" s="5" t="n">
        <v>0</v>
      </c>
      <c r="M169" s="6" t="n">
        <v>0</v>
      </c>
      <c r="N169" s="6" t="n">
        <v>0</v>
      </c>
      <c r="O169" s="5" t="inlineStr">
        <is>
          <t>02</t>
        </is>
      </c>
      <c r="P169" s="5" t="n">
        <v>2.2</v>
      </c>
      <c r="Q169" s="5" t="n">
        <v>10.3</v>
      </c>
    </row>
    <row r="170">
      <c r="A170" s="5" t="n">
        <v>8994</v>
      </c>
      <c r="B170" s="5" t="n">
        <v>2</v>
      </c>
      <c r="C170" s="5" t="inlineStr">
        <is>
          <t>COLOR. 0.44.......NANNO DIAFORA</t>
        </is>
      </c>
      <c r="D170" s="5" t="inlineStr">
        <is>
          <t>33059000</t>
        </is>
      </c>
      <c r="E170" s="5" t="inlineStr">
        <is>
          <t>6124</t>
        </is>
      </c>
      <c r="F170" s="6" t="n">
        <v>474</v>
      </c>
      <c r="G170" s="5" t="inlineStr">
        <is>
          <t>00</t>
        </is>
      </c>
      <c r="H170" s="6" t="n">
        <v>474</v>
      </c>
      <c r="I170" s="5" t="n">
        <v>12</v>
      </c>
      <c r="J170" s="6" t="n">
        <v>56.88</v>
      </c>
      <c r="K170" s="5" t="inlineStr">
        <is>
          <t>55</t>
        </is>
      </c>
      <c r="L170" s="5" t="n">
        <v>0</v>
      </c>
      <c r="M170" s="6" t="n">
        <v>0</v>
      </c>
      <c r="N170" s="6" t="n">
        <v>0</v>
      </c>
      <c r="O170" s="5" t="inlineStr">
        <is>
          <t>02</t>
        </is>
      </c>
      <c r="P170" s="5" t="n">
        <v>2.2</v>
      </c>
      <c r="Q170" s="5" t="n">
        <v>10.3</v>
      </c>
    </row>
    <row r="171">
      <c r="A171" s="5" t="n">
        <v>8995</v>
      </c>
      <c r="B171" s="5" t="n">
        <v>1</v>
      </c>
      <c r="C171" s="5" t="inlineStr">
        <is>
          <t>CARTUCHO TONALIZANTE NANNO RIO 60G</t>
        </is>
      </c>
      <c r="D171" s="5" t="inlineStr">
        <is>
          <t>48191000</t>
        </is>
      </c>
      <c r="E171" s="5" t="inlineStr">
        <is>
          <t>6902</t>
        </is>
      </c>
      <c r="F171" s="6" t="n">
        <v>49.2</v>
      </c>
      <c r="G171" s="5" t="inlineStr">
        <is>
          <t>41</t>
        </is>
      </c>
      <c r="H171" s="6" t="n">
        <v>0</v>
      </c>
      <c r="I171" s="5" t="n">
        <v>0</v>
      </c>
      <c r="J171" s="6" t="n">
        <v>0</v>
      </c>
      <c r="K171" s="5" t="n"/>
      <c r="L171" s="5" t="n">
        <v>0</v>
      </c>
      <c r="M171" s="6" t="n">
        <v>0</v>
      </c>
      <c r="N171" s="6" t="n">
        <v>0</v>
      </c>
      <c r="O171" s="5" t="inlineStr">
        <is>
          <t>49</t>
        </is>
      </c>
      <c r="P171" s="5" t="n">
        <v>0</v>
      </c>
      <c r="Q171" s="5" t="n">
        <v>0</v>
      </c>
    </row>
    <row r="172">
      <c r="A172" s="5" t="n">
        <v>8995</v>
      </c>
      <c r="B172" s="5" t="n">
        <v>2</v>
      </c>
      <c r="C172" s="5" t="inlineStr">
        <is>
          <t>CARTUCHO COLOR. NANNO DIAFORA 60G</t>
        </is>
      </c>
      <c r="D172" s="5" t="inlineStr">
        <is>
          <t>48191000</t>
        </is>
      </c>
      <c r="E172" s="5" t="inlineStr">
        <is>
          <t>6902</t>
        </is>
      </c>
      <c r="F172" s="6" t="n">
        <v>24.6</v>
      </c>
      <c r="G172" s="5" t="inlineStr">
        <is>
          <t>41</t>
        </is>
      </c>
      <c r="H172" s="6" t="n">
        <v>0</v>
      </c>
      <c r="I172" s="5" t="n">
        <v>0</v>
      </c>
      <c r="J172" s="6" t="n">
        <v>0</v>
      </c>
      <c r="K172" s="5" t="n"/>
      <c r="L172" s="5" t="n">
        <v>0</v>
      </c>
      <c r="M172" s="6" t="n">
        <v>0</v>
      </c>
      <c r="N172" s="6" t="n">
        <v>0</v>
      </c>
      <c r="O172" s="5" t="inlineStr">
        <is>
          <t>49</t>
        </is>
      </c>
      <c r="P172" s="5" t="n">
        <v>0</v>
      </c>
      <c r="Q172" s="5" t="n">
        <v>0</v>
      </c>
    </row>
    <row r="173">
      <c r="A173" s="5" t="n">
        <v>8996</v>
      </c>
      <c r="B173" s="5" t="n">
        <v>1</v>
      </c>
      <c r="C173" s="5" t="inlineStr">
        <is>
          <t>COLOR. 3.........VULCANO 60G</t>
        </is>
      </c>
      <c r="D173" s="5" t="inlineStr">
        <is>
          <t>33059000</t>
        </is>
      </c>
      <c r="E173" s="5" t="inlineStr">
        <is>
          <t>6124</t>
        </is>
      </c>
      <c r="F173" s="6" t="n">
        <v>520.04</v>
      </c>
      <c r="G173" s="5" t="inlineStr">
        <is>
          <t>00</t>
        </is>
      </c>
      <c r="H173" s="6" t="n">
        <v>520.04</v>
      </c>
      <c r="I173" s="5" t="n">
        <v>12</v>
      </c>
      <c r="J173" s="6" t="n">
        <v>62.4</v>
      </c>
      <c r="K173" s="5" t="inlineStr">
        <is>
          <t>55</t>
        </is>
      </c>
      <c r="L173" s="5" t="n">
        <v>0</v>
      </c>
      <c r="M173" s="6" t="n">
        <v>0</v>
      </c>
      <c r="N173" s="6" t="n">
        <v>0</v>
      </c>
      <c r="O173" s="5" t="inlineStr">
        <is>
          <t>02</t>
        </is>
      </c>
      <c r="P173" s="5" t="n">
        <v>2.2</v>
      </c>
      <c r="Q173" s="5" t="n">
        <v>10.3</v>
      </c>
    </row>
    <row r="174">
      <c r="A174" s="5" t="n">
        <v>8996</v>
      </c>
      <c r="B174" s="5" t="n">
        <v>2</v>
      </c>
      <c r="C174" s="5" t="inlineStr">
        <is>
          <t>COLOR. 4.............VULCANO 60G</t>
        </is>
      </c>
      <c r="D174" s="5" t="inlineStr">
        <is>
          <t>33059000</t>
        </is>
      </c>
      <c r="E174" s="5" t="inlineStr">
        <is>
          <t>6124</t>
        </is>
      </c>
      <c r="F174" s="6" t="n">
        <v>494.99</v>
      </c>
      <c r="G174" s="5" t="inlineStr">
        <is>
          <t>00</t>
        </is>
      </c>
      <c r="H174" s="6" t="n">
        <v>494.99</v>
      </c>
      <c r="I174" s="5" t="n">
        <v>12</v>
      </c>
      <c r="J174" s="6" t="n">
        <v>59.4</v>
      </c>
      <c r="K174" s="5" t="inlineStr">
        <is>
          <t>55</t>
        </is>
      </c>
      <c r="L174" s="5" t="n">
        <v>0</v>
      </c>
      <c r="M174" s="6" t="n">
        <v>0</v>
      </c>
      <c r="N174" s="6" t="n">
        <v>0</v>
      </c>
      <c r="O174" s="5" t="inlineStr">
        <is>
          <t>02</t>
        </is>
      </c>
      <c r="P174" s="5" t="n">
        <v>2.2</v>
      </c>
      <c r="Q174" s="5" t="n">
        <v>10.3</v>
      </c>
    </row>
    <row r="175">
      <c r="A175" s="5" t="n">
        <v>8996</v>
      </c>
      <c r="B175" s="5" t="n">
        <v>3</v>
      </c>
      <c r="C175" s="5" t="inlineStr">
        <is>
          <t>COLOR. 6.............VULCANO 60G</t>
        </is>
      </c>
      <c r="D175" s="5" t="inlineStr">
        <is>
          <t>33059000</t>
        </is>
      </c>
      <c r="E175" s="5" t="inlineStr">
        <is>
          <t>6124</t>
        </is>
      </c>
      <c r="F175" s="6" t="n">
        <v>494.99</v>
      </c>
      <c r="G175" s="5" t="inlineStr">
        <is>
          <t>00</t>
        </is>
      </c>
      <c r="H175" s="6" t="n">
        <v>494.99</v>
      </c>
      <c r="I175" s="5" t="n">
        <v>12</v>
      </c>
      <c r="J175" s="6" t="n">
        <v>59.4</v>
      </c>
      <c r="K175" s="5" t="inlineStr">
        <is>
          <t>55</t>
        </is>
      </c>
      <c r="L175" s="5" t="n">
        <v>0</v>
      </c>
      <c r="M175" s="6" t="n">
        <v>0</v>
      </c>
      <c r="N175" s="6" t="n">
        <v>0</v>
      </c>
      <c r="O175" s="5" t="inlineStr">
        <is>
          <t>02</t>
        </is>
      </c>
      <c r="P175" s="5" t="n">
        <v>2.2</v>
      </c>
      <c r="Q175" s="5" t="n">
        <v>10.3</v>
      </c>
    </row>
    <row r="176">
      <c r="A176" s="5" t="n">
        <v>8996</v>
      </c>
      <c r="B176" s="5" t="n">
        <v>4</v>
      </c>
      <c r="C176" s="5" t="inlineStr">
        <is>
          <t>COLOR. 7.............VULCANO 60G</t>
        </is>
      </c>
      <c r="D176" s="5" t="inlineStr">
        <is>
          <t>33059000</t>
        </is>
      </c>
      <c r="E176" s="5" t="inlineStr">
        <is>
          <t>6124</t>
        </is>
      </c>
      <c r="F176" s="6" t="n">
        <v>494.99</v>
      </c>
      <c r="G176" s="5" t="inlineStr">
        <is>
          <t>00</t>
        </is>
      </c>
      <c r="H176" s="6" t="n">
        <v>494.99</v>
      </c>
      <c r="I176" s="5" t="n">
        <v>12</v>
      </c>
      <c r="J176" s="6" t="n">
        <v>59.4</v>
      </c>
      <c r="K176" s="5" t="inlineStr">
        <is>
          <t>55</t>
        </is>
      </c>
      <c r="L176" s="5" t="n">
        <v>0</v>
      </c>
      <c r="M176" s="6" t="n">
        <v>0</v>
      </c>
      <c r="N176" s="6" t="n">
        <v>0</v>
      </c>
      <c r="O176" s="5" t="inlineStr">
        <is>
          <t>02</t>
        </is>
      </c>
      <c r="P176" s="5" t="n">
        <v>2.2</v>
      </c>
      <c r="Q176" s="5" t="n">
        <v>10.3</v>
      </c>
    </row>
    <row r="177">
      <c r="A177" s="5" t="n">
        <v>8996</v>
      </c>
      <c r="B177" s="5" t="n">
        <v>5</v>
      </c>
      <c r="C177" s="5" t="inlineStr">
        <is>
          <t>COLOR. 6.7...........VULCANO 60G</t>
        </is>
      </c>
      <c r="D177" s="5" t="inlineStr">
        <is>
          <t>33059000</t>
        </is>
      </c>
      <c r="E177" s="5" t="inlineStr">
        <is>
          <t>6124</t>
        </is>
      </c>
      <c r="F177" s="6" t="n">
        <v>494.99</v>
      </c>
      <c r="G177" s="5" t="inlineStr">
        <is>
          <t>00</t>
        </is>
      </c>
      <c r="H177" s="6" t="n">
        <v>494.99</v>
      </c>
      <c r="I177" s="5" t="n">
        <v>12</v>
      </c>
      <c r="J177" s="6" t="n">
        <v>59.4</v>
      </c>
      <c r="K177" s="5" t="inlineStr">
        <is>
          <t>55</t>
        </is>
      </c>
      <c r="L177" s="5" t="n">
        <v>0</v>
      </c>
      <c r="M177" s="6" t="n">
        <v>0</v>
      </c>
      <c r="N177" s="6" t="n">
        <v>0</v>
      </c>
      <c r="O177" s="5" t="inlineStr">
        <is>
          <t>02</t>
        </is>
      </c>
      <c r="P177" s="5" t="n">
        <v>2.2</v>
      </c>
      <c r="Q177" s="5" t="n">
        <v>10.3</v>
      </c>
    </row>
    <row r="178">
      <c r="A178" s="5" t="n">
        <v>8997</v>
      </c>
      <c r="B178" s="5" t="n">
        <v>1</v>
      </c>
      <c r="C178" s="5" t="inlineStr">
        <is>
          <t>CARTUCHO COLORACAO VULCANO 60G.</t>
        </is>
      </c>
      <c r="D178" s="5" t="inlineStr">
        <is>
          <t>48191000</t>
        </is>
      </c>
      <c r="E178" s="5" t="inlineStr">
        <is>
          <t>6902</t>
        </is>
      </c>
      <c r="F178" s="6" t="n">
        <v>252</v>
      </c>
      <c r="G178" s="5" t="inlineStr">
        <is>
          <t>41</t>
        </is>
      </c>
      <c r="H178" s="6" t="n">
        <v>0</v>
      </c>
      <c r="I178" s="5" t="n">
        <v>0</v>
      </c>
      <c r="J178" s="6" t="n">
        <v>0</v>
      </c>
      <c r="K178" s="5" t="n"/>
      <c r="L178" s="5" t="n">
        <v>0</v>
      </c>
      <c r="M178" s="6" t="n">
        <v>0</v>
      </c>
      <c r="N178" s="6" t="n">
        <v>0</v>
      </c>
      <c r="O178" s="5" t="inlineStr">
        <is>
          <t>49</t>
        </is>
      </c>
      <c r="P178" s="5" t="n">
        <v>0</v>
      </c>
      <c r="Q178" s="5" t="n">
        <v>0</v>
      </c>
    </row>
    <row r="179">
      <c r="A179" s="5" t="n">
        <v>8998</v>
      </c>
      <c r="B179" s="5" t="n">
        <v>1</v>
      </c>
      <c r="C179" s="5" t="inlineStr">
        <is>
          <t>OXIDANTE PRO TB..........30 VOL 900 ML</t>
        </is>
      </c>
      <c r="D179" s="5" t="inlineStr">
        <is>
          <t>28470000</t>
        </is>
      </c>
      <c r="E179" s="5" t="inlineStr">
        <is>
          <t>6101</t>
        </is>
      </c>
      <c r="F179" s="6" t="n">
        <v>1089</v>
      </c>
      <c r="G179" s="5" t="inlineStr">
        <is>
          <t>00</t>
        </is>
      </c>
      <c r="H179" s="6" t="n">
        <v>1089</v>
      </c>
      <c r="I179" s="5" t="n">
        <v>12</v>
      </c>
      <c r="J179" s="6" t="n">
        <v>130.68</v>
      </c>
      <c r="K179" s="5" t="inlineStr">
        <is>
          <t>51</t>
        </is>
      </c>
      <c r="L179" s="5" t="n">
        <v>0</v>
      </c>
      <c r="M179" s="6" t="n">
        <v>0</v>
      </c>
      <c r="N179" s="6" t="n">
        <v>0</v>
      </c>
      <c r="O179" s="5" t="inlineStr">
        <is>
          <t>02</t>
        </is>
      </c>
      <c r="P179" s="5" t="n">
        <v>2.2</v>
      </c>
      <c r="Q179" s="5" t="n">
        <v>10.3</v>
      </c>
    </row>
    <row r="180">
      <c r="A180" s="5" t="n">
        <v>8999</v>
      </c>
      <c r="B180" s="5" t="n">
        <v>1</v>
      </c>
      <c r="C180" s="5" t="inlineStr">
        <is>
          <t>FRASCO IMPRESSO OX 20V 900ML MIX ETERNIZE</t>
        </is>
      </c>
      <c r="D180" s="5" t="inlineStr">
        <is>
          <t>39233090</t>
        </is>
      </c>
      <c r="E180" s="5" t="inlineStr">
        <is>
          <t>6124</t>
        </is>
      </c>
      <c r="F180" s="6" t="n">
        <v>948</v>
      </c>
      <c r="G180" s="5" t="inlineStr">
        <is>
          <t>41</t>
        </is>
      </c>
      <c r="H180" s="6" t="n">
        <v>0</v>
      </c>
      <c r="I180" s="5" t="n">
        <v>0</v>
      </c>
      <c r="J180" s="6" t="n">
        <v>0</v>
      </c>
      <c r="K180" s="5" t="n"/>
      <c r="L180" s="5" t="n">
        <v>0</v>
      </c>
      <c r="M180" s="6" t="n">
        <v>0</v>
      </c>
      <c r="N180" s="6" t="n">
        <v>0</v>
      </c>
      <c r="O180" s="5" t="inlineStr">
        <is>
          <t>49</t>
        </is>
      </c>
      <c r="P180" s="5" t="n">
        <v>0</v>
      </c>
      <c r="Q180" s="5" t="n">
        <v>0</v>
      </c>
    </row>
    <row r="181">
      <c r="A181" s="5" t="n">
        <v>9000</v>
      </c>
      <c r="B181" s="5" t="n">
        <v>1</v>
      </c>
      <c r="C181" s="5" t="inlineStr">
        <is>
          <t>FRASCO IMPRESSO OX 20V 900ML MIX ETERNIZE</t>
        </is>
      </c>
      <c r="D181" s="5" t="inlineStr">
        <is>
          <t>39233090</t>
        </is>
      </c>
      <c r="E181" s="5" t="inlineStr">
        <is>
          <t>5124</t>
        </is>
      </c>
      <c r="F181" s="6" t="n">
        <v>556.5</v>
      </c>
      <c r="G181" s="5" t="inlineStr">
        <is>
          <t>41</t>
        </is>
      </c>
      <c r="H181" s="6" t="n">
        <v>0</v>
      </c>
      <c r="I181" s="5" t="n">
        <v>0</v>
      </c>
      <c r="J181" s="6" t="n">
        <v>0</v>
      </c>
      <c r="K181" s="5" t="n"/>
      <c r="L181" s="5" t="n">
        <v>0</v>
      </c>
      <c r="M181" s="6" t="n">
        <v>0</v>
      </c>
      <c r="N181" s="6" t="n">
        <v>0</v>
      </c>
      <c r="O181" s="5" t="inlineStr">
        <is>
          <t>49</t>
        </is>
      </c>
      <c r="P181" s="5" t="n">
        <v>0</v>
      </c>
      <c r="Q181" s="5" t="n">
        <v>0</v>
      </c>
    </row>
    <row r="182">
      <c r="A182" s="5" t="n">
        <v>9001</v>
      </c>
      <c r="B182" s="5" t="n">
        <v>1</v>
      </c>
      <c r="C182" s="5" t="inlineStr">
        <is>
          <t>OXIDANTE ETERNIZE 20 VOL 900ML</t>
        </is>
      </c>
      <c r="D182" s="5" t="inlineStr">
        <is>
          <t>28470000</t>
        </is>
      </c>
      <c r="E182" s="5" t="inlineStr">
        <is>
          <t>5124</t>
        </is>
      </c>
      <c r="F182" s="6" t="n">
        <v>3691.45</v>
      </c>
      <c r="G182" s="5" t="inlineStr">
        <is>
          <t>51</t>
        </is>
      </c>
      <c r="H182" s="6" t="n">
        <v>3691.45</v>
      </c>
      <c r="I182" s="5" t="n">
        <v>19.5</v>
      </c>
      <c r="J182" s="6" t="n">
        <v>0</v>
      </c>
      <c r="K182" s="5" t="inlineStr">
        <is>
          <t>55</t>
        </is>
      </c>
      <c r="L182" s="5" t="n">
        <v>0</v>
      </c>
      <c r="M182" s="6" t="n">
        <v>0</v>
      </c>
      <c r="N182" s="6" t="n">
        <v>0</v>
      </c>
      <c r="O182" s="5" t="inlineStr">
        <is>
          <t>02</t>
        </is>
      </c>
      <c r="P182" s="5" t="n">
        <v>2.2</v>
      </c>
      <c r="Q182" s="5" t="n">
        <v>10.3</v>
      </c>
    </row>
    <row r="183">
      <c r="A183" s="5" t="n">
        <v>9002</v>
      </c>
      <c r="B183" s="5" t="n">
        <v>1</v>
      </c>
      <c r="C183" s="5" t="inlineStr">
        <is>
          <t>FRASCO IMPRESSO OX 20V 900ML MIX ETERNIZE</t>
        </is>
      </c>
      <c r="D183" s="5" t="inlineStr">
        <is>
          <t>39233090</t>
        </is>
      </c>
      <c r="E183" s="5" t="inlineStr">
        <is>
          <t>5902</t>
        </is>
      </c>
      <c r="F183" s="6" t="n">
        <v>556.5</v>
      </c>
      <c r="G183" s="5" t="inlineStr">
        <is>
          <t>41</t>
        </is>
      </c>
      <c r="H183" s="6" t="n">
        <v>0</v>
      </c>
      <c r="I183" s="5" t="n">
        <v>0</v>
      </c>
      <c r="J183" s="6" t="n">
        <v>0</v>
      </c>
      <c r="K183" s="5" t="n"/>
      <c r="L183" s="5" t="n">
        <v>0</v>
      </c>
      <c r="M183" s="6" t="n">
        <v>0</v>
      </c>
      <c r="N183" s="6" t="n">
        <v>0</v>
      </c>
      <c r="O183" s="5" t="inlineStr">
        <is>
          <t>49</t>
        </is>
      </c>
      <c r="P183" s="5" t="n">
        <v>0</v>
      </c>
      <c r="Q183" s="5" t="n">
        <v>0</v>
      </c>
    </row>
    <row r="184">
      <c r="A184" s="5" t="n">
        <v>9003</v>
      </c>
      <c r="B184" s="5" t="n">
        <v>1</v>
      </c>
      <c r="C184" s="5" t="inlineStr">
        <is>
          <t>COLOR. 3.............NATURE COLOR 60G</t>
        </is>
      </c>
      <c r="D184" s="5" t="inlineStr">
        <is>
          <t>33059000</t>
        </is>
      </c>
      <c r="E184" s="5" t="inlineStr">
        <is>
          <t>5102</t>
        </is>
      </c>
      <c r="F184" s="6" t="n">
        <v>74.06999999999999</v>
      </c>
      <c r="G184" s="5" t="inlineStr">
        <is>
          <t>00</t>
        </is>
      </c>
      <c r="H184" s="6" t="n">
        <v>74.06999999999999</v>
      </c>
      <c r="I184" s="5" t="n">
        <v>19.5</v>
      </c>
      <c r="J184" s="6" t="n">
        <v>14.44</v>
      </c>
      <c r="K184" s="5" t="inlineStr">
        <is>
          <t>50</t>
        </is>
      </c>
      <c r="L184" s="5" t="n">
        <v>14.3</v>
      </c>
      <c r="M184" s="6" t="n">
        <v>9.27</v>
      </c>
      <c r="N184" s="6" t="n">
        <v>0</v>
      </c>
      <c r="O184" s="5" t="inlineStr">
        <is>
          <t>02</t>
        </is>
      </c>
      <c r="P184" s="5" t="n">
        <v>2.2</v>
      </c>
      <c r="Q184" s="5" t="n">
        <v>10.3</v>
      </c>
    </row>
    <row r="185">
      <c r="A185" s="5" t="n">
        <v>9003</v>
      </c>
      <c r="B185" s="5" t="n">
        <v>2</v>
      </c>
      <c r="C185" s="5" t="inlineStr">
        <is>
          <t>COLOR. 5.3.........NATURE COLOR 60G</t>
        </is>
      </c>
      <c r="D185" s="5" t="inlineStr">
        <is>
          <t>33059000</t>
        </is>
      </c>
      <c r="E185" s="5" t="inlineStr">
        <is>
          <t>5102</t>
        </is>
      </c>
      <c r="F185" s="6" t="n">
        <v>12.34</v>
      </c>
      <c r="G185" s="5" t="inlineStr">
        <is>
          <t>00</t>
        </is>
      </c>
      <c r="H185" s="6" t="n">
        <v>12.34</v>
      </c>
      <c r="I185" s="5" t="n">
        <v>19.5</v>
      </c>
      <c r="J185" s="6" t="n">
        <v>2.41</v>
      </c>
      <c r="K185" s="5" t="inlineStr">
        <is>
          <t>50</t>
        </is>
      </c>
      <c r="L185" s="5" t="n">
        <v>14.3</v>
      </c>
      <c r="M185" s="6" t="n">
        <v>1.54</v>
      </c>
      <c r="N185" s="6" t="n">
        <v>0</v>
      </c>
      <c r="O185" s="5" t="inlineStr">
        <is>
          <t>02</t>
        </is>
      </c>
      <c r="P185" s="5" t="n">
        <v>2.2</v>
      </c>
      <c r="Q185" s="5" t="n">
        <v>10.3</v>
      </c>
    </row>
    <row r="186">
      <c r="A186" s="5" t="n">
        <v>9003</v>
      </c>
      <c r="B186" s="5" t="n">
        <v>3</v>
      </c>
      <c r="C186" s="5" t="inlineStr">
        <is>
          <t>COLOR. 7.7.........NATURE COLOR 60G</t>
        </is>
      </c>
      <c r="D186" s="5" t="inlineStr">
        <is>
          <t>33059000</t>
        </is>
      </c>
      <c r="E186" s="5" t="inlineStr">
        <is>
          <t>5102</t>
        </is>
      </c>
      <c r="F186" s="6" t="n">
        <v>45.67</v>
      </c>
      <c r="G186" s="5" t="inlineStr">
        <is>
          <t>00</t>
        </is>
      </c>
      <c r="H186" s="6" t="n">
        <v>45.67</v>
      </c>
      <c r="I186" s="5" t="n">
        <v>19.5</v>
      </c>
      <c r="J186" s="6" t="n">
        <v>8.91</v>
      </c>
      <c r="K186" s="5" t="inlineStr">
        <is>
          <t>50</t>
        </is>
      </c>
      <c r="L186" s="5" t="n">
        <v>14.3</v>
      </c>
      <c r="M186" s="6" t="n">
        <v>5.71</v>
      </c>
      <c r="N186" s="6" t="n">
        <v>0</v>
      </c>
      <c r="O186" s="5" t="inlineStr">
        <is>
          <t>02</t>
        </is>
      </c>
      <c r="P186" s="5" t="n">
        <v>2.2</v>
      </c>
      <c r="Q186" s="5" t="n">
        <v>10.3</v>
      </c>
    </row>
    <row r="187">
      <c r="A187" s="5" t="n">
        <v>9003</v>
      </c>
      <c r="B187" s="5" t="n">
        <v>4</v>
      </c>
      <c r="C187" s="5" t="inlineStr">
        <is>
          <t>COLOR. 12.12....NATURE COLOR 60G</t>
        </is>
      </c>
      <c r="D187" s="5" t="inlineStr">
        <is>
          <t>33059000</t>
        </is>
      </c>
      <c r="E187" s="5" t="inlineStr">
        <is>
          <t>5102</t>
        </is>
      </c>
      <c r="F187" s="6" t="n">
        <v>24.69</v>
      </c>
      <c r="G187" s="5" t="inlineStr">
        <is>
          <t>00</t>
        </is>
      </c>
      <c r="H187" s="6" t="n">
        <v>24.69</v>
      </c>
      <c r="I187" s="5" t="n">
        <v>19.5</v>
      </c>
      <c r="J187" s="6" t="n">
        <v>4.81</v>
      </c>
      <c r="K187" s="5" t="inlineStr">
        <is>
          <t>50</t>
        </is>
      </c>
      <c r="L187" s="5" t="n">
        <v>14.3</v>
      </c>
      <c r="M187" s="6" t="n">
        <v>3.09</v>
      </c>
      <c r="N187" s="6" t="n">
        <v>0</v>
      </c>
      <c r="O187" s="5" t="inlineStr">
        <is>
          <t>02</t>
        </is>
      </c>
      <c r="P187" s="5" t="n">
        <v>2.2</v>
      </c>
      <c r="Q187" s="5" t="n">
        <v>10.3</v>
      </c>
    </row>
    <row r="188">
      <c r="A188" s="5" t="n">
        <v>9004</v>
      </c>
      <c r="B188" s="5" t="n">
        <v>1</v>
      </c>
      <c r="C188" s="5" t="inlineStr">
        <is>
          <t>OXIDANTE ETERNIZE 20 VOL 900ML</t>
        </is>
      </c>
      <c r="D188" s="5" t="inlineStr">
        <is>
          <t>28470000</t>
        </is>
      </c>
      <c r="E188" s="5" t="inlineStr">
        <is>
          <t>6124</t>
        </is>
      </c>
      <c r="F188" s="6" t="n">
        <v>6288.4</v>
      </c>
      <c r="G188" s="5" t="inlineStr">
        <is>
          <t>00</t>
        </is>
      </c>
      <c r="H188" s="6" t="n">
        <v>6288.4</v>
      </c>
      <c r="I188" s="5" t="n">
        <v>7</v>
      </c>
      <c r="J188" s="6" t="n">
        <v>440.19</v>
      </c>
      <c r="K188" s="5" t="inlineStr">
        <is>
          <t>55</t>
        </is>
      </c>
      <c r="L188" s="5" t="n">
        <v>0</v>
      </c>
      <c r="M188" s="6" t="n">
        <v>0</v>
      </c>
      <c r="N188" s="6" t="n">
        <v>0</v>
      </c>
      <c r="O188" s="5" t="inlineStr">
        <is>
          <t>02</t>
        </is>
      </c>
      <c r="P188" s="5" t="n">
        <v>2.2</v>
      </c>
      <c r="Q188" s="5" t="n">
        <v>10.3</v>
      </c>
    </row>
    <row r="189">
      <c r="A189" s="5" t="n">
        <v>9005</v>
      </c>
      <c r="B189" s="5" t="n">
        <v>1</v>
      </c>
      <c r="C189" s="5" t="inlineStr">
        <is>
          <t>FRASCO IMPRESSO OX 20V 900ML MIX ETERNIZE</t>
        </is>
      </c>
      <c r="D189" s="5" t="inlineStr">
        <is>
          <t>39233090</t>
        </is>
      </c>
      <c r="E189" s="5" t="inlineStr">
        <is>
          <t>6902</t>
        </is>
      </c>
      <c r="F189" s="6" t="n">
        <v>948</v>
      </c>
      <c r="G189" s="5" t="inlineStr">
        <is>
          <t>41</t>
        </is>
      </c>
      <c r="H189" s="6" t="n">
        <v>0</v>
      </c>
      <c r="I189" s="5" t="n">
        <v>0</v>
      </c>
      <c r="J189" s="6" t="n">
        <v>0</v>
      </c>
      <c r="K189" s="5" t="n"/>
      <c r="L189" s="5" t="n">
        <v>0</v>
      </c>
      <c r="M189" s="6" t="n">
        <v>0</v>
      </c>
      <c r="N189" s="6" t="n">
        <v>0</v>
      </c>
      <c r="O189" s="5" t="inlineStr">
        <is>
          <t>49</t>
        </is>
      </c>
      <c r="P189" s="5" t="n">
        <v>0</v>
      </c>
      <c r="Q189" s="5" t="n">
        <v>0</v>
      </c>
    </row>
    <row r="190">
      <c r="A190" s="5" t="n">
        <v>9006</v>
      </c>
      <c r="B190" s="5" t="n">
        <v>1</v>
      </c>
      <c r="C190" s="5" t="inlineStr">
        <is>
          <t>CONDICIONADOR TOTAL THERAPY 5L</t>
        </is>
      </c>
      <c r="D190" s="5" t="inlineStr">
        <is>
          <t>33059000</t>
        </is>
      </c>
      <c r="E190" s="5" t="inlineStr">
        <is>
          <t>5102</t>
        </is>
      </c>
      <c r="F190" s="6" t="n">
        <v>302.73</v>
      </c>
      <c r="G190" s="5" t="inlineStr">
        <is>
          <t>00</t>
        </is>
      </c>
      <c r="H190" s="6" t="n">
        <v>302.73</v>
      </c>
      <c r="I190" s="5" t="n">
        <v>19.5</v>
      </c>
      <c r="J190" s="6" t="n">
        <v>59.03</v>
      </c>
      <c r="K190" s="5" t="inlineStr">
        <is>
          <t>50</t>
        </is>
      </c>
      <c r="L190" s="5" t="n">
        <v>14.3</v>
      </c>
      <c r="M190" s="6" t="n">
        <v>37.87</v>
      </c>
      <c r="N190" s="6" t="n">
        <v>0</v>
      </c>
      <c r="O190" s="5" t="inlineStr">
        <is>
          <t>02</t>
        </is>
      </c>
      <c r="P190" s="5" t="n">
        <v>2.2</v>
      </c>
      <c r="Q190" s="5" t="n">
        <v>10.3</v>
      </c>
    </row>
    <row r="191">
      <c r="A191" s="5" t="n">
        <v>9007</v>
      </c>
      <c r="B191" s="5" t="n">
        <v>1</v>
      </c>
      <c r="C191" s="5" t="inlineStr">
        <is>
          <t>COLOR. 5.26...........SHED PROFESSIONAL 60G</t>
        </is>
      </c>
      <c r="D191" s="5" t="inlineStr">
        <is>
          <t>33059000</t>
        </is>
      </c>
      <c r="E191" s="5" t="inlineStr">
        <is>
          <t>5124</t>
        </is>
      </c>
      <c r="F191" s="6" t="n">
        <v>474</v>
      </c>
      <c r="G191" s="5" t="inlineStr">
        <is>
          <t>51</t>
        </is>
      </c>
      <c r="H191" s="6" t="n">
        <v>474</v>
      </c>
      <c r="I191" s="5" t="n">
        <v>19.5</v>
      </c>
      <c r="J191" s="6" t="n">
        <v>0</v>
      </c>
      <c r="K191" s="5" t="inlineStr">
        <is>
          <t>55</t>
        </is>
      </c>
      <c r="L191" s="5" t="n">
        <v>0</v>
      </c>
      <c r="M191" s="6" t="n">
        <v>0</v>
      </c>
      <c r="N191" s="6" t="n">
        <v>0</v>
      </c>
      <c r="O191" s="5" t="inlineStr">
        <is>
          <t>02</t>
        </is>
      </c>
      <c r="P191" s="5" t="n">
        <v>2.2</v>
      </c>
      <c r="Q191" s="5" t="n">
        <v>10.3</v>
      </c>
    </row>
    <row r="192">
      <c r="A192" s="5" t="n">
        <v>9007</v>
      </c>
      <c r="B192" s="5" t="n">
        <v>2</v>
      </c>
      <c r="C192" s="5" t="inlineStr">
        <is>
          <t>COLOR. 7.89.........SHED PROFESSIONAL 60G</t>
        </is>
      </c>
      <c r="D192" s="5" t="inlineStr">
        <is>
          <t>33059000</t>
        </is>
      </c>
      <c r="E192" s="5" t="inlineStr">
        <is>
          <t>5124</t>
        </is>
      </c>
      <c r="F192" s="6" t="n">
        <v>474</v>
      </c>
      <c r="G192" s="5" t="inlineStr">
        <is>
          <t>51</t>
        </is>
      </c>
      <c r="H192" s="6" t="n">
        <v>474</v>
      </c>
      <c r="I192" s="5" t="n">
        <v>19.5</v>
      </c>
      <c r="J192" s="6" t="n">
        <v>0</v>
      </c>
      <c r="K192" s="5" t="inlineStr">
        <is>
          <t>55</t>
        </is>
      </c>
      <c r="L192" s="5" t="n">
        <v>0</v>
      </c>
      <c r="M192" s="6" t="n">
        <v>0</v>
      </c>
      <c r="N192" s="6" t="n">
        <v>0</v>
      </c>
      <c r="O192" s="5" t="inlineStr">
        <is>
          <t>02</t>
        </is>
      </c>
      <c r="P192" s="5" t="n">
        <v>2.2</v>
      </c>
      <c r="Q192" s="5" t="n">
        <v>10.3</v>
      </c>
    </row>
    <row r="193">
      <c r="A193" s="5" t="n">
        <v>9007</v>
      </c>
      <c r="B193" s="5" t="n">
        <v>3</v>
      </c>
      <c r="C193" s="5" t="inlineStr">
        <is>
          <t>COLOR. 10............SHED PROFESSIONAL 60G</t>
        </is>
      </c>
      <c r="D193" s="5" t="inlineStr">
        <is>
          <t>33059000</t>
        </is>
      </c>
      <c r="E193" s="5" t="inlineStr">
        <is>
          <t>5124</t>
        </is>
      </c>
      <c r="F193" s="6" t="n">
        <v>474</v>
      </c>
      <c r="G193" s="5" t="inlineStr">
        <is>
          <t>51</t>
        </is>
      </c>
      <c r="H193" s="6" t="n">
        <v>474</v>
      </c>
      <c r="I193" s="5" t="n">
        <v>19.5</v>
      </c>
      <c r="J193" s="6" t="n">
        <v>0</v>
      </c>
      <c r="K193" s="5" t="inlineStr">
        <is>
          <t>55</t>
        </is>
      </c>
      <c r="L193" s="5" t="n">
        <v>0</v>
      </c>
      <c r="M193" s="6" t="n">
        <v>0</v>
      </c>
      <c r="N193" s="6" t="n">
        <v>0</v>
      </c>
      <c r="O193" s="5" t="inlineStr">
        <is>
          <t>02</t>
        </is>
      </c>
      <c r="P193" s="5" t="n">
        <v>2.2</v>
      </c>
      <c r="Q193" s="5" t="n">
        <v>10.3</v>
      </c>
    </row>
    <row r="194">
      <c r="A194" s="5" t="n">
        <v>9008</v>
      </c>
      <c r="B194" s="5" t="n">
        <v>1</v>
      </c>
      <c r="C194" s="5" t="inlineStr">
        <is>
          <t>CARTUCHO COLOR. SHED PROFESSIONAL 60G</t>
        </is>
      </c>
      <c r="D194" s="5" t="inlineStr">
        <is>
          <t>48191000</t>
        </is>
      </c>
      <c r="E194" s="5" t="inlineStr">
        <is>
          <t>5902</t>
        </is>
      </c>
      <c r="F194" s="6" t="n">
        <v>149.4</v>
      </c>
      <c r="G194" s="5" t="inlineStr">
        <is>
          <t>41</t>
        </is>
      </c>
      <c r="H194" s="6" t="n">
        <v>0</v>
      </c>
      <c r="I194" s="5" t="n">
        <v>0</v>
      </c>
      <c r="J194" s="6" t="n">
        <v>0</v>
      </c>
      <c r="K194" s="5" t="n"/>
      <c r="L194" s="5" t="n">
        <v>0</v>
      </c>
      <c r="M194" s="6" t="n">
        <v>0</v>
      </c>
      <c r="N194" s="6" t="n">
        <v>0</v>
      </c>
      <c r="O194" s="5" t="inlineStr">
        <is>
          <t>49</t>
        </is>
      </c>
      <c r="P194" s="5" t="n">
        <v>0</v>
      </c>
      <c r="Q194" s="5" t="n">
        <v>0</v>
      </c>
    </row>
    <row r="195">
      <c r="A195" s="5" t="n">
        <v>9009</v>
      </c>
      <c r="B195" s="5" t="n">
        <v>1</v>
      </c>
      <c r="C195" s="5" t="inlineStr">
        <is>
          <t>COLOR. 12.89....NATURE COLOR 60G</t>
        </is>
      </c>
      <c r="D195" s="5" t="inlineStr">
        <is>
          <t>33059000</t>
        </is>
      </c>
      <c r="E195" s="5" t="inlineStr">
        <is>
          <t>5102</t>
        </is>
      </c>
      <c r="F195" s="6" t="n">
        <v>19.75</v>
      </c>
      <c r="G195" s="5" t="inlineStr">
        <is>
          <t>00</t>
        </is>
      </c>
      <c r="H195" s="6" t="n">
        <v>19.75</v>
      </c>
      <c r="I195" s="5" t="n">
        <v>19.5</v>
      </c>
      <c r="J195" s="6" t="n">
        <v>3.85</v>
      </c>
      <c r="K195" s="5" t="inlineStr">
        <is>
          <t>50</t>
        </is>
      </c>
      <c r="L195" s="5" t="n">
        <v>14.3</v>
      </c>
      <c r="M195" s="6" t="n">
        <v>2.47</v>
      </c>
      <c r="N195" s="6" t="n">
        <v>0</v>
      </c>
      <c r="O195" s="5" t="inlineStr">
        <is>
          <t>02</t>
        </is>
      </c>
      <c r="P195" s="5" t="n">
        <v>2.2</v>
      </c>
      <c r="Q195" s="5" t="n">
        <v>10.3</v>
      </c>
    </row>
    <row r="196">
      <c r="A196" s="5" t="n">
        <v>9009</v>
      </c>
      <c r="B196" s="5" t="n">
        <v>2</v>
      </c>
      <c r="C196" s="5" t="inlineStr">
        <is>
          <t>COLOR. 5.............NATURE COLOR 60G</t>
        </is>
      </c>
      <c r="D196" s="5" t="inlineStr">
        <is>
          <t>33059000</t>
        </is>
      </c>
      <c r="E196" s="5" t="inlineStr">
        <is>
          <t>5102</t>
        </is>
      </c>
      <c r="F196" s="6" t="n">
        <v>740.66</v>
      </c>
      <c r="G196" s="5" t="inlineStr">
        <is>
          <t>00</t>
        </is>
      </c>
      <c r="H196" s="6" t="n">
        <v>740.66</v>
      </c>
      <c r="I196" s="5" t="n">
        <v>19.5</v>
      </c>
      <c r="J196" s="6" t="n">
        <v>144.43</v>
      </c>
      <c r="K196" s="5" t="inlineStr">
        <is>
          <t>50</t>
        </is>
      </c>
      <c r="L196" s="5" t="n">
        <v>14.3</v>
      </c>
      <c r="M196" s="6" t="n">
        <v>92.66</v>
      </c>
      <c r="N196" s="6" t="n">
        <v>0</v>
      </c>
      <c r="O196" s="5" t="inlineStr">
        <is>
          <t>02</t>
        </is>
      </c>
      <c r="P196" s="5" t="n">
        <v>2.2</v>
      </c>
      <c r="Q196" s="5" t="n">
        <v>10.3</v>
      </c>
    </row>
    <row r="197">
      <c r="A197" s="5" t="n">
        <v>9009</v>
      </c>
      <c r="B197" s="5" t="n">
        <v>3</v>
      </c>
      <c r="C197" s="5" t="inlineStr">
        <is>
          <t>COLOR. 6.7.........NATURE COLOR 60G</t>
        </is>
      </c>
      <c r="D197" s="5" t="inlineStr">
        <is>
          <t>33059000</t>
        </is>
      </c>
      <c r="E197" s="5" t="inlineStr">
        <is>
          <t>5102</t>
        </is>
      </c>
      <c r="F197" s="6" t="n">
        <v>592.53</v>
      </c>
      <c r="G197" s="5" t="inlineStr">
        <is>
          <t>00</t>
        </is>
      </c>
      <c r="H197" s="6" t="n">
        <v>592.53</v>
      </c>
      <c r="I197" s="5" t="n">
        <v>19.5</v>
      </c>
      <c r="J197" s="6" t="n">
        <v>115.54</v>
      </c>
      <c r="K197" s="5" t="inlineStr">
        <is>
          <t>50</t>
        </is>
      </c>
      <c r="L197" s="5" t="n">
        <v>14.3</v>
      </c>
      <c r="M197" s="6" t="n">
        <v>74.13</v>
      </c>
      <c r="N197" s="6" t="n">
        <v>0</v>
      </c>
      <c r="O197" s="5" t="inlineStr">
        <is>
          <t>02</t>
        </is>
      </c>
      <c r="P197" s="5" t="n">
        <v>2.2</v>
      </c>
      <c r="Q197" s="5" t="n">
        <v>10.3</v>
      </c>
    </row>
    <row r="198">
      <c r="A198" s="5" t="n">
        <v>9009</v>
      </c>
      <c r="B198" s="5" t="n">
        <v>4</v>
      </c>
      <c r="C198" s="5" t="inlineStr">
        <is>
          <t>COLOR. 7.1.........NATURE COLOR 60G</t>
        </is>
      </c>
      <c r="D198" s="5" t="inlineStr">
        <is>
          <t>33059000</t>
        </is>
      </c>
      <c r="E198" s="5" t="inlineStr">
        <is>
          <t>5102</t>
        </is>
      </c>
      <c r="F198" s="6" t="n">
        <v>160.48</v>
      </c>
      <c r="G198" s="5" t="inlineStr">
        <is>
          <t>00</t>
        </is>
      </c>
      <c r="H198" s="6" t="n">
        <v>160.48</v>
      </c>
      <c r="I198" s="5" t="n">
        <v>19.5</v>
      </c>
      <c r="J198" s="6" t="n">
        <v>31.29</v>
      </c>
      <c r="K198" s="5" t="inlineStr">
        <is>
          <t>50</t>
        </is>
      </c>
      <c r="L198" s="5" t="n">
        <v>14.3</v>
      </c>
      <c r="M198" s="6" t="n">
        <v>20.08</v>
      </c>
      <c r="N198" s="6" t="n">
        <v>0</v>
      </c>
      <c r="O198" s="5" t="inlineStr">
        <is>
          <t>02</t>
        </is>
      </c>
      <c r="P198" s="5" t="n">
        <v>2.2</v>
      </c>
      <c r="Q198" s="5" t="n">
        <v>10.3</v>
      </c>
    </row>
    <row r="199">
      <c r="A199" s="5" t="n">
        <v>9009</v>
      </c>
      <c r="B199" s="5" t="n">
        <v>5</v>
      </c>
      <c r="C199" s="5" t="inlineStr">
        <is>
          <t>COLOR. 8.31.......NATURE COLOR 60G</t>
        </is>
      </c>
      <c r="D199" s="5" t="inlineStr">
        <is>
          <t>33059000</t>
        </is>
      </c>
      <c r="E199" s="5" t="inlineStr">
        <is>
          <t>5102</t>
        </is>
      </c>
      <c r="F199" s="6" t="n">
        <v>16.05</v>
      </c>
      <c r="G199" s="5" t="inlineStr">
        <is>
          <t>00</t>
        </is>
      </c>
      <c r="H199" s="6" t="n">
        <v>16.05</v>
      </c>
      <c r="I199" s="5" t="n">
        <v>19.5</v>
      </c>
      <c r="J199" s="6" t="n">
        <v>3.13</v>
      </c>
      <c r="K199" s="5" t="inlineStr">
        <is>
          <t>50</t>
        </is>
      </c>
      <c r="L199" s="5" t="n">
        <v>14.3</v>
      </c>
      <c r="M199" s="6" t="n">
        <v>2.01</v>
      </c>
      <c r="N199" s="6" t="n">
        <v>0</v>
      </c>
      <c r="O199" s="5" t="inlineStr">
        <is>
          <t>02</t>
        </is>
      </c>
      <c r="P199" s="5" t="n">
        <v>2.2</v>
      </c>
      <c r="Q199" s="5" t="n">
        <v>10.3</v>
      </c>
    </row>
    <row r="200">
      <c r="A200" s="5" t="n">
        <v>9010</v>
      </c>
      <c r="B200" s="5" t="n">
        <v>1</v>
      </c>
      <c r="C200" s="5" t="inlineStr">
        <is>
          <t>COLOR. 0.11...............ULTRA COLOR 60G</t>
        </is>
      </c>
      <c r="D200" s="5" t="inlineStr">
        <is>
          <t>33059000</t>
        </is>
      </c>
      <c r="E200" s="5" t="inlineStr">
        <is>
          <t>6124</t>
        </is>
      </c>
      <c r="F200" s="6" t="n">
        <v>547.41</v>
      </c>
      <c r="G200" s="5" t="inlineStr">
        <is>
          <t>00</t>
        </is>
      </c>
      <c r="H200" s="6" t="n">
        <v>547.41</v>
      </c>
      <c r="I200" s="5" t="n">
        <v>7</v>
      </c>
      <c r="J200" s="6" t="n">
        <v>38.32</v>
      </c>
      <c r="K200" s="5" t="inlineStr">
        <is>
          <t>55</t>
        </is>
      </c>
      <c r="L200" s="5" t="n">
        <v>0</v>
      </c>
      <c r="M200" s="6" t="n">
        <v>0</v>
      </c>
      <c r="N200" s="6" t="n">
        <v>0</v>
      </c>
      <c r="O200" s="5" t="inlineStr">
        <is>
          <t>02</t>
        </is>
      </c>
      <c r="P200" s="5" t="n">
        <v>2.2</v>
      </c>
      <c r="Q200" s="5" t="n">
        <v>10.3</v>
      </c>
    </row>
    <row r="201">
      <c r="A201" s="5" t="n">
        <v>9010</v>
      </c>
      <c r="B201" s="5" t="n">
        <v>2</v>
      </c>
      <c r="C201" s="5" t="inlineStr">
        <is>
          <t>COLOR. 0.22...............ULTRA COLOR 60G</t>
        </is>
      </c>
      <c r="D201" s="5" t="inlineStr">
        <is>
          <t>33059000</t>
        </is>
      </c>
      <c r="E201" s="5" t="inlineStr">
        <is>
          <t>6124</t>
        </is>
      </c>
      <c r="F201" s="6" t="n">
        <v>547.39</v>
      </c>
      <c r="G201" s="5" t="inlineStr">
        <is>
          <t>00</t>
        </is>
      </c>
      <c r="H201" s="6" t="n">
        <v>547.39</v>
      </c>
      <c r="I201" s="5" t="n">
        <v>7</v>
      </c>
      <c r="J201" s="6" t="n">
        <v>38.32</v>
      </c>
      <c r="K201" s="5" t="inlineStr">
        <is>
          <t>55</t>
        </is>
      </c>
      <c r="L201" s="5" t="n">
        <v>0</v>
      </c>
      <c r="M201" s="6" t="n">
        <v>0</v>
      </c>
      <c r="N201" s="6" t="n">
        <v>0</v>
      </c>
      <c r="O201" s="5" t="inlineStr">
        <is>
          <t>02</t>
        </is>
      </c>
      <c r="P201" s="5" t="n">
        <v>2.2</v>
      </c>
      <c r="Q201" s="5" t="n">
        <v>10.3</v>
      </c>
    </row>
    <row r="202">
      <c r="A202" s="5" t="n">
        <v>9010</v>
      </c>
      <c r="B202" s="5" t="n">
        <v>3</v>
      </c>
      <c r="C202" s="5" t="inlineStr">
        <is>
          <t>COLOR. 0.33...............ULTRA COLOR 60G</t>
        </is>
      </c>
      <c r="D202" s="5" t="inlineStr">
        <is>
          <t>33059000</t>
        </is>
      </c>
      <c r="E202" s="5" t="inlineStr">
        <is>
          <t>6124</t>
        </is>
      </c>
      <c r="F202" s="6" t="n">
        <v>547.39</v>
      </c>
      <c r="G202" s="5" t="inlineStr">
        <is>
          <t>00</t>
        </is>
      </c>
      <c r="H202" s="6" t="n">
        <v>547.39</v>
      </c>
      <c r="I202" s="5" t="n">
        <v>7</v>
      </c>
      <c r="J202" s="6" t="n">
        <v>38.32</v>
      </c>
      <c r="K202" s="5" t="inlineStr">
        <is>
          <t>55</t>
        </is>
      </c>
      <c r="L202" s="5" t="n">
        <v>0</v>
      </c>
      <c r="M202" s="6" t="n">
        <v>0</v>
      </c>
      <c r="N202" s="6" t="n">
        <v>0</v>
      </c>
      <c r="O202" s="5" t="inlineStr">
        <is>
          <t>02</t>
        </is>
      </c>
      <c r="P202" s="5" t="n">
        <v>2.2</v>
      </c>
      <c r="Q202" s="5" t="n">
        <v>10.3</v>
      </c>
    </row>
    <row r="203">
      <c r="A203" s="5" t="n">
        <v>9010</v>
      </c>
      <c r="B203" s="5" t="n">
        <v>4</v>
      </c>
      <c r="C203" s="5" t="inlineStr">
        <is>
          <t>COLOR. 0.88...............ULTRA COLOR 60G</t>
        </is>
      </c>
      <c r="D203" s="5" t="inlineStr">
        <is>
          <t>33059000</t>
        </is>
      </c>
      <c r="E203" s="5" t="inlineStr">
        <is>
          <t>6124</t>
        </is>
      </c>
      <c r="F203" s="6" t="n">
        <v>547.39</v>
      </c>
      <c r="G203" s="5" t="inlineStr">
        <is>
          <t>00</t>
        </is>
      </c>
      <c r="H203" s="6" t="n">
        <v>547.39</v>
      </c>
      <c r="I203" s="5" t="n">
        <v>7</v>
      </c>
      <c r="J203" s="6" t="n">
        <v>38.32</v>
      </c>
      <c r="K203" s="5" t="inlineStr">
        <is>
          <t>55</t>
        </is>
      </c>
      <c r="L203" s="5" t="n">
        <v>0</v>
      </c>
      <c r="M203" s="6" t="n">
        <v>0</v>
      </c>
      <c r="N203" s="6" t="n">
        <v>0</v>
      </c>
      <c r="O203" s="5" t="inlineStr">
        <is>
          <t>02</t>
        </is>
      </c>
      <c r="P203" s="5" t="n">
        <v>2.2</v>
      </c>
      <c r="Q203" s="5" t="n">
        <v>10.3</v>
      </c>
    </row>
    <row r="204">
      <c r="A204" s="5" t="n">
        <v>9010</v>
      </c>
      <c r="B204" s="5" t="n">
        <v>5</v>
      </c>
      <c r="C204" s="5" t="inlineStr">
        <is>
          <t>COLOR. 1...............ULTRA COLOR 60G</t>
        </is>
      </c>
      <c r="D204" s="5" t="inlineStr">
        <is>
          <t>33059000</t>
        </is>
      </c>
      <c r="E204" s="5" t="inlineStr">
        <is>
          <t>6124</t>
        </is>
      </c>
      <c r="F204" s="6" t="n">
        <v>547.39</v>
      </c>
      <c r="G204" s="5" t="inlineStr">
        <is>
          <t>00</t>
        </is>
      </c>
      <c r="H204" s="6" t="n">
        <v>547.39</v>
      </c>
      <c r="I204" s="5" t="n">
        <v>7</v>
      </c>
      <c r="J204" s="6" t="n">
        <v>38.32</v>
      </c>
      <c r="K204" s="5" t="inlineStr">
        <is>
          <t>55</t>
        </is>
      </c>
      <c r="L204" s="5" t="n">
        <v>0</v>
      </c>
      <c r="M204" s="6" t="n">
        <v>0</v>
      </c>
      <c r="N204" s="6" t="n">
        <v>0</v>
      </c>
      <c r="O204" s="5" t="inlineStr">
        <is>
          <t>02</t>
        </is>
      </c>
      <c r="P204" s="5" t="n">
        <v>2.2</v>
      </c>
      <c r="Q204" s="5" t="n">
        <v>10.3</v>
      </c>
    </row>
    <row r="205">
      <c r="A205" s="5" t="n">
        <v>9010</v>
      </c>
      <c r="B205" s="5" t="n">
        <v>6</v>
      </c>
      <c r="C205" s="5" t="inlineStr">
        <is>
          <t>COLOR. 3...............ULTRA COLOR 60G</t>
        </is>
      </c>
      <c r="D205" s="5" t="inlineStr">
        <is>
          <t>33059000</t>
        </is>
      </c>
      <c r="E205" s="5" t="inlineStr">
        <is>
          <t>6124</t>
        </is>
      </c>
      <c r="F205" s="6" t="n">
        <v>547.39</v>
      </c>
      <c r="G205" s="5" t="inlineStr">
        <is>
          <t>00</t>
        </is>
      </c>
      <c r="H205" s="6" t="n">
        <v>547.39</v>
      </c>
      <c r="I205" s="5" t="n">
        <v>7</v>
      </c>
      <c r="J205" s="6" t="n">
        <v>38.32</v>
      </c>
      <c r="K205" s="5" t="inlineStr">
        <is>
          <t>55</t>
        </is>
      </c>
      <c r="L205" s="5" t="n">
        <v>0</v>
      </c>
      <c r="M205" s="6" t="n">
        <v>0</v>
      </c>
      <c r="N205" s="6" t="n">
        <v>0</v>
      </c>
      <c r="O205" s="5" t="inlineStr">
        <is>
          <t>02</t>
        </is>
      </c>
      <c r="P205" s="5" t="n">
        <v>2.2</v>
      </c>
      <c r="Q205" s="5" t="n">
        <v>10.3</v>
      </c>
    </row>
    <row r="206">
      <c r="A206" s="5" t="n">
        <v>9010</v>
      </c>
      <c r="B206" s="5" t="n">
        <v>7</v>
      </c>
      <c r="C206" s="5" t="inlineStr">
        <is>
          <t>COLOR. 4.00...............ULTRA COLOR 60G</t>
        </is>
      </c>
      <c r="D206" s="5" t="inlineStr">
        <is>
          <t>33059000</t>
        </is>
      </c>
      <c r="E206" s="5" t="inlineStr">
        <is>
          <t>6124</t>
        </is>
      </c>
      <c r="F206" s="6" t="n">
        <v>478.1</v>
      </c>
      <c r="G206" s="5" t="inlineStr">
        <is>
          <t>00</t>
        </is>
      </c>
      <c r="H206" s="6" t="n">
        <v>478.1</v>
      </c>
      <c r="I206" s="5" t="n">
        <v>7</v>
      </c>
      <c r="J206" s="6" t="n">
        <v>33.47</v>
      </c>
      <c r="K206" s="5" t="inlineStr">
        <is>
          <t>55</t>
        </is>
      </c>
      <c r="L206" s="5" t="n">
        <v>0</v>
      </c>
      <c r="M206" s="6" t="n">
        <v>0</v>
      </c>
      <c r="N206" s="6" t="n">
        <v>0</v>
      </c>
      <c r="O206" s="5" t="inlineStr">
        <is>
          <t>02</t>
        </is>
      </c>
      <c r="P206" s="5" t="n">
        <v>2.2</v>
      </c>
      <c r="Q206" s="5" t="n">
        <v>10.3</v>
      </c>
    </row>
    <row r="207">
      <c r="A207" s="5" t="n">
        <v>9010</v>
      </c>
      <c r="B207" s="5" t="n">
        <v>8</v>
      </c>
      <c r="C207" s="5" t="inlineStr">
        <is>
          <t>COLOR. 5.00...............ULTRA COLOR 60G</t>
        </is>
      </c>
      <c r="D207" s="5" t="inlineStr">
        <is>
          <t>33059000</t>
        </is>
      </c>
      <c r="E207" s="5" t="inlineStr">
        <is>
          <t>6124</t>
        </is>
      </c>
      <c r="F207" s="6" t="n">
        <v>478.1</v>
      </c>
      <c r="G207" s="5" t="inlineStr">
        <is>
          <t>00</t>
        </is>
      </c>
      <c r="H207" s="6" t="n">
        <v>478.1</v>
      </c>
      <c r="I207" s="5" t="n">
        <v>7</v>
      </c>
      <c r="J207" s="6" t="n">
        <v>33.47</v>
      </c>
      <c r="K207" s="5" t="inlineStr">
        <is>
          <t>55</t>
        </is>
      </c>
      <c r="L207" s="5" t="n">
        <v>0</v>
      </c>
      <c r="M207" s="6" t="n">
        <v>0</v>
      </c>
      <c r="N207" s="6" t="n">
        <v>0</v>
      </c>
      <c r="O207" s="5" t="inlineStr">
        <is>
          <t>02</t>
        </is>
      </c>
      <c r="P207" s="5" t="n">
        <v>2.2</v>
      </c>
      <c r="Q207" s="5" t="n">
        <v>10.3</v>
      </c>
    </row>
    <row r="208">
      <c r="A208" s="5" t="n">
        <v>9010</v>
      </c>
      <c r="B208" s="5" t="n">
        <v>9</v>
      </c>
      <c r="C208" s="5" t="inlineStr">
        <is>
          <t>COLOR. 6.7...............ULTRA COLOR 60G</t>
        </is>
      </c>
      <c r="D208" s="5" t="inlineStr">
        <is>
          <t>33059000</t>
        </is>
      </c>
      <c r="E208" s="5" t="inlineStr">
        <is>
          <t>6124</t>
        </is>
      </c>
      <c r="F208" s="6" t="n">
        <v>519.67</v>
      </c>
      <c r="G208" s="5" t="inlineStr">
        <is>
          <t>00</t>
        </is>
      </c>
      <c r="H208" s="6" t="n">
        <v>519.67</v>
      </c>
      <c r="I208" s="5" t="n">
        <v>7</v>
      </c>
      <c r="J208" s="6" t="n">
        <v>36.38</v>
      </c>
      <c r="K208" s="5" t="inlineStr">
        <is>
          <t>55</t>
        </is>
      </c>
      <c r="L208" s="5" t="n">
        <v>0</v>
      </c>
      <c r="M208" s="6" t="n">
        <v>0</v>
      </c>
      <c r="N208" s="6" t="n">
        <v>0</v>
      </c>
      <c r="O208" s="5" t="inlineStr">
        <is>
          <t>02</t>
        </is>
      </c>
      <c r="P208" s="5" t="n">
        <v>2.2</v>
      </c>
      <c r="Q208" s="5" t="n">
        <v>10.3</v>
      </c>
    </row>
    <row r="209">
      <c r="A209" s="5" t="n">
        <v>9010</v>
      </c>
      <c r="B209" s="5" t="n">
        <v>10</v>
      </c>
      <c r="C209" s="5" t="inlineStr">
        <is>
          <t>COLOR. 7.00...............ULTRA COLOR 60G</t>
        </is>
      </c>
      <c r="D209" s="5" t="inlineStr">
        <is>
          <t>33059000</t>
        </is>
      </c>
      <c r="E209" s="5" t="inlineStr">
        <is>
          <t>6124</t>
        </is>
      </c>
      <c r="F209" s="6" t="n">
        <v>225.19</v>
      </c>
      <c r="G209" s="5" t="inlineStr">
        <is>
          <t>00</t>
        </is>
      </c>
      <c r="H209" s="6" t="n">
        <v>225.19</v>
      </c>
      <c r="I209" s="5" t="n">
        <v>7</v>
      </c>
      <c r="J209" s="6" t="n">
        <v>15.76</v>
      </c>
      <c r="K209" s="5" t="inlineStr">
        <is>
          <t>55</t>
        </is>
      </c>
      <c r="L209" s="5" t="n">
        <v>0</v>
      </c>
      <c r="M209" s="6" t="n">
        <v>0</v>
      </c>
      <c r="N209" s="6" t="n">
        <v>0</v>
      </c>
      <c r="O209" s="5" t="inlineStr">
        <is>
          <t>02</t>
        </is>
      </c>
      <c r="P209" s="5" t="n">
        <v>2.2</v>
      </c>
      <c r="Q209" s="5" t="n">
        <v>10.3</v>
      </c>
    </row>
    <row r="210">
      <c r="A210" s="5" t="n">
        <v>9010</v>
      </c>
      <c r="B210" s="5" t="n">
        <v>11</v>
      </c>
      <c r="C210" s="5" t="inlineStr">
        <is>
          <t>COLOR. 7.1...............ULTRA COLOR 60G</t>
        </is>
      </c>
      <c r="D210" s="5" t="inlineStr">
        <is>
          <t>33059000</t>
        </is>
      </c>
      <c r="E210" s="5" t="inlineStr">
        <is>
          <t>6124</t>
        </is>
      </c>
      <c r="F210" s="6" t="n">
        <v>547.39</v>
      </c>
      <c r="G210" s="5" t="inlineStr">
        <is>
          <t>00</t>
        </is>
      </c>
      <c r="H210" s="6" t="n">
        <v>547.39</v>
      </c>
      <c r="I210" s="5" t="n">
        <v>7</v>
      </c>
      <c r="J210" s="6" t="n">
        <v>38.32</v>
      </c>
      <c r="K210" s="5" t="inlineStr">
        <is>
          <t>55</t>
        </is>
      </c>
      <c r="L210" s="5" t="n">
        <v>0</v>
      </c>
      <c r="M210" s="6" t="n">
        <v>0</v>
      </c>
      <c r="N210" s="6" t="n">
        <v>0</v>
      </c>
      <c r="O210" s="5" t="inlineStr">
        <is>
          <t>02</t>
        </is>
      </c>
      <c r="P210" s="5" t="n">
        <v>2.2</v>
      </c>
      <c r="Q210" s="5" t="n">
        <v>10.3</v>
      </c>
    </row>
    <row r="211">
      <c r="A211" s="5" t="n">
        <v>9010</v>
      </c>
      <c r="B211" s="5" t="n">
        <v>12</v>
      </c>
      <c r="C211" s="5" t="inlineStr">
        <is>
          <t>COLOR. 7.3...............ULTRA COLOR 60G</t>
        </is>
      </c>
      <c r="D211" s="5" t="inlineStr">
        <is>
          <t>33059000</t>
        </is>
      </c>
      <c r="E211" s="5" t="inlineStr">
        <is>
          <t>6124</t>
        </is>
      </c>
      <c r="F211" s="6" t="n">
        <v>239.05</v>
      </c>
      <c r="G211" s="5" t="inlineStr">
        <is>
          <t>00</t>
        </is>
      </c>
      <c r="H211" s="6" t="n">
        <v>239.05</v>
      </c>
      <c r="I211" s="5" t="n">
        <v>7</v>
      </c>
      <c r="J211" s="6" t="n">
        <v>16.73</v>
      </c>
      <c r="K211" s="5" t="inlineStr">
        <is>
          <t>55</t>
        </is>
      </c>
      <c r="L211" s="5" t="n">
        <v>0</v>
      </c>
      <c r="M211" s="6" t="n">
        <v>0</v>
      </c>
      <c r="N211" s="6" t="n">
        <v>0</v>
      </c>
      <c r="O211" s="5" t="inlineStr">
        <is>
          <t>02</t>
        </is>
      </c>
      <c r="P211" s="5" t="n">
        <v>2.2</v>
      </c>
      <c r="Q211" s="5" t="n">
        <v>10.3</v>
      </c>
    </row>
    <row r="212">
      <c r="A212" s="5" t="n">
        <v>9010</v>
      </c>
      <c r="B212" s="5" t="n">
        <v>13</v>
      </c>
      <c r="C212" s="5" t="inlineStr">
        <is>
          <t>COLOR. 7.4...............ULTRA COLOR 60G</t>
        </is>
      </c>
      <c r="D212" s="5" t="inlineStr">
        <is>
          <t>33059000</t>
        </is>
      </c>
      <c r="E212" s="5" t="inlineStr">
        <is>
          <t>6124</t>
        </is>
      </c>
      <c r="F212" s="6" t="n">
        <v>478.1</v>
      </c>
      <c r="G212" s="5" t="inlineStr">
        <is>
          <t>00</t>
        </is>
      </c>
      <c r="H212" s="6" t="n">
        <v>478.1</v>
      </c>
      <c r="I212" s="5" t="n">
        <v>7</v>
      </c>
      <c r="J212" s="6" t="n">
        <v>33.47</v>
      </c>
      <c r="K212" s="5" t="inlineStr">
        <is>
          <t>55</t>
        </is>
      </c>
      <c r="L212" s="5" t="n">
        <v>0</v>
      </c>
      <c r="M212" s="6" t="n">
        <v>0</v>
      </c>
      <c r="N212" s="6" t="n">
        <v>0</v>
      </c>
      <c r="O212" s="5" t="inlineStr">
        <is>
          <t>02</t>
        </is>
      </c>
      <c r="P212" s="5" t="n">
        <v>2.2</v>
      </c>
      <c r="Q212" s="5" t="n">
        <v>10.3</v>
      </c>
    </row>
    <row r="213">
      <c r="A213" s="5" t="n">
        <v>9010</v>
      </c>
      <c r="B213" s="5" t="n">
        <v>14</v>
      </c>
      <c r="C213" s="5" t="inlineStr">
        <is>
          <t>COLOR. 7.7...............ULTRA COLOR 60G</t>
        </is>
      </c>
      <c r="D213" s="5" t="inlineStr">
        <is>
          <t>33059000</t>
        </is>
      </c>
      <c r="E213" s="5" t="inlineStr">
        <is>
          <t>6124</t>
        </is>
      </c>
      <c r="F213" s="6" t="n">
        <v>478.1</v>
      </c>
      <c r="G213" s="5" t="inlineStr">
        <is>
          <t>00</t>
        </is>
      </c>
      <c r="H213" s="6" t="n">
        <v>478.1</v>
      </c>
      <c r="I213" s="5" t="n">
        <v>7</v>
      </c>
      <c r="J213" s="6" t="n">
        <v>33.47</v>
      </c>
      <c r="K213" s="5" t="inlineStr">
        <is>
          <t>55</t>
        </is>
      </c>
      <c r="L213" s="5" t="n">
        <v>0</v>
      </c>
      <c r="M213" s="6" t="n">
        <v>0</v>
      </c>
      <c r="N213" s="6" t="n">
        <v>0</v>
      </c>
      <c r="O213" s="5" t="inlineStr">
        <is>
          <t>02</t>
        </is>
      </c>
      <c r="P213" s="5" t="n">
        <v>2.2</v>
      </c>
      <c r="Q213" s="5" t="n">
        <v>10.3</v>
      </c>
    </row>
    <row r="214">
      <c r="A214" s="5" t="n">
        <v>9010</v>
      </c>
      <c r="B214" s="5" t="n">
        <v>15</v>
      </c>
      <c r="C214" s="5" t="inlineStr">
        <is>
          <t>COLOR. 8.1...............ULTRA COLOR 60G</t>
        </is>
      </c>
      <c r="D214" s="5" t="inlineStr">
        <is>
          <t>33059000</t>
        </is>
      </c>
      <c r="E214" s="5" t="inlineStr">
        <is>
          <t>6124</t>
        </is>
      </c>
      <c r="F214" s="6" t="n">
        <v>519.67</v>
      </c>
      <c r="G214" s="5" t="inlineStr">
        <is>
          <t>00</t>
        </is>
      </c>
      <c r="H214" s="6" t="n">
        <v>519.67</v>
      </c>
      <c r="I214" s="5" t="n">
        <v>7</v>
      </c>
      <c r="J214" s="6" t="n">
        <v>36.38</v>
      </c>
      <c r="K214" s="5" t="inlineStr">
        <is>
          <t>55</t>
        </is>
      </c>
      <c r="L214" s="5" t="n">
        <v>0</v>
      </c>
      <c r="M214" s="6" t="n">
        <v>0</v>
      </c>
      <c r="N214" s="6" t="n">
        <v>0</v>
      </c>
      <c r="O214" s="5" t="inlineStr">
        <is>
          <t>02</t>
        </is>
      </c>
      <c r="P214" s="5" t="n">
        <v>2.2</v>
      </c>
      <c r="Q214" s="5" t="n">
        <v>10.3</v>
      </c>
    </row>
    <row r="215">
      <c r="A215" s="5" t="n">
        <v>9010</v>
      </c>
      <c r="B215" s="5" t="n">
        <v>16</v>
      </c>
      <c r="C215" s="5" t="inlineStr">
        <is>
          <t>COLOR. 8.32...............ULTRA COLOR 60G</t>
        </is>
      </c>
      <c r="D215" s="5" t="inlineStr">
        <is>
          <t>33059000</t>
        </is>
      </c>
      <c r="E215" s="5" t="inlineStr">
        <is>
          <t>6124</t>
        </is>
      </c>
      <c r="F215" s="6" t="n">
        <v>519.67</v>
      </c>
      <c r="G215" s="5" t="inlineStr">
        <is>
          <t>00</t>
        </is>
      </c>
      <c r="H215" s="6" t="n">
        <v>519.67</v>
      </c>
      <c r="I215" s="5" t="n">
        <v>7</v>
      </c>
      <c r="J215" s="6" t="n">
        <v>36.38</v>
      </c>
      <c r="K215" s="5" t="inlineStr">
        <is>
          <t>55</t>
        </is>
      </c>
      <c r="L215" s="5" t="n">
        <v>0</v>
      </c>
      <c r="M215" s="6" t="n">
        <v>0</v>
      </c>
      <c r="N215" s="6" t="n">
        <v>0</v>
      </c>
      <c r="O215" s="5" t="inlineStr">
        <is>
          <t>02</t>
        </is>
      </c>
      <c r="P215" s="5" t="n">
        <v>2.2</v>
      </c>
      <c r="Q215" s="5" t="n">
        <v>10.3</v>
      </c>
    </row>
    <row r="216">
      <c r="A216" s="5" t="n">
        <v>9010</v>
      </c>
      <c r="B216" s="5" t="n">
        <v>17</v>
      </c>
      <c r="C216" s="5" t="inlineStr">
        <is>
          <t>COLOR. 9.1...............ULTRA COLOR 60G</t>
        </is>
      </c>
      <c r="D216" s="5" t="inlineStr">
        <is>
          <t>33059000</t>
        </is>
      </c>
      <c r="E216" s="5" t="inlineStr">
        <is>
          <t>6124</t>
        </is>
      </c>
      <c r="F216" s="6" t="n">
        <v>478.1</v>
      </c>
      <c r="G216" s="5" t="inlineStr">
        <is>
          <t>00</t>
        </is>
      </c>
      <c r="H216" s="6" t="n">
        <v>478.1</v>
      </c>
      <c r="I216" s="5" t="n">
        <v>7</v>
      </c>
      <c r="J216" s="6" t="n">
        <v>33.47</v>
      </c>
      <c r="K216" s="5" t="inlineStr">
        <is>
          <t>55</t>
        </is>
      </c>
      <c r="L216" s="5" t="n">
        <v>0</v>
      </c>
      <c r="M216" s="6" t="n">
        <v>0</v>
      </c>
      <c r="N216" s="6" t="n">
        <v>0</v>
      </c>
      <c r="O216" s="5" t="inlineStr">
        <is>
          <t>02</t>
        </is>
      </c>
      <c r="P216" s="5" t="n">
        <v>2.2</v>
      </c>
      <c r="Q216" s="5" t="n">
        <v>10.3</v>
      </c>
    </row>
    <row r="217">
      <c r="A217" s="5" t="n">
        <v>9010</v>
      </c>
      <c r="B217" s="5" t="n">
        <v>18</v>
      </c>
      <c r="C217" s="5" t="inlineStr">
        <is>
          <t>COLOR. 9.2...............ULTRA COLOR 60G</t>
        </is>
      </c>
      <c r="D217" s="5" t="inlineStr">
        <is>
          <t>33059000</t>
        </is>
      </c>
      <c r="E217" s="5" t="inlineStr">
        <is>
          <t>6124</t>
        </is>
      </c>
      <c r="F217" s="6" t="n">
        <v>519.67</v>
      </c>
      <c r="G217" s="5" t="inlineStr">
        <is>
          <t>00</t>
        </is>
      </c>
      <c r="H217" s="6" t="n">
        <v>519.67</v>
      </c>
      <c r="I217" s="5" t="n">
        <v>7</v>
      </c>
      <c r="J217" s="6" t="n">
        <v>36.38</v>
      </c>
      <c r="K217" s="5" t="inlineStr">
        <is>
          <t>55</t>
        </is>
      </c>
      <c r="L217" s="5" t="n">
        <v>0</v>
      </c>
      <c r="M217" s="6" t="n">
        <v>0</v>
      </c>
      <c r="N217" s="6" t="n">
        <v>0</v>
      </c>
      <c r="O217" s="5" t="inlineStr">
        <is>
          <t>02</t>
        </is>
      </c>
      <c r="P217" s="5" t="n">
        <v>2.2</v>
      </c>
      <c r="Q217" s="5" t="n">
        <v>10.3</v>
      </c>
    </row>
    <row r="218">
      <c r="A218" s="5" t="n">
        <v>9010</v>
      </c>
      <c r="B218" s="5" t="n">
        <v>19</v>
      </c>
      <c r="C218" s="5" t="inlineStr">
        <is>
          <t>COLOR. 9.89..............ULTRA COLOR 60G</t>
        </is>
      </c>
      <c r="D218" s="5" t="inlineStr">
        <is>
          <t>33059000</t>
        </is>
      </c>
      <c r="E218" s="5" t="inlineStr">
        <is>
          <t>6124</t>
        </is>
      </c>
      <c r="F218" s="6" t="n">
        <v>519.67</v>
      </c>
      <c r="G218" s="5" t="inlineStr">
        <is>
          <t>00</t>
        </is>
      </c>
      <c r="H218" s="6" t="n">
        <v>519.67</v>
      </c>
      <c r="I218" s="5" t="n">
        <v>7</v>
      </c>
      <c r="J218" s="6" t="n">
        <v>36.38</v>
      </c>
      <c r="K218" s="5" t="inlineStr">
        <is>
          <t>55</t>
        </is>
      </c>
      <c r="L218" s="5" t="n">
        <v>0</v>
      </c>
      <c r="M218" s="6" t="n">
        <v>0</v>
      </c>
      <c r="N218" s="6" t="n">
        <v>0</v>
      </c>
      <c r="O218" s="5" t="inlineStr">
        <is>
          <t>02</t>
        </is>
      </c>
      <c r="P218" s="5" t="n">
        <v>2.2</v>
      </c>
      <c r="Q218" s="5" t="n">
        <v>10.3</v>
      </c>
    </row>
    <row r="219">
      <c r="A219" s="5" t="n">
        <v>9010</v>
      </c>
      <c r="B219" s="5" t="n">
        <v>20</v>
      </c>
      <c r="C219" s="5" t="inlineStr">
        <is>
          <t>COLOR. 10.2..............ULTRA COLOR 60G</t>
        </is>
      </c>
      <c r="D219" s="5" t="inlineStr">
        <is>
          <t>33059000</t>
        </is>
      </c>
      <c r="E219" s="5" t="inlineStr">
        <is>
          <t>6124</t>
        </is>
      </c>
      <c r="F219" s="6" t="n">
        <v>519.67</v>
      </c>
      <c r="G219" s="5" t="inlineStr">
        <is>
          <t>00</t>
        </is>
      </c>
      <c r="H219" s="6" t="n">
        <v>519.67</v>
      </c>
      <c r="I219" s="5" t="n">
        <v>7</v>
      </c>
      <c r="J219" s="6" t="n">
        <v>36.38</v>
      </c>
      <c r="K219" s="5" t="inlineStr">
        <is>
          <t>55</t>
        </is>
      </c>
      <c r="L219" s="5" t="n">
        <v>0</v>
      </c>
      <c r="M219" s="6" t="n">
        <v>0</v>
      </c>
      <c r="N219" s="6" t="n">
        <v>0</v>
      </c>
      <c r="O219" s="5" t="inlineStr">
        <is>
          <t>02</t>
        </is>
      </c>
      <c r="P219" s="5" t="n">
        <v>2.2</v>
      </c>
      <c r="Q219" s="5" t="n">
        <v>10.3</v>
      </c>
    </row>
    <row r="220">
      <c r="A220" s="5" t="n">
        <v>9010</v>
      </c>
      <c r="B220" s="5" t="n">
        <v>21</v>
      </c>
      <c r="C220" s="5" t="inlineStr">
        <is>
          <t>COLOR. 12.89..............ULTRA COLOR 60G</t>
        </is>
      </c>
      <c r="D220" s="5" t="inlineStr">
        <is>
          <t>33059000</t>
        </is>
      </c>
      <c r="E220" s="5" t="inlineStr">
        <is>
          <t>6124</t>
        </is>
      </c>
      <c r="F220" s="6" t="n">
        <v>519.67</v>
      </c>
      <c r="G220" s="5" t="inlineStr">
        <is>
          <t>00</t>
        </is>
      </c>
      <c r="H220" s="6" t="n">
        <v>519.67</v>
      </c>
      <c r="I220" s="5" t="n">
        <v>7</v>
      </c>
      <c r="J220" s="6" t="n">
        <v>36.38</v>
      </c>
      <c r="K220" s="5" t="inlineStr">
        <is>
          <t>55</t>
        </is>
      </c>
      <c r="L220" s="5" t="n">
        <v>0</v>
      </c>
      <c r="M220" s="6" t="n">
        <v>0</v>
      </c>
      <c r="N220" s="6" t="n">
        <v>0</v>
      </c>
      <c r="O220" s="5" t="inlineStr">
        <is>
          <t>02</t>
        </is>
      </c>
      <c r="P220" s="5" t="n">
        <v>2.2</v>
      </c>
      <c r="Q220" s="5" t="n">
        <v>10.3</v>
      </c>
    </row>
    <row r="221">
      <c r="A221" s="5" t="n">
        <v>9010</v>
      </c>
      <c r="B221" s="5" t="n">
        <v>22</v>
      </c>
      <c r="C221" s="5" t="inlineStr">
        <is>
          <t>COLOR. 12.1..............ULTRA COLOR 60G</t>
        </is>
      </c>
      <c r="D221" s="5" t="inlineStr">
        <is>
          <t>33059000</t>
        </is>
      </c>
      <c r="E221" s="5" t="inlineStr">
        <is>
          <t>6124</t>
        </is>
      </c>
      <c r="F221" s="6" t="n">
        <v>547.39</v>
      </c>
      <c r="G221" s="5" t="inlineStr">
        <is>
          <t>00</t>
        </is>
      </c>
      <c r="H221" s="6" t="n">
        <v>547.39</v>
      </c>
      <c r="I221" s="5" t="n">
        <v>7</v>
      </c>
      <c r="J221" s="6" t="n">
        <v>38.32</v>
      </c>
      <c r="K221" s="5" t="inlineStr">
        <is>
          <t>55</t>
        </is>
      </c>
      <c r="L221" s="5" t="n">
        <v>0</v>
      </c>
      <c r="M221" s="6" t="n">
        <v>0</v>
      </c>
      <c r="N221" s="6" t="n">
        <v>0</v>
      </c>
      <c r="O221" s="5" t="inlineStr">
        <is>
          <t>02</t>
        </is>
      </c>
      <c r="P221" s="5" t="n">
        <v>2.2</v>
      </c>
      <c r="Q221" s="5" t="n">
        <v>10.3</v>
      </c>
    </row>
    <row r="222">
      <c r="A222" s="5" t="n">
        <v>9011</v>
      </c>
      <c r="B222" s="5" t="n">
        <v>1</v>
      </c>
      <c r="C222" s="5" t="inlineStr">
        <is>
          <t>OXIDANTE NATURE COLOR.....20 VOL 900ML</t>
        </is>
      </c>
      <c r="D222" s="5" t="inlineStr">
        <is>
          <t>28470000</t>
        </is>
      </c>
      <c r="E222" s="5" t="inlineStr">
        <is>
          <t>5101</t>
        </is>
      </c>
      <c r="F222" s="6" t="n">
        <v>240</v>
      </c>
      <c r="G222" s="5" t="inlineStr">
        <is>
          <t>00</t>
        </is>
      </c>
      <c r="H222" s="6" t="n">
        <v>240</v>
      </c>
      <c r="I222" s="5" t="n">
        <v>19.5</v>
      </c>
      <c r="J222" s="6" t="n">
        <v>46.8</v>
      </c>
      <c r="K222" s="5" t="inlineStr">
        <is>
          <t>51</t>
        </is>
      </c>
      <c r="L222" s="5" t="n">
        <v>0</v>
      </c>
      <c r="M222" s="6" t="n">
        <v>0</v>
      </c>
      <c r="N222" s="6" t="n">
        <v>0</v>
      </c>
      <c r="O222" s="5" t="inlineStr">
        <is>
          <t>02</t>
        </is>
      </c>
      <c r="P222" s="5" t="n">
        <v>2.2</v>
      </c>
      <c r="Q222" s="5" t="n">
        <v>10.3</v>
      </c>
    </row>
    <row r="223">
      <c r="A223" s="5" t="n">
        <v>9012</v>
      </c>
      <c r="B223" s="5" t="n">
        <v>1</v>
      </c>
      <c r="C223" s="5" t="inlineStr">
        <is>
          <t>CARTUCHO COLORACAO ULTRA COLOR 60G</t>
        </is>
      </c>
      <c r="D223" s="5" t="inlineStr">
        <is>
          <t>48191000</t>
        </is>
      </c>
      <c r="E223" s="5" t="inlineStr">
        <is>
          <t>6902</t>
        </is>
      </c>
      <c r="F223" s="6" t="n">
        <v>982.8</v>
      </c>
      <c r="G223" s="5" t="inlineStr">
        <is>
          <t>41</t>
        </is>
      </c>
      <c r="H223" s="6" t="n">
        <v>0</v>
      </c>
      <c r="I223" s="5" t="n">
        <v>0</v>
      </c>
      <c r="J223" s="6" t="n">
        <v>0</v>
      </c>
      <c r="K223" s="5" t="n"/>
      <c r="L223" s="5" t="n">
        <v>0</v>
      </c>
      <c r="M223" s="6" t="n">
        <v>0</v>
      </c>
      <c r="N223" s="6" t="n">
        <v>0</v>
      </c>
      <c r="O223" s="5" t="inlineStr">
        <is>
          <t>49</t>
        </is>
      </c>
      <c r="P223" s="5" t="n">
        <v>0</v>
      </c>
      <c r="Q223" s="5" t="n">
        <v>0</v>
      </c>
    </row>
    <row r="224">
      <c r="A224" s="5" t="n">
        <v>9013</v>
      </c>
      <c r="B224" s="5" t="n">
        <v>1</v>
      </c>
      <c r="C224" s="5" t="inlineStr">
        <is>
          <t>COLOR. 6.35.......NATURE COLOR 60G</t>
        </is>
      </c>
      <c r="D224" s="5" t="inlineStr">
        <is>
          <t>33059000</t>
        </is>
      </c>
      <c r="E224" s="5" t="inlineStr">
        <is>
          <t>5102</t>
        </is>
      </c>
      <c r="F224" s="6" t="n">
        <v>37.03</v>
      </c>
      <c r="G224" s="5" t="inlineStr">
        <is>
          <t>00</t>
        </is>
      </c>
      <c r="H224" s="6" t="n">
        <v>37.03</v>
      </c>
      <c r="I224" s="5" t="n">
        <v>19.5</v>
      </c>
      <c r="J224" s="6" t="n">
        <v>7.22</v>
      </c>
      <c r="K224" s="5" t="inlineStr">
        <is>
          <t>50</t>
        </is>
      </c>
      <c r="L224" s="5" t="n">
        <v>14.3</v>
      </c>
      <c r="M224" s="6" t="n">
        <v>4.63</v>
      </c>
      <c r="N224" s="6" t="n">
        <v>0</v>
      </c>
      <c r="O224" s="5" t="inlineStr">
        <is>
          <t>02</t>
        </is>
      </c>
      <c r="P224" s="5" t="n">
        <v>2.2</v>
      </c>
      <c r="Q224" s="5" t="n">
        <v>10.3</v>
      </c>
    </row>
    <row r="225">
      <c r="A225" s="5" t="n">
        <v>9013</v>
      </c>
      <c r="B225" s="5" t="n">
        <v>2</v>
      </c>
      <c r="C225" s="5" t="inlineStr">
        <is>
          <t>COLOR. 7.............NATURE COLOR 60G</t>
        </is>
      </c>
      <c r="D225" s="5" t="inlineStr">
        <is>
          <t>33059000</t>
        </is>
      </c>
      <c r="E225" s="5" t="inlineStr">
        <is>
          <t>5102</t>
        </is>
      </c>
      <c r="F225" s="6" t="n">
        <v>581.42</v>
      </c>
      <c r="G225" s="5" t="inlineStr">
        <is>
          <t>00</t>
        </is>
      </c>
      <c r="H225" s="6" t="n">
        <v>581.42</v>
      </c>
      <c r="I225" s="5" t="n">
        <v>19.5</v>
      </c>
      <c r="J225" s="6" t="n">
        <v>113.38</v>
      </c>
      <c r="K225" s="5" t="inlineStr">
        <is>
          <t>50</t>
        </is>
      </c>
      <c r="L225" s="5" t="n">
        <v>14.3</v>
      </c>
      <c r="M225" s="6" t="n">
        <v>72.73999999999999</v>
      </c>
      <c r="N225" s="6" t="n">
        <v>0</v>
      </c>
      <c r="O225" s="5" t="inlineStr">
        <is>
          <t>02</t>
        </is>
      </c>
      <c r="P225" s="5" t="n">
        <v>2.2</v>
      </c>
      <c r="Q225" s="5" t="n">
        <v>10.3</v>
      </c>
    </row>
    <row r="226">
      <c r="A226" s="5" t="n">
        <v>9014</v>
      </c>
      <c r="B226" s="5" t="n">
        <v>1</v>
      </c>
      <c r="C226" s="5" t="inlineStr">
        <is>
          <t>COLOR. 10.89....NATURE COLOR 60G</t>
        </is>
      </c>
      <c r="D226" s="5" t="inlineStr">
        <is>
          <t>33059000</t>
        </is>
      </c>
      <c r="E226" s="5" t="inlineStr">
        <is>
          <t>5102</t>
        </is>
      </c>
      <c r="F226" s="6" t="n">
        <v>148.13</v>
      </c>
      <c r="G226" s="5" t="inlineStr">
        <is>
          <t>00</t>
        </is>
      </c>
      <c r="H226" s="6" t="n">
        <v>148.13</v>
      </c>
      <c r="I226" s="5" t="n">
        <v>19.5</v>
      </c>
      <c r="J226" s="6" t="n">
        <v>28.89</v>
      </c>
      <c r="K226" s="5" t="inlineStr">
        <is>
          <t>50</t>
        </is>
      </c>
      <c r="L226" s="5" t="n">
        <v>14.3</v>
      </c>
      <c r="M226" s="6" t="n">
        <v>18.53</v>
      </c>
      <c r="N226" s="6" t="n">
        <v>0</v>
      </c>
      <c r="O226" s="5" t="inlineStr">
        <is>
          <t>02</t>
        </is>
      </c>
      <c r="P226" s="5" t="n">
        <v>2.2</v>
      </c>
      <c r="Q226" s="5" t="n">
        <v>10.3</v>
      </c>
    </row>
    <row r="227">
      <c r="A227" s="5" t="n">
        <v>9015</v>
      </c>
      <c r="B227" s="5" t="n">
        <v>1</v>
      </c>
      <c r="C227" s="5" t="inlineStr">
        <is>
          <t>OXIDANTE HAISSA.........30 VOL 900 ML</t>
        </is>
      </c>
      <c r="D227" s="5" t="inlineStr">
        <is>
          <t>28470000</t>
        </is>
      </c>
      <c r="E227" s="5" t="inlineStr">
        <is>
          <t>6101</t>
        </is>
      </c>
      <c r="F227" s="6" t="n">
        <v>852</v>
      </c>
      <c r="G227" s="5" t="inlineStr">
        <is>
          <t>00</t>
        </is>
      </c>
      <c r="H227" s="6" t="n">
        <v>852</v>
      </c>
      <c r="I227" s="5" t="n">
        <v>12</v>
      </c>
      <c r="J227" s="6" t="n">
        <v>102.24</v>
      </c>
      <c r="K227" s="5" t="inlineStr">
        <is>
          <t>51</t>
        </is>
      </c>
      <c r="L227" s="5" t="n">
        <v>0</v>
      </c>
      <c r="M227" s="6" t="n">
        <v>0</v>
      </c>
      <c r="N227" s="6" t="n">
        <v>0</v>
      </c>
      <c r="O227" s="5" t="inlineStr">
        <is>
          <t>02</t>
        </is>
      </c>
      <c r="P227" s="5" t="n">
        <v>2.2</v>
      </c>
      <c r="Q227" s="5" t="n">
        <v>10.3</v>
      </c>
    </row>
    <row r="228">
      <c r="A228" s="5" t="n">
        <v>9016</v>
      </c>
      <c r="B228" s="5" t="n">
        <v>1</v>
      </c>
      <c r="C228" s="5" t="inlineStr">
        <is>
          <t>COLOR 1............ SOUKA COLOR 60 GR</t>
        </is>
      </c>
      <c r="D228" s="5" t="inlineStr">
        <is>
          <t>33059000</t>
        </is>
      </c>
      <c r="E228" s="5" t="inlineStr">
        <is>
          <t>6124</t>
        </is>
      </c>
      <c r="F228" s="6" t="n">
        <v>1706.48</v>
      </c>
      <c r="G228" s="5" t="inlineStr">
        <is>
          <t>00</t>
        </is>
      </c>
      <c r="H228" s="6" t="n">
        <v>1706.48</v>
      </c>
      <c r="I228" s="5" t="n">
        <v>12</v>
      </c>
      <c r="J228" s="6" t="n">
        <v>204.78</v>
      </c>
      <c r="K228" s="5" t="inlineStr">
        <is>
          <t>55</t>
        </is>
      </c>
      <c r="L228" s="5" t="n">
        <v>0</v>
      </c>
      <c r="M228" s="6" t="n">
        <v>0</v>
      </c>
      <c r="N228" s="6" t="n">
        <v>0</v>
      </c>
      <c r="O228" s="5" t="inlineStr">
        <is>
          <t>02</t>
        </is>
      </c>
      <c r="P228" s="5" t="n">
        <v>2.2</v>
      </c>
      <c r="Q228" s="5" t="n">
        <v>10.3</v>
      </c>
    </row>
    <row r="229">
      <c r="A229" s="5" t="n">
        <v>9016</v>
      </c>
      <c r="B229" s="5" t="n">
        <v>2</v>
      </c>
      <c r="C229" s="5" t="inlineStr">
        <is>
          <t>COLOR 3............ SOUKA COLOR 60 GR</t>
        </is>
      </c>
      <c r="D229" s="5" t="inlineStr">
        <is>
          <t>33059000</t>
        </is>
      </c>
      <c r="E229" s="5" t="inlineStr">
        <is>
          <t>6124</t>
        </is>
      </c>
      <c r="F229" s="6" t="n">
        <v>1706.48</v>
      </c>
      <c r="G229" s="5" t="inlineStr">
        <is>
          <t>00</t>
        </is>
      </c>
      <c r="H229" s="6" t="n">
        <v>1706.48</v>
      </c>
      <c r="I229" s="5" t="n">
        <v>12</v>
      </c>
      <c r="J229" s="6" t="n">
        <v>204.78</v>
      </c>
      <c r="K229" s="5" t="inlineStr">
        <is>
          <t>55</t>
        </is>
      </c>
      <c r="L229" s="5" t="n">
        <v>0</v>
      </c>
      <c r="M229" s="6" t="n">
        <v>0</v>
      </c>
      <c r="N229" s="6" t="n">
        <v>0</v>
      </c>
      <c r="O229" s="5" t="inlineStr">
        <is>
          <t>02</t>
        </is>
      </c>
      <c r="P229" s="5" t="n">
        <v>2.2</v>
      </c>
      <c r="Q229" s="5" t="n">
        <v>10.3</v>
      </c>
    </row>
    <row r="230">
      <c r="A230" s="5" t="n">
        <v>9016</v>
      </c>
      <c r="B230" s="5" t="n">
        <v>3</v>
      </c>
      <c r="C230" s="5" t="inlineStr">
        <is>
          <t>COLOR 6............ SOUKA COLOR 60 GR</t>
        </is>
      </c>
      <c r="D230" s="5" t="inlineStr">
        <is>
          <t>33059000</t>
        </is>
      </c>
      <c r="E230" s="5" t="inlineStr">
        <is>
          <t>6124</t>
        </is>
      </c>
      <c r="F230" s="6" t="n">
        <v>2485.53</v>
      </c>
      <c r="G230" s="5" t="inlineStr">
        <is>
          <t>00</t>
        </is>
      </c>
      <c r="H230" s="6" t="n">
        <v>2485.53</v>
      </c>
      <c r="I230" s="5" t="n">
        <v>12</v>
      </c>
      <c r="J230" s="6" t="n">
        <v>298.26</v>
      </c>
      <c r="K230" s="5" t="inlineStr">
        <is>
          <t>55</t>
        </is>
      </c>
      <c r="L230" s="5" t="n">
        <v>0</v>
      </c>
      <c r="M230" s="6" t="n">
        <v>0</v>
      </c>
      <c r="N230" s="6" t="n">
        <v>0</v>
      </c>
      <c r="O230" s="5" t="inlineStr">
        <is>
          <t>02</t>
        </is>
      </c>
      <c r="P230" s="5" t="n">
        <v>2.2</v>
      </c>
      <c r="Q230" s="5" t="n">
        <v>10.3</v>
      </c>
    </row>
    <row r="231">
      <c r="A231" s="5" t="n">
        <v>9016</v>
      </c>
      <c r="B231" s="5" t="n">
        <v>4</v>
      </c>
      <c r="C231" s="5" t="inlineStr">
        <is>
          <t>COLOR 7............ SOUKA COLOR 60 GR</t>
        </is>
      </c>
      <c r="D231" s="5" t="inlineStr">
        <is>
          <t>33059000</t>
        </is>
      </c>
      <c r="E231" s="5" t="inlineStr">
        <is>
          <t>6124</t>
        </is>
      </c>
      <c r="F231" s="6" t="n">
        <v>828.51</v>
      </c>
      <c r="G231" s="5" t="inlineStr">
        <is>
          <t>00</t>
        </is>
      </c>
      <c r="H231" s="6" t="n">
        <v>828.51</v>
      </c>
      <c r="I231" s="5" t="n">
        <v>12</v>
      </c>
      <c r="J231" s="6" t="n">
        <v>99.42</v>
      </c>
      <c r="K231" s="5" t="inlineStr">
        <is>
          <t>55</t>
        </is>
      </c>
      <c r="L231" s="5" t="n">
        <v>0</v>
      </c>
      <c r="M231" s="6" t="n">
        <v>0</v>
      </c>
      <c r="N231" s="6" t="n">
        <v>0</v>
      </c>
      <c r="O231" s="5" t="inlineStr">
        <is>
          <t>02</t>
        </is>
      </c>
      <c r="P231" s="5" t="n">
        <v>2.2</v>
      </c>
      <c r="Q231" s="5" t="n">
        <v>10.3</v>
      </c>
    </row>
    <row r="232">
      <c r="A232" s="5" t="n">
        <v>9017</v>
      </c>
      <c r="B232" s="5" t="n">
        <v>1</v>
      </c>
      <c r="C232" s="5" t="inlineStr">
        <is>
          <t>CARTUCHO COLOR. SOUKA 60G</t>
        </is>
      </c>
      <c r="D232" s="5" t="inlineStr">
        <is>
          <t>48191000</t>
        </is>
      </c>
      <c r="E232" s="5" t="inlineStr">
        <is>
          <t>6902</t>
        </is>
      </c>
      <c r="F232" s="6" t="n">
        <v>547.2</v>
      </c>
      <c r="G232" s="5" t="inlineStr">
        <is>
          <t>41</t>
        </is>
      </c>
      <c r="H232" s="6" t="n">
        <v>0</v>
      </c>
      <c r="I232" s="5" t="n">
        <v>0</v>
      </c>
      <c r="J232" s="6" t="n">
        <v>0</v>
      </c>
      <c r="K232" s="5" t="n"/>
      <c r="L232" s="5" t="n">
        <v>0</v>
      </c>
      <c r="M232" s="6" t="n">
        <v>0</v>
      </c>
      <c r="N232" s="6" t="n">
        <v>0</v>
      </c>
      <c r="O232" s="5" t="inlineStr">
        <is>
          <t>49</t>
        </is>
      </c>
      <c r="P232" s="5" t="n">
        <v>0</v>
      </c>
      <c r="Q232" s="5" t="n">
        <v>0</v>
      </c>
    </row>
    <row r="233">
      <c r="A233" s="5" t="n">
        <v>9018</v>
      </c>
      <c r="B233" s="5" t="n">
        <v>1</v>
      </c>
      <c r="C233" s="5" t="inlineStr">
        <is>
          <t>COLOR. 3.............NATURE COLOR 60G</t>
        </is>
      </c>
      <c r="D233" s="5" t="inlineStr">
        <is>
          <t>33059000</t>
        </is>
      </c>
      <c r="E233" s="5" t="inlineStr">
        <is>
          <t>5102</t>
        </is>
      </c>
      <c r="F233" s="6" t="n">
        <v>139.49</v>
      </c>
      <c r="G233" s="5" t="inlineStr">
        <is>
          <t>00</t>
        </is>
      </c>
      <c r="H233" s="6" t="n">
        <v>139.49</v>
      </c>
      <c r="I233" s="5" t="n">
        <v>19.5</v>
      </c>
      <c r="J233" s="6" t="n">
        <v>27.2</v>
      </c>
      <c r="K233" s="5" t="inlineStr">
        <is>
          <t>50</t>
        </is>
      </c>
      <c r="L233" s="5" t="n">
        <v>14.3</v>
      </c>
      <c r="M233" s="6" t="n">
        <v>17.45</v>
      </c>
      <c r="N233" s="6" t="n">
        <v>0</v>
      </c>
      <c r="O233" s="5" t="inlineStr">
        <is>
          <t>02</t>
        </is>
      </c>
      <c r="P233" s="5" t="n">
        <v>2.2</v>
      </c>
      <c r="Q233" s="5" t="n">
        <v>10.3</v>
      </c>
    </row>
    <row r="234">
      <c r="A234" s="5" t="n">
        <v>9019</v>
      </c>
      <c r="B234" s="5" t="n">
        <v>1</v>
      </c>
      <c r="C234" s="5" t="inlineStr">
        <is>
          <t>COLOR. 0.22.......NATURE COLOR 60G</t>
        </is>
      </c>
      <c r="D234" s="5" t="inlineStr">
        <is>
          <t>33059000</t>
        </is>
      </c>
      <c r="E234" s="5" t="inlineStr">
        <is>
          <t>5102</t>
        </is>
      </c>
      <c r="F234" s="6" t="n">
        <v>74.06999999999999</v>
      </c>
      <c r="G234" s="5" t="inlineStr">
        <is>
          <t>00</t>
        </is>
      </c>
      <c r="H234" s="6" t="n">
        <v>74.06999999999999</v>
      </c>
      <c r="I234" s="5" t="n">
        <v>19.5</v>
      </c>
      <c r="J234" s="6" t="n">
        <v>14.44</v>
      </c>
      <c r="K234" s="5" t="inlineStr">
        <is>
          <t>50</t>
        </is>
      </c>
      <c r="L234" s="5" t="n">
        <v>14.3</v>
      </c>
      <c r="M234" s="6" t="n">
        <v>9.27</v>
      </c>
      <c r="N234" s="6" t="n">
        <v>0</v>
      </c>
      <c r="O234" s="5" t="inlineStr">
        <is>
          <t>02</t>
        </is>
      </c>
      <c r="P234" s="5" t="n">
        <v>2.2</v>
      </c>
      <c r="Q234" s="5" t="n">
        <v>10.3</v>
      </c>
    </row>
    <row r="235">
      <c r="A235" s="5" t="n">
        <v>9019</v>
      </c>
      <c r="B235" s="5" t="n">
        <v>2</v>
      </c>
      <c r="C235" s="5" t="inlineStr">
        <is>
          <t>COLOR. 0.33.......NATURE COLOR 60G</t>
        </is>
      </c>
      <c r="D235" s="5" t="inlineStr">
        <is>
          <t>33059000</t>
        </is>
      </c>
      <c r="E235" s="5" t="inlineStr">
        <is>
          <t>5102</t>
        </is>
      </c>
      <c r="F235" s="6" t="n">
        <v>74.06999999999999</v>
      </c>
      <c r="G235" s="5" t="inlineStr">
        <is>
          <t>00</t>
        </is>
      </c>
      <c r="H235" s="6" t="n">
        <v>74.06999999999999</v>
      </c>
      <c r="I235" s="5" t="n">
        <v>19.5</v>
      </c>
      <c r="J235" s="6" t="n">
        <v>14.44</v>
      </c>
      <c r="K235" s="5" t="inlineStr">
        <is>
          <t>50</t>
        </is>
      </c>
      <c r="L235" s="5" t="n">
        <v>14.3</v>
      </c>
      <c r="M235" s="6" t="n">
        <v>9.27</v>
      </c>
      <c r="N235" s="6" t="n">
        <v>0</v>
      </c>
      <c r="O235" s="5" t="inlineStr">
        <is>
          <t>02</t>
        </is>
      </c>
      <c r="P235" s="5" t="n">
        <v>2.2</v>
      </c>
      <c r="Q235" s="5" t="n">
        <v>10.3</v>
      </c>
    </row>
    <row r="236">
      <c r="A236" s="5" t="n">
        <v>9019</v>
      </c>
      <c r="B236" s="5" t="n">
        <v>3</v>
      </c>
      <c r="C236" s="5" t="inlineStr">
        <is>
          <t>COLOR. 0.44.......NATURE COLOR 60G</t>
        </is>
      </c>
      <c r="D236" s="5" t="inlineStr">
        <is>
          <t>33059000</t>
        </is>
      </c>
      <c r="E236" s="5" t="inlineStr">
        <is>
          <t>5102</t>
        </is>
      </c>
      <c r="F236" s="6" t="n">
        <v>148.13</v>
      </c>
      <c r="G236" s="5" t="inlineStr">
        <is>
          <t>00</t>
        </is>
      </c>
      <c r="H236" s="6" t="n">
        <v>148.13</v>
      </c>
      <c r="I236" s="5" t="n">
        <v>19.5</v>
      </c>
      <c r="J236" s="6" t="n">
        <v>28.89</v>
      </c>
      <c r="K236" s="5" t="inlineStr">
        <is>
          <t>50</t>
        </is>
      </c>
      <c r="L236" s="5" t="n">
        <v>14.3</v>
      </c>
      <c r="M236" s="6" t="n">
        <v>18.53</v>
      </c>
      <c r="N236" s="6" t="n">
        <v>0</v>
      </c>
      <c r="O236" s="5" t="inlineStr">
        <is>
          <t>02</t>
        </is>
      </c>
      <c r="P236" s="5" t="n">
        <v>2.2</v>
      </c>
      <c r="Q236" s="5" t="n">
        <v>10.3</v>
      </c>
    </row>
    <row r="237">
      <c r="A237" s="5" t="n">
        <v>9019</v>
      </c>
      <c r="B237" s="5" t="n">
        <v>4</v>
      </c>
      <c r="C237" s="5" t="inlineStr">
        <is>
          <t>COLOR. 0.66.......NATURE COLOR 60G</t>
        </is>
      </c>
      <c r="D237" s="5" t="inlineStr">
        <is>
          <t>33059000</t>
        </is>
      </c>
      <c r="E237" s="5" t="inlineStr">
        <is>
          <t>5102</t>
        </is>
      </c>
      <c r="F237" s="6" t="n">
        <v>74.06999999999999</v>
      </c>
      <c r="G237" s="5" t="inlineStr">
        <is>
          <t>00</t>
        </is>
      </c>
      <c r="H237" s="6" t="n">
        <v>74.06999999999999</v>
      </c>
      <c r="I237" s="5" t="n">
        <v>19.5</v>
      </c>
      <c r="J237" s="6" t="n">
        <v>14.44</v>
      </c>
      <c r="K237" s="5" t="inlineStr">
        <is>
          <t>50</t>
        </is>
      </c>
      <c r="L237" s="5" t="n">
        <v>14.3</v>
      </c>
      <c r="M237" s="6" t="n">
        <v>9.27</v>
      </c>
      <c r="N237" s="6" t="n">
        <v>0</v>
      </c>
      <c r="O237" s="5" t="inlineStr">
        <is>
          <t>02</t>
        </is>
      </c>
      <c r="P237" s="5" t="n">
        <v>2.2</v>
      </c>
      <c r="Q237" s="5" t="n">
        <v>10.3</v>
      </c>
    </row>
    <row r="238">
      <c r="A238" s="5" t="n">
        <v>9019</v>
      </c>
      <c r="B238" s="5" t="n">
        <v>5</v>
      </c>
      <c r="C238" s="5" t="inlineStr">
        <is>
          <t>COLOR. 1............NATURE COLOR 60G</t>
        </is>
      </c>
      <c r="D238" s="5" t="inlineStr">
        <is>
          <t>33059000</t>
        </is>
      </c>
      <c r="E238" s="5" t="inlineStr">
        <is>
          <t>5102</t>
        </is>
      </c>
      <c r="F238" s="6" t="n">
        <v>592.53</v>
      </c>
      <c r="G238" s="5" t="inlineStr">
        <is>
          <t>00</t>
        </is>
      </c>
      <c r="H238" s="6" t="n">
        <v>592.53</v>
      </c>
      <c r="I238" s="5" t="n">
        <v>19.5</v>
      </c>
      <c r="J238" s="6" t="n">
        <v>115.54</v>
      </c>
      <c r="K238" s="5" t="inlineStr">
        <is>
          <t>50</t>
        </is>
      </c>
      <c r="L238" s="5" t="n">
        <v>14.3</v>
      </c>
      <c r="M238" s="6" t="n">
        <v>74.13</v>
      </c>
      <c r="N238" s="6" t="n">
        <v>0</v>
      </c>
      <c r="O238" s="5" t="inlineStr">
        <is>
          <t>02</t>
        </is>
      </c>
      <c r="P238" s="5" t="n">
        <v>2.2</v>
      </c>
      <c r="Q238" s="5" t="n">
        <v>10.3</v>
      </c>
    </row>
    <row r="239">
      <c r="A239" s="5" t="n">
        <v>9019</v>
      </c>
      <c r="B239" s="5" t="n">
        <v>6</v>
      </c>
      <c r="C239" s="5" t="inlineStr">
        <is>
          <t>COLOR. 10..........NATURE COLOR 60G</t>
        </is>
      </c>
      <c r="D239" s="5" t="inlineStr">
        <is>
          <t>33059000</t>
        </is>
      </c>
      <c r="E239" s="5" t="inlineStr">
        <is>
          <t>5102</t>
        </is>
      </c>
      <c r="F239" s="6" t="n">
        <v>185.17</v>
      </c>
      <c r="G239" s="5" t="inlineStr">
        <is>
          <t>00</t>
        </is>
      </c>
      <c r="H239" s="6" t="n">
        <v>185.17</v>
      </c>
      <c r="I239" s="5" t="n">
        <v>19.5</v>
      </c>
      <c r="J239" s="6" t="n">
        <v>36.11</v>
      </c>
      <c r="K239" s="5" t="inlineStr">
        <is>
          <t>50</t>
        </is>
      </c>
      <c r="L239" s="5" t="n">
        <v>14.3</v>
      </c>
      <c r="M239" s="6" t="n">
        <v>23.17</v>
      </c>
      <c r="N239" s="6" t="n">
        <v>0</v>
      </c>
      <c r="O239" s="5" t="inlineStr">
        <is>
          <t>02</t>
        </is>
      </c>
      <c r="P239" s="5" t="n">
        <v>2.2</v>
      </c>
      <c r="Q239" s="5" t="n">
        <v>10.3</v>
      </c>
    </row>
    <row r="240">
      <c r="A240" s="5" t="n">
        <v>9019</v>
      </c>
      <c r="B240" s="5" t="n">
        <v>7</v>
      </c>
      <c r="C240" s="5" t="inlineStr">
        <is>
          <t>COLOR. 10.2.......NATURE COLOR 60G</t>
        </is>
      </c>
      <c r="D240" s="5" t="inlineStr">
        <is>
          <t>33059000</t>
        </is>
      </c>
      <c r="E240" s="5" t="inlineStr">
        <is>
          <t>5102</t>
        </is>
      </c>
      <c r="F240" s="6" t="n">
        <v>74.06999999999999</v>
      </c>
      <c r="G240" s="5" t="inlineStr">
        <is>
          <t>00</t>
        </is>
      </c>
      <c r="H240" s="6" t="n">
        <v>74.06999999999999</v>
      </c>
      <c r="I240" s="5" t="n">
        <v>19.5</v>
      </c>
      <c r="J240" s="6" t="n">
        <v>14.44</v>
      </c>
      <c r="K240" s="5" t="inlineStr">
        <is>
          <t>50</t>
        </is>
      </c>
      <c r="L240" s="5" t="n">
        <v>14.3</v>
      </c>
      <c r="M240" s="6" t="n">
        <v>9.27</v>
      </c>
      <c r="N240" s="6" t="n">
        <v>0</v>
      </c>
      <c r="O240" s="5" t="inlineStr">
        <is>
          <t>02</t>
        </is>
      </c>
      <c r="P240" s="5" t="n">
        <v>2.2</v>
      </c>
      <c r="Q240" s="5" t="n">
        <v>10.3</v>
      </c>
    </row>
    <row r="241">
      <c r="A241" s="5" t="n">
        <v>9019</v>
      </c>
      <c r="B241" s="5" t="n">
        <v>8</v>
      </c>
      <c r="C241" s="5" t="inlineStr">
        <is>
          <t>COLOR. 11.89....NATURE COLOR 60G</t>
        </is>
      </c>
      <c r="D241" s="5" t="inlineStr">
        <is>
          <t>33059000</t>
        </is>
      </c>
      <c r="E241" s="5" t="inlineStr">
        <is>
          <t>5102</t>
        </is>
      </c>
      <c r="F241" s="6" t="n">
        <v>74.06999999999999</v>
      </c>
      <c r="G241" s="5" t="inlineStr">
        <is>
          <t>00</t>
        </is>
      </c>
      <c r="H241" s="6" t="n">
        <v>74.06999999999999</v>
      </c>
      <c r="I241" s="5" t="n">
        <v>19.5</v>
      </c>
      <c r="J241" s="6" t="n">
        <v>14.44</v>
      </c>
      <c r="K241" s="5" t="inlineStr">
        <is>
          <t>50</t>
        </is>
      </c>
      <c r="L241" s="5" t="n">
        <v>14.3</v>
      </c>
      <c r="M241" s="6" t="n">
        <v>9.27</v>
      </c>
      <c r="N241" s="6" t="n">
        <v>0</v>
      </c>
      <c r="O241" s="5" t="inlineStr">
        <is>
          <t>02</t>
        </is>
      </c>
      <c r="P241" s="5" t="n">
        <v>2.2</v>
      </c>
      <c r="Q241" s="5" t="n">
        <v>10.3</v>
      </c>
    </row>
    <row r="242">
      <c r="A242" s="5" t="n">
        <v>9019</v>
      </c>
      <c r="B242" s="5" t="n">
        <v>9</v>
      </c>
      <c r="C242" s="5" t="inlineStr">
        <is>
          <t>COLOR. 12..........NATURE COLOR 60G</t>
        </is>
      </c>
      <c r="D242" s="5" t="inlineStr">
        <is>
          <t>33059000</t>
        </is>
      </c>
      <c r="E242" s="5" t="inlineStr">
        <is>
          <t>5102</t>
        </is>
      </c>
      <c r="F242" s="6" t="n">
        <v>111.1</v>
      </c>
      <c r="G242" s="5" t="inlineStr">
        <is>
          <t>00</t>
        </is>
      </c>
      <c r="H242" s="6" t="n">
        <v>111.1</v>
      </c>
      <c r="I242" s="5" t="n">
        <v>19.5</v>
      </c>
      <c r="J242" s="6" t="n">
        <v>21.66</v>
      </c>
      <c r="K242" s="5" t="inlineStr">
        <is>
          <t>50</t>
        </is>
      </c>
      <c r="L242" s="5" t="n">
        <v>14.3</v>
      </c>
      <c r="M242" s="6" t="n">
        <v>13.9</v>
      </c>
      <c r="N242" s="6" t="n">
        <v>0</v>
      </c>
      <c r="O242" s="5" t="inlineStr">
        <is>
          <t>02</t>
        </is>
      </c>
      <c r="P242" s="5" t="n">
        <v>2.2</v>
      </c>
      <c r="Q242" s="5" t="n">
        <v>10.3</v>
      </c>
    </row>
    <row r="243">
      <c r="A243" s="5" t="n">
        <v>9019</v>
      </c>
      <c r="B243" s="5" t="n">
        <v>10</v>
      </c>
      <c r="C243" s="5" t="inlineStr">
        <is>
          <t>COLOR. 12.12....NATURE COLOR 60G</t>
        </is>
      </c>
      <c r="D243" s="5" t="inlineStr">
        <is>
          <t>33059000</t>
        </is>
      </c>
      <c r="E243" s="5" t="inlineStr">
        <is>
          <t>5102</t>
        </is>
      </c>
      <c r="F243" s="6" t="n">
        <v>12.34</v>
      </c>
      <c r="G243" s="5" t="inlineStr">
        <is>
          <t>00</t>
        </is>
      </c>
      <c r="H243" s="6" t="n">
        <v>12.34</v>
      </c>
      <c r="I243" s="5" t="n">
        <v>19.5</v>
      </c>
      <c r="J243" s="6" t="n">
        <v>2.41</v>
      </c>
      <c r="K243" s="5" t="inlineStr">
        <is>
          <t>50</t>
        </is>
      </c>
      <c r="L243" s="5" t="n">
        <v>14.3</v>
      </c>
      <c r="M243" s="6" t="n">
        <v>1.54</v>
      </c>
      <c r="N243" s="6" t="n">
        <v>0</v>
      </c>
      <c r="O243" s="5" t="inlineStr">
        <is>
          <t>02</t>
        </is>
      </c>
      <c r="P243" s="5" t="n">
        <v>2.2</v>
      </c>
      <c r="Q243" s="5" t="n">
        <v>10.3</v>
      </c>
    </row>
    <row r="244">
      <c r="A244" s="5" t="n">
        <v>9019</v>
      </c>
      <c r="B244" s="5" t="n">
        <v>11</v>
      </c>
      <c r="C244" s="5" t="inlineStr">
        <is>
          <t>COLOR. 12.2.......NATURE COLOR 60G</t>
        </is>
      </c>
      <c r="D244" s="5" t="inlineStr">
        <is>
          <t>33059000</t>
        </is>
      </c>
      <c r="E244" s="5" t="inlineStr">
        <is>
          <t>5102</t>
        </is>
      </c>
      <c r="F244" s="6" t="n">
        <v>33.33</v>
      </c>
      <c r="G244" s="5" t="inlineStr">
        <is>
          <t>00</t>
        </is>
      </c>
      <c r="H244" s="6" t="n">
        <v>33.33</v>
      </c>
      <c r="I244" s="5" t="n">
        <v>19.5</v>
      </c>
      <c r="J244" s="6" t="n">
        <v>6.5</v>
      </c>
      <c r="K244" s="5" t="inlineStr">
        <is>
          <t>50</t>
        </is>
      </c>
      <c r="L244" s="5" t="n">
        <v>14.3</v>
      </c>
      <c r="M244" s="6" t="n">
        <v>4.17</v>
      </c>
      <c r="N244" s="6" t="n">
        <v>0</v>
      </c>
      <c r="O244" s="5" t="inlineStr">
        <is>
          <t>02</t>
        </is>
      </c>
      <c r="P244" s="5" t="n">
        <v>2.2</v>
      </c>
      <c r="Q244" s="5" t="n">
        <v>10.3</v>
      </c>
    </row>
    <row r="245">
      <c r="A245" s="5" t="n">
        <v>9019</v>
      </c>
      <c r="B245" s="5" t="n">
        <v>12</v>
      </c>
      <c r="C245" s="5" t="inlineStr">
        <is>
          <t>COLOR. 4.............NATURE COLOR 60G</t>
        </is>
      </c>
      <c r="D245" s="5" t="inlineStr">
        <is>
          <t>33059000</t>
        </is>
      </c>
      <c r="E245" s="5" t="inlineStr">
        <is>
          <t>5102</t>
        </is>
      </c>
      <c r="F245" s="6" t="n">
        <v>222.2</v>
      </c>
      <c r="G245" s="5" t="inlineStr">
        <is>
          <t>00</t>
        </is>
      </c>
      <c r="H245" s="6" t="n">
        <v>222.2</v>
      </c>
      <c r="I245" s="5" t="n">
        <v>19.5</v>
      </c>
      <c r="J245" s="6" t="n">
        <v>43.33</v>
      </c>
      <c r="K245" s="5" t="inlineStr">
        <is>
          <t>50</t>
        </is>
      </c>
      <c r="L245" s="5" t="n">
        <v>14.3</v>
      </c>
      <c r="M245" s="6" t="n">
        <v>27.8</v>
      </c>
      <c r="N245" s="6" t="n">
        <v>0</v>
      </c>
      <c r="O245" s="5" t="inlineStr">
        <is>
          <t>02</t>
        </is>
      </c>
      <c r="P245" s="5" t="n">
        <v>2.2</v>
      </c>
      <c r="Q245" s="5" t="n">
        <v>10.3</v>
      </c>
    </row>
    <row r="246">
      <c r="A246" s="5" t="n">
        <v>9019</v>
      </c>
      <c r="B246" s="5" t="n">
        <v>13</v>
      </c>
      <c r="C246" s="5" t="inlineStr">
        <is>
          <t>COLOR. 4.00.......NATURE COLOR 60G</t>
        </is>
      </c>
      <c r="D246" s="5" t="inlineStr">
        <is>
          <t>33059000</t>
        </is>
      </c>
      <c r="E246" s="5" t="inlineStr">
        <is>
          <t>5102</t>
        </is>
      </c>
      <c r="F246" s="6" t="n">
        <v>296.27</v>
      </c>
      <c r="G246" s="5" t="inlineStr">
        <is>
          <t>00</t>
        </is>
      </c>
      <c r="H246" s="6" t="n">
        <v>296.27</v>
      </c>
      <c r="I246" s="5" t="n">
        <v>19.5</v>
      </c>
      <c r="J246" s="6" t="n">
        <v>57.77</v>
      </c>
      <c r="K246" s="5" t="inlineStr">
        <is>
          <t>50</t>
        </is>
      </c>
      <c r="L246" s="5" t="n">
        <v>14.3</v>
      </c>
      <c r="M246" s="6" t="n">
        <v>37.07</v>
      </c>
      <c r="N246" s="6" t="n">
        <v>0</v>
      </c>
      <c r="O246" s="5" t="inlineStr">
        <is>
          <t>02</t>
        </is>
      </c>
      <c r="P246" s="5" t="n">
        <v>2.2</v>
      </c>
      <c r="Q246" s="5" t="n">
        <v>10.3</v>
      </c>
    </row>
    <row r="247">
      <c r="A247" s="5" t="n">
        <v>9019</v>
      </c>
      <c r="B247" s="5" t="n">
        <v>14</v>
      </c>
      <c r="C247" s="5" t="inlineStr">
        <is>
          <t>COLOR. 5.00.......NATURE COLOR 60G</t>
        </is>
      </c>
      <c r="D247" s="5" t="inlineStr">
        <is>
          <t>33059000</t>
        </is>
      </c>
      <c r="E247" s="5" t="inlineStr">
        <is>
          <t>5102</t>
        </is>
      </c>
      <c r="F247" s="6" t="n">
        <v>592.53</v>
      </c>
      <c r="G247" s="5" t="inlineStr">
        <is>
          <t>00</t>
        </is>
      </c>
      <c r="H247" s="6" t="n">
        <v>592.53</v>
      </c>
      <c r="I247" s="5" t="n">
        <v>19.5</v>
      </c>
      <c r="J247" s="6" t="n">
        <v>115.54</v>
      </c>
      <c r="K247" s="5" t="inlineStr">
        <is>
          <t>50</t>
        </is>
      </c>
      <c r="L247" s="5" t="n">
        <v>14.3</v>
      </c>
      <c r="M247" s="6" t="n">
        <v>74.13</v>
      </c>
      <c r="N247" s="6" t="n">
        <v>0</v>
      </c>
      <c r="O247" s="5" t="inlineStr">
        <is>
          <t>02</t>
        </is>
      </c>
      <c r="P247" s="5" t="n">
        <v>2.2</v>
      </c>
      <c r="Q247" s="5" t="n">
        <v>10.3</v>
      </c>
    </row>
    <row r="248">
      <c r="A248" s="5" t="n">
        <v>9019</v>
      </c>
      <c r="B248" s="5" t="n">
        <v>15</v>
      </c>
      <c r="C248" s="5" t="inlineStr">
        <is>
          <t>COLOR. 5.1.........NATURE COLOR 60G</t>
        </is>
      </c>
      <c r="D248" s="5" t="inlineStr">
        <is>
          <t>33059000</t>
        </is>
      </c>
      <c r="E248" s="5" t="inlineStr">
        <is>
          <t>5102</t>
        </is>
      </c>
      <c r="F248" s="6" t="n">
        <v>74.06999999999999</v>
      </c>
      <c r="G248" s="5" t="inlineStr">
        <is>
          <t>00</t>
        </is>
      </c>
      <c r="H248" s="6" t="n">
        <v>74.06999999999999</v>
      </c>
      <c r="I248" s="5" t="n">
        <v>19.5</v>
      </c>
      <c r="J248" s="6" t="n">
        <v>14.44</v>
      </c>
      <c r="K248" s="5" t="inlineStr">
        <is>
          <t>50</t>
        </is>
      </c>
      <c r="L248" s="5" t="n">
        <v>14.3</v>
      </c>
      <c r="M248" s="6" t="n">
        <v>9.27</v>
      </c>
      <c r="N248" s="6" t="n">
        <v>0</v>
      </c>
      <c r="O248" s="5" t="inlineStr">
        <is>
          <t>02</t>
        </is>
      </c>
      <c r="P248" s="5" t="n">
        <v>2.2</v>
      </c>
      <c r="Q248" s="5" t="n">
        <v>10.3</v>
      </c>
    </row>
    <row r="249">
      <c r="A249" s="5" t="n">
        <v>9019</v>
      </c>
      <c r="B249" s="5" t="n">
        <v>16</v>
      </c>
      <c r="C249" s="5" t="inlineStr">
        <is>
          <t>COLOR. 5.2.........NATURE COLOR 60G</t>
        </is>
      </c>
      <c r="D249" s="5" t="inlineStr">
        <is>
          <t>33059000</t>
        </is>
      </c>
      <c r="E249" s="5" t="inlineStr">
        <is>
          <t>5102</t>
        </is>
      </c>
      <c r="F249" s="6" t="n">
        <v>74.06999999999999</v>
      </c>
      <c r="G249" s="5" t="inlineStr">
        <is>
          <t>00</t>
        </is>
      </c>
      <c r="H249" s="6" t="n">
        <v>74.06999999999999</v>
      </c>
      <c r="I249" s="5" t="n">
        <v>19.5</v>
      </c>
      <c r="J249" s="6" t="n">
        <v>14.44</v>
      </c>
      <c r="K249" s="5" t="inlineStr">
        <is>
          <t>50</t>
        </is>
      </c>
      <c r="L249" s="5" t="n">
        <v>14.3</v>
      </c>
      <c r="M249" s="6" t="n">
        <v>9.27</v>
      </c>
      <c r="N249" s="6" t="n">
        <v>0</v>
      </c>
      <c r="O249" s="5" t="inlineStr">
        <is>
          <t>02</t>
        </is>
      </c>
      <c r="P249" s="5" t="n">
        <v>2.2</v>
      </c>
      <c r="Q249" s="5" t="n">
        <v>10.3</v>
      </c>
    </row>
    <row r="250">
      <c r="A250" s="5" t="n">
        <v>9019</v>
      </c>
      <c r="B250" s="5" t="n">
        <v>17</v>
      </c>
      <c r="C250" s="5" t="inlineStr">
        <is>
          <t>COLOR. 5.3.........NATURE COLOR 60G</t>
        </is>
      </c>
      <c r="D250" s="5" t="inlineStr">
        <is>
          <t>33059000</t>
        </is>
      </c>
      <c r="E250" s="5" t="inlineStr">
        <is>
          <t>5102</t>
        </is>
      </c>
      <c r="F250" s="6" t="n">
        <v>98.76000000000001</v>
      </c>
      <c r="G250" s="5" t="inlineStr">
        <is>
          <t>00</t>
        </is>
      </c>
      <c r="H250" s="6" t="n">
        <v>98.76000000000001</v>
      </c>
      <c r="I250" s="5" t="n">
        <v>19.5</v>
      </c>
      <c r="J250" s="6" t="n">
        <v>19.26</v>
      </c>
      <c r="K250" s="5" t="inlineStr">
        <is>
          <t>50</t>
        </is>
      </c>
      <c r="L250" s="5" t="n">
        <v>14.3</v>
      </c>
      <c r="M250" s="6" t="n">
        <v>12.36</v>
      </c>
      <c r="N250" s="6" t="n">
        <v>0</v>
      </c>
      <c r="O250" s="5" t="inlineStr">
        <is>
          <t>02</t>
        </is>
      </c>
      <c r="P250" s="5" t="n">
        <v>2.2</v>
      </c>
      <c r="Q250" s="5" t="n">
        <v>10.3</v>
      </c>
    </row>
    <row r="251">
      <c r="A251" s="5" t="n">
        <v>9019</v>
      </c>
      <c r="B251" s="5" t="n">
        <v>18</v>
      </c>
      <c r="C251" s="5" t="inlineStr">
        <is>
          <t>COLOR. 5.66.......NATURE COLOR 60G</t>
        </is>
      </c>
      <c r="D251" s="5" t="inlineStr">
        <is>
          <t>33059000</t>
        </is>
      </c>
      <c r="E251" s="5" t="inlineStr">
        <is>
          <t>5102</t>
        </is>
      </c>
      <c r="F251" s="6" t="n">
        <v>74.06999999999999</v>
      </c>
      <c r="G251" s="5" t="inlineStr">
        <is>
          <t>00</t>
        </is>
      </c>
      <c r="H251" s="6" t="n">
        <v>74.06999999999999</v>
      </c>
      <c r="I251" s="5" t="n">
        <v>19.5</v>
      </c>
      <c r="J251" s="6" t="n">
        <v>14.44</v>
      </c>
      <c r="K251" s="5" t="inlineStr">
        <is>
          <t>50</t>
        </is>
      </c>
      <c r="L251" s="5" t="n">
        <v>14.3</v>
      </c>
      <c r="M251" s="6" t="n">
        <v>9.27</v>
      </c>
      <c r="N251" s="6" t="n">
        <v>0</v>
      </c>
      <c r="O251" s="5" t="inlineStr">
        <is>
          <t>02</t>
        </is>
      </c>
      <c r="P251" s="5" t="n">
        <v>2.2</v>
      </c>
      <c r="Q251" s="5" t="n">
        <v>10.3</v>
      </c>
    </row>
    <row r="252">
      <c r="A252" s="5" t="n">
        <v>9019</v>
      </c>
      <c r="B252" s="5" t="n">
        <v>19</v>
      </c>
      <c r="C252" s="5" t="inlineStr">
        <is>
          <t>COLOR. 5.7.........NATURE COLOR 60G</t>
        </is>
      </c>
      <c r="D252" s="5" t="inlineStr">
        <is>
          <t>33059000</t>
        </is>
      </c>
      <c r="E252" s="5" t="inlineStr">
        <is>
          <t>5102</t>
        </is>
      </c>
      <c r="F252" s="6" t="n">
        <v>8.640000000000001</v>
      </c>
      <c r="G252" s="5" t="inlineStr">
        <is>
          <t>00</t>
        </is>
      </c>
      <c r="H252" s="6" t="n">
        <v>8.640000000000001</v>
      </c>
      <c r="I252" s="5" t="n">
        <v>19.5</v>
      </c>
      <c r="J252" s="6" t="n">
        <v>1.68</v>
      </c>
      <c r="K252" s="5" t="inlineStr">
        <is>
          <t>50</t>
        </is>
      </c>
      <c r="L252" s="5" t="n">
        <v>14.3</v>
      </c>
      <c r="M252" s="6" t="n">
        <v>1.08</v>
      </c>
      <c r="N252" s="6" t="n">
        <v>0</v>
      </c>
      <c r="O252" s="5" t="inlineStr">
        <is>
          <t>02</t>
        </is>
      </c>
      <c r="P252" s="5" t="n">
        <v>2.2</v>
      </c>
      <c r="Q252" s="5" t="n">
        <v>10.3</v>
      </c>
    </row>
    <row r="253">
      <c r="A253" s="5" t="n">
        <v>9019</v>
      </c>
      <c r="B253" s="5" t="n">
        <v>20</v>
      </c>
      <c r="C253" s="5" t="inlineStr">
        <is>
          <t>COLOR. 6.............NATURE COLOR 60G</t>
        </is>
      </c>
      <c r="D253" s="5" t="inlineStr">
        <is>
          <t>33059000</t>
        </is>
      </c>
      <c r="E253" s="5" t="inlineStr">
        <is>
          <t>5102</t>
        </is>
      </c>
      <c r="F253" s="6" t="n">
        <v>740.66</v>
      </c>
      <c r="G253" s="5" t="inlineStr">
        <is>
          <t>00</t>
        </is>
      </c>
      <c r="H253" s="6" t="n">
        <v>740.66</v>
      </c>
      <c r="I253" s="5" t="n">
        <v>19.5</v>
      </c>
      <c r="J253" s="6" t="n">
        <v>144.43</v>
      </c>
      <c r="K253" s="5" t="inlineStr">
        <is>
          <t>50</t>
        </is>
      </c>
      <c r="L253" s="5" t="n">
        <v>14.3</v>
      </c>
      <c r="M253" s="6" t="n">
        <v>92.66</v>
      </c>
      <c r="N253" s="6" t="n">
        <v>0</v>
      </c>
      <c r="O253" s="5" t="inlineStr">
        <is>
          <t>02</t>
        </is>
      </c>
      <c r="P253" s="5" t="n">
        <v>2.2</v>
      </c>
      <c r="Q253" s="5" t="n">
        <v>10.3</v>
      </c>
    </row>
    <row r="254">
      <c r="A254" s="5" t="n">
        <v>9019</v>
      </c>
      <c r="B254" s="5" t="n">
        <v>21</v>
      </c>
      <c r="C254" s="5" t="inlineStr">
        <is>
          <t>COLOR. 6.00.......NATURE COLOR 60G</t>
        </is>
      </c>
      <c r="D254" s="5" t="inlineStr">
        <is>
          <t>33059000</t>
        </is>
      </c>
      <c r="E254" s="5" t="inlineStr">
        <is>
          <t>5102</t>
        </is>
      </c>
      <c r="F254" s="6" t="n">
        <v>13.58</v>
      </c>
      <c r="G254" s="5" t="inlineStr">
        <is>
          <t>00</t>
        </is>
      </c>
      <c r="H254" s="6" t="n">
        <v>13.58</v>
      </c>
      <c r="I254" s="5" t="n">
        <v>19.5</v>
      </c>
      <c r="J254" s="6" t="n">
        <v>2.65</v>
      </c>
      <c r="K254" s="5" t="inlineStr">
        <is>
          <t>50</t>
        </is>
      </c>
      <c r="L254" s="5" t="n">
        <v>14.3</v>
      </c>
      <c r="M254" s="6" t="n">
        <v>1.7</v>
      </c>
      <c r="N254" s="6" t="n">
        <v>0</v>
      </c>
      <c r="O254" s="5" t="inlineStr">
        <is>
          <t>02</t>
        </is>
      </c>
      <c r="P254" s="5" t="n">
        <v>2.2</v>
      </c>
      <c r="Q254" s="5" t="n">
        <v>10.3</v>
      </c>
    </row>
    <row r="255">
      <c r="A255" s="5" t="n">
        <v>9019</v>
      </c>
      <c r="B255" s="5" t="n">
        <v>22</v>
      </c>
      <c r="C255" s="5" t="inlineStr">
        <is>
          <t>COLOR. 66.46....NATURE COLOR 60G</t>
        </is>
      </c>
      <c r="D255" s="5" t="inlineStr">
        <is>
          <t>33059000</t>
        </is>
      </c>
      <c r="E255" s="5" t="inlineStr">
        <is>
          <t>5102</t>
        </is>
      </c>
      <c r="F255" s="6" t="n">
        <v>74.06999999999999</v>
      </c>
      <c r="G255" s="5" t="inlineStr">
        <is>
          <t>00</t>
        </is>
      </c>
      <c r="H255" s="6" t="n">
        <v>74.06999999999999</v>
      </c>
      <c r="I255" s="5" t="n">
        <v>19.5</v>
      </c>
      <c r="J255" s="6" t="n">
        <v>14.44</v>
      </c>
      <c r="K255" s="5" t="inlineStr">
        <is>
          <t>50</t>
        </is>
      </c>
      <c r="L255" s="5" t="n">
        <v>14.3</v>
      </c>
      <c r="M255" s="6" t="n">
        <v>9.27</v>
      </c>
      <c r="N255" s="6" t="n">
        <v>0</v>
      </c>
      <c r="O255" s="5" t="inlineStr">
        <is>
          <t>02</t>
        </is>
      </c>
      <c r="P255" s="5" t="n">
        <v>2.2</v>
      </c>
      <c r="Q255" s="5" t="n">
        <v>10.3</v>
      </c>
    </row>
    <row r="256">
      <c r="A256" s="5" t="n">
        <v>9019</v>
      </c>
      <c r="B256" s="5" t="n">
        <v>23</v>
      </c>
      <c r="C256" s="5" t="inlineStr">
        <is>
          <t>COLOR. 7.00.......NATURE COLOR 60G</t>
        </is>
      </c>
      <c r="D256" s="5" t="inlineStr">
        <is>
          <t>33059000</t>
        </is>
      </c>
      <c r="E256" s="5" t="inlineStr">
        <is>
          <t>5102</t>
        </is>
      </c>
      <c r="F256" s="6" t="n">
        <v>666.6</v>
      </c>
      <c r="G256" s="5" t="inlineStr">
        <is>
          <t>00</t>
        </is>
      </c>
      <c r="H256" s="6" t="n">
        <v>666.6</v>
      </c>
      <c r="I256" s="5" t="n">
        <v>19.5</v>
      </c>
      <c r="J256" s="6" t="n">
        <v>129.99</v>
      </c>
      <c r="K256" s="5" t="inlineStr">
        <is>
          <t>50</t>
        </is>
      </c>
      <c r="L256" s="5" t="n">
        <v>14.3</v>
      </c>
      <c r="M256" s="6" t="n">
        <v>83.40000000000001</v>
      </c>
      <c r="N256" s="6" t="n">
        <v>0</v>
      </c>
      <c r="O256" s="5" t="inlineStr">
        <is>
          <t>02</t>
        </is>
      </c>
      <c r="P256" s="5" t="n">
        <v>2.2</v>
      </c>
      <c r="Q256" s="5" t="n">
        <v>10.3</v>
      </c>
    </row>
    <row r="257">
      <c r="A257" s="5" t="n">
        <v>9019</v>
      </c>
      <c r="B257" s="5" t="n">
        <v>24</v>
      </c>
      <c r="C257" s="5" t="inlineStr">
        <is>
          <t>COLOR. 7.3.........NATURE COLOR 60G</t>
        </is>
      </c>
      <c r="D257" s="5" t="inlineStr">
        <is>
          <t>33059000</t>
        </is>
      </c>
      <c r="E257" s="5" t="inlineStr">
        <is>
          <t>5102</t>
        </is>
      </c>
      <c r="F257" s="6" t="n">
        <v>19.75</v>
      </c>
      <c r="G257" s="5" t="inlineStr">
        <is>
          <t>00</t>
        </is>
      </c>
      <c r="H257" s="6" t="n">
        <v>19.75</v>
      </c>
      <c r="I257" s="5" t="n">
        <v>19.5</v>
      </c>
      <c r="J257" s="6" t="n">
        <v>3.85</v>
      </c>
      <c r="K257" s="5" t="inlineStr">
        <is>
          <t>50</t>
        </is>
      </c>
      <c r="L257" s="5" t="n">
        <v>14.3</v>
      </c>
      <c r="M257" s="6" t="n">
        <v>2.47</v>
      </c>
      <c r="N257" s="6" t="n">
        <v>0</v>
      </c>
      <c r="O257" s="5" t="inlineStr">
        <is>
          <t>02</t>
        </is>
      </c>
      <c r="P257" s="5" t="n">
        <v>2.2</v>
      </c>
      <c r="Q257" s="5" t="n">
        <v>10.3</v>
      </c>
    </row>
    <row r="258">
      <c r="A258" s="5" t="n">
        <v>9019</v>
      </c>
      <c r="B258" s="5" t="n">
        <v>25</v>
      </c>
      <c r="C258" s="5" t="inlineStr">
        <is>
          <t>COLOR. 7.32.......NATURE COLOR 60G</t>
        </is>
      </c>
      <c r="D258" s="5" t="inlineStr">
        <is>
          <t>33059000</t>
        </is>
      </c>
      <c r="E258" s="5" t="inlineStr">
        <is>
          <t>5102</t>
        </is>
      </c>
      <c r="F258" s="6" t="n">
        <v>37.03</v>
      </c>
      <c r="G258" s="5" t="inlineStr">
        <is>
          <t>00</t>
        </is>
      </c>
      <c r="H258" s="6" t="n">
        <v>37.03</v>
      </c>
      <c r="I258" s="5" t="n">
        <v>19.5</v>
      </c>
      <c r="J258" s="6" t="n">
        <v>7.22</v>
      </c>
      <c r="K258" s="5" t="inlineStr">
        <is>
          <t>50</t>
        </is>
      </c>
      <c r="L258" s="5" t="n">
        <v>14.3</v>
      </c>
      <c r="M258" s="6" t="n">
        <v>4.63</v>
      </c>
      <c r="N258" s="6" t="n">
        <v>0</v>
      </c>
      <c r="O258" s="5" t="inlineStr">
        <is>
          <t>02</t>
        </is>
      </c>
      <c r="P258" s="5" t="n">
        <v>2.2</v>
      </c>
      <c r="Q258" s="5" t="n">
        <v>10.3</v>
      </c>
    </row>
    <row r="259">
      <c r="A259" s="5" t="n">
        <v>9019</v>
      </c>
      <c r="B259" s="5" t="n">
        <v>26</v>
      </c>
      <c r="C259" s="5" t="inlineStr">
        <is>
          <t>COLOR. 7.4.........NATURE COLOR 60G</t>
        </is>
      </c>
      <c r="D259" s="5" t="inlineStr">
        <is>
          <t>33059000</t>
        </is>
      </c>
      <c r="E259" s="5" t="inlineStr">
        <is>
          <t>5102</t>
        </is>
      </c>
      <c r="F259" s="6" t="n">
        <v>37.03</v>
      </c>
      <c r="G259" s="5" t="inlineStr">
        <is>
          <t>00</t>
        </is>
      </c>
      <c r="H259" s="6" t="n">
        <v>37.03</v>
      </c>
      <c r="I259" s="5" t="n">
        <v>19.5</v>
      </c>
      <c r="J259" s="6" t="n">
        <v>7.22</v>
      </c>
      <c r="K259" s="5" t="inlineStr">
        <is>
          <t>50</t>
        </is>
      </c>
      <c r="L259" s="5" t="n">
        <v>14.3</v>
      </c>
      <c r="M259" s="6" t="n">
        <v>4.63</v>
      </c>
      <c r="N259" s="6" t="n">
        <v>0</v>
      </c>
      <c r="O259" s="5" t="inlineStr">
        <is>
          <t>02</t>
        </is>
      </c>
      <c r="P259" s="5" t="n">
        <v>2.2</v>
      </c>
      <c r="Q259" s="5" t="n">
        <v>10.3</v>
      </c>
    </row>
    <row r="260">
      <c r="A260" s="5" t="n">
        <v>9019</v>
      </c>
      <c r="B260" s="5" t="n">
        <v>27</v>
      </c>
      <c r="C260" s="5" t="inlineStr">
        <is>
          <t>COLOR. 7.46.......NATURE COLOR 60G</t>
        </is>
      </c>
      <c r="D260" s="5" t="inlineStr">
        <is>
          <t>33059000</t>
        </is>
      </c>
      <c r="E260" s="5" t="inlineStr">
        <is>
          <t>5102</t>
        </is>
      </c>
      <c r="F260" s="6" t="n">
        <v>37.03</v>
      </c>
      <c r="G260" s="5" t="inlineStr">
        <is>
          <t>00</t>
        </is>
      </c>
      <c r="H260" s="6" t="n">
        <v>37.03</v>
      </c>
      <c r="I260" s="5" t="n">
        <v>19.5</v>
      </c>
      <c r="J260" s="6" t="n">
        <v>7.22</v>
      </c>
      <c r="K260" s="5" t="inlineStr">
        <is>
          <t>50</t>
        </is>
      </c>
      <c r="L260" s="5" t="n">
        <v>14.3</v>
      </c>
      <c r="M260" s="6" t="n">
        <v>4.63</v>
      </c>
      <c r="N260" s="6" t="n">
        <v>0</v>
      </c>
      <c r="O260" s="5" t="inlineStr">
        <is>
          <t>02</t>
        </is>
      </c>
      <c r="P260" s="5" t="n">
        <v>2.2</v>
      </c>
      <c r="Q260" s="5" t="n">
        <v>10.3</v>
      </c>
    </row>
    <row r="261">
      <c r="A261" s="5" t="n">
        <v>9019</v>
      </c>
      <c r="B261" s="5" t="n">
        <v>28</v>
      </c>
      <c r="C261" s="5" t="inlineStr">
        <is>
          <t>COLOR. 7.62.......NATURE COLOR 60G</t>
        </is>
      </c>
      <c r="D261" s="5" t="inlineStr">
        <is>
          <t>33059000</t>
        </is>
      </c>
      <c r="E261" s="5" t="inlineStr">
        <is>
          <t>5102</t>
        </is>
      </c>
      <c r="F261" s="6" t="n">
        <v>74.06999999999999</v>
      </c>
      <c r="G261" s="5" t="inlineStr">
        <is>
          <t>00</t>
        </is>
      </c>
      <c r="H261" s="6" t="n">
        <v>74.06999999999999</v>
      </c>
      <c r="I261" s="5" t="n">
        <v>19.5</v>
      </c>
      <c r="J261" s="6" t="n">
        <v>14.44</v>
      </c>
      <c r="K261" s="5" t="inlineStr">
        <is>
          <t>50</t>
        </is>
      </c>
      <c r="L261" s="5" t="n">
        <v>14.3</v>
      </c>
      <c r="M261" s="6" t="n">
        <v>9.27</v>
      </c>
      <c r="N261" s="6" t="n">
        <v>0</v>
      </c>
      <c r="O261" s="5" t="inlineStr">
        <is>
          <t>02</t>
        </is>
      </c>
      <c r="P261" s="5" t="n">
        <v>2.2</v>
      </c>
      <c r="Q261" s="5" t="n">
        <v>10.3</v>
      </c>
    </row>
    <row r="262">
      <c r="A262" s="5" t="n">
        <v>9019</v>
      </c>
      <c r="B262" s="5" t="n">
        <v>29</v>
      </c>
      <c r="C262" s="5" t="inlineStr">
        <is>
          <t>COLOR. 7.7.........NATURE COLOR 60G</t>
        </is>
      </c>
      <c r="D262" s="5" t="inlineStr">
        <is>
          <t>33059000</t>
        </is>
      </c>
      <c r="E262" s="5" t="inlineStr">
        <is>
          <t>5102</t>
        </is>
      </c>
      <c r="F262" s="6" t="n">
        <v>246.89</v>
      </c>
      <c r="G262" s="5" t="inlineStr">
        <is>
          <t>00</t>
        </is>
      </c>
      <c r="H262" s="6" t="n">
        <v>246.89</v>
      </c>
      <c r="I262" s="5" t="n">
        <v>19.5</v>
      </c>
      <c r="J262" s="6" t="n">
        <v>48.14</v>
      </c>
      <c r="K262" s="5" t="inlineStr">
        <is>
          <t>50</t>
        </is>
      </c>
      <c r="L262" s="5" t="n">
        <v>14.3</v>
      </c>
      <c r="M262" s="6" t="n">
        <v>30.89</v>
      </c>
      <c r="N262" s="6" t="n">
        <v>0</v>
      </c>
      <c r="O262" s="5" t="inlineStr">
        <is>
          <t>02</t>
        </is>
      </c>
      <c r="P262" s="5" t="n">
        <v>2.2</v>
      </c>
      <c r="Q262" s="5" t="n">
        <v>10.3</v>
      </c>
    </row>
    <row r="263">
      <c r="A263" s="5" t="n">
        <v>9019</v>
      </c>
      <c r="B263" s="5" t="n">
        <v>30</v>
      </c>
      <c r="C263" s="5" t="inlineStr">
        <is>
          <t>COLOR. 7.89......NATURE COLOR 60G</t>
        </is>
      </c>
      <c r="D263" s="5" t="inlineStr">
        <is>
          <t>33059000</t>
        </is>
      </c>
      <c r="E263" s="5" t="inlineStr">
        <is>
          <t>5102</t>
        </is>
      </c>
      <c r="F263" s="6" t="n">
        <v>49.38</v>
      </c>
      <c r="G263" s="5" t="inlineStr">
        <is>
          <t>00</t>
        </is>
      </c>
      <c r="H263" s="6" t="n">
        <v>49.38</v>
      </c>
      <c r="I263" s="5" t="n">
        <v>19.5</v>
      </c>
      <c r="J263" s="6" t="n">
        <v>9.630000000000001</v>
      </c>
      <c r="K263" s="5" t="inlineStr">
        <is>
          <t>50</t>
        </is>
      </c>
      <c r="L263" s="5" t="n">
        <v>14.3</v>
      </c>
      <c r="M263" s="6" t="n">
        <v>6.18</v>
      </c>
      <c r="N263" s="6" t="n">
        <v>0</v>
      </c>
      <c r="O263" s="5" t="inlineStr">
        <is>
          <t>02</t>
        </is>
      </c>
      <c r="P263" s="5" t="n">
        <v>2.2</v>
      </c>
      <c r="Q263" s="5" t="n">
        <v>10.3</v>
      </c>
    </row>
    <row r="264">
      <c r="A264" s="5" t="n">
        <v>9019</v>
      </c>
      <c r="B264" s="5" t="n">
        <v>31</v>
      </c>
      <c r="C264" s="5" t="inlineStr">
        <is>
          <t>COLOR. 8.1.........NATURE COLOR 60G</t>
        </is>
      </c>
      <c r="D264" s="5" t="inlineStr">
        <is>
          <t>33059000</t>
        </is>
      </c>
      <c r="E264" s="5" t="inlineStr">
        <is>
          <t>5102</t>
        </is>
      </c>
      <c r="F264" s="6" t="n">
        <v>49.38</v>
      </c>
      <c r="G264" s="5" t="inlineStr">
        <is>
          <t>00</t>
        </is>
      </c>
      <c r="H264" s="6" t="n">
        <v>49.38</v>
      </c>
      <c r="I264" s="5" t="n">
        <v>19.5</v>
      </c>
      <c r="J264" s="6" t="n">
        <v>9.630000000000001</v>
      </c>
      <c r="K264" s="5" t="inlineStr">
        <is>
          <t>50</t>
        </is>
      </c>
      <c r="L264" s="5" t="n">
        <v>14.3</v>
      </c>
      <c r="M264" s="6" t="n">
        <v>6.18</v>
      </c>
      <c r="N264" s="6" t="n">
        <v>0</v>
      </c>
      <c r="O264" s="5" t="inlineStr">
        <is>
          <t>02</t>
        </is>
      </c>
      <c r="P264" s="5" t="n">
        <v>2.2</v>
      </c>
      <c r="Q264" s="5" t="n">
        <v>10.3</v>
      </c>
    </row>
    <row r="265">
      <c r="A265" s="5" t="n">
        <v>9019</v>
      </c>
      <c r="B265" s="5" t="n">
        <v>32</v>
      </c>
      <c r="C265" s="5" t="inlineStr">
        <is>
          <t>COLOR. 8.66.......NATURE COLOR 60G</t>
        </is>
      </c>
      <c r="D265" s="5" t="inlineStr">
        <is>
          <t>33059000</t>
        </is>
      </c>
      <c r="E265" s="5" t="inlineStr">
        <is>
          <t>5102</t>
        </is>
      </c>
      <c r="F265" s="6" t="n">
        <v>55.55</v>
      </c>
      <c r="G265" s="5" t="inlineStr">
        <is>
          <t>00</t>
        </is>
      </c>
      <c r="H265" s="6" t="n">
        <v>55.55</v>
      </c>
      <c r="I265" s="5" t="n">
        <v>19.5</v>
      </c>
      <c r="J265" s="6" t="n">
        <v>10.83</v>
      </c>
      <c r="K265" s="5" t="inlineStr">
        <is>
          <t>50</t>
        </is>
      </c>
      <c r="L265" s="5" t="n">
        <v>14.3</v>
      </c>
      <c r="M265" s="6" t="n">
        <v>6.95</v>
      </c>
      <c r="N265" s="6" t="n">
        <v>0</v>
      </c>
      <c r="O265" s="5" t="inlineStr">
        <is>
          <t>02</t>
        </is>
      </c>
      <c r="P265" s="5" t="n">
        <v>2.2</v>
      </c>
      <c r="Q265" s="5" t="n">
        <v>10.3</v>
      </c>
    </row>
    <row r="266">
      <c r="A266" s="5" t="n">
        <v>9019</v>
      </c>
      <c r="B266" s="5" t="n">
        <v>33</v>
      </c>
      <c r="C266" s="5" t="inlineStr">
        <is>
          <t>COLOR. 8.89......NATURE COLOR 60G</t>
        </is>
      </c>
      <c r="D266" s="5" t="inlineStr">
        <is>
          <t>33059000</t>
        </is>
      </c>
      <c r="E266" s="5" t="inlineStr">
        <is>
          <t>5102</t>
        </is>
      </c>
      <c r="F266" s="6" t="n">
        <v>111.1</v>
      </c>
      <c r="G266" s="5" t="inlineStr">
        <is>
          <t>00</t>
        </is>
      </c>
      <c r="H266" s="6" t="n">
        <v>111.1</v>
      </c>
      <c r="I266" s="5" t="n">
        <v>19.5</v>
      </c>
      <c r="J266" s="6" t="n">
        <v>21.66</v>
      </c>
      <c r="K266" s="5" t="inlineStr">
        <is>
          <t>50</t>
        </is>
      </c>
      <c r="L266" s="5" t="n">
        <v>14.3</v>
      </c>
      <c r="M266" s="6" t="n">
        <v>13.9</v>
      </c>
      <c r="N266" s="6" t="n">
        <v>0</v>
      </c>
      <c r="O266" s="5" t="inlineStr">
        <is>
          <t>02</t>
        </is>
      </c>
      <c r="P266" s="5" t="n">
        <v>2.2</v>
      </c>
      <c r="Q266" s="5" t="n">
        <v>10.3</v>
      </c>
    </row>
    <row r="267">
      <c r="A267" s="5" t="n">
        <v>9019</v>
      </c>
      <c r="B267" s="5" t="n">
        <v>34</v>
      </c>
      <c r="C267" s="5" t="inlineStr">
        <is>
          <t>COLOR. 9.1..........NATURE COLOR 60G</t>
        </is>
      </c>
      <c r="D267" s="5" t="inlineStr">
        <is>
          <t>33059000</t>
        </is>
      </c>
      <c r="E267" s="5" t="inlineStr">
        <is>
          <t>5102</t>
        </is>
      </c>
      <c r="F267" s="6" t="n">
        <v>111.1</v>
      </c>
      <c r="G267" s="5" t="inlineStr">
        <is>
          <t>00</t>
        </is>
      </c>
      <c r="H267" s="6" t="n">
        <v>111.1</v>
      </c>
      <c r="I267" s="5" t="n">
        <v>19.5</v>
      </c>
      <c r="J267" s="6" t="n">
        <v>21.66</v>
      </c>
      <c r="K267" s="5" t="inlineStr">
        <is>
          <t>50</t>
        </is>
      </c>
      <c r="L267" s="5" t="n">
        <v>14.3</v>
      </c>
      <c r="M267" s="6" t="n">
        <v>13.9</v>
      </c>
      <c r="N267" s="6" t="n">
        <v>0</v>
      </c>
      <c r="O267" s="5" t="inlineStr">
        <is>
          <t>02</t>
        </is>
      </c>
      <c r="P267" s="5" t="n">
        <v>2.2</v>
      </c>
      <c r="Q267" s="5" t="n">
        <v>10.3</v>
      </c>
    </row>
    <row r="268">
      <c r="A268" s="5" t="n">
        <v>9019</v>
      </c>
      <c r="B268" s="5" t="n">
        <v>35</v>
      </c>
      <c r="C268" s="5" t="inlineStr">
        <is>
          <t>COLOR. 9.2.........NATURE COLOR 60G</t>
        </is>
      </c>
      <c r="D268" s="5" t="inlineStr">
        <is>
          <t>33059000</t>
        </is>
      </c>
      <c r="E268" s="5" t="inlineStr">
        <is>
          <t>5102</t>
        </is>
      </c>
      <c r="F268" s="6" t="n">
        <v>25.92</v>
      </c>
      <c r="G268" s="5" t="inlineStr">
        <is>
          <t>00</t>
        </is>
      </c>
      <c r="H268" s="6" t="n">
        <v>25.92</v>
      </c>
      <c r="I268" s="5" t="n">
        <v>19.5</v>
      </c>
      <c r="J268" s="6" t="n">
        <v>5.05</v>
      </c>
      <c r="K268" s="5" t="inlineStr">
        <is>
          <t>50</t>
        </is>
      </c>
      <c r="L268" s="5" t="n">
        <v>14.3</v>
      </c>
      <c r="M268" s="6" t="n">
        <v>3.24</v>
      </c>
      <c r="N268" s="6" t="n">
        <v>0</v>
      </c>
      <c r="O268" s="5" t="inlineStr">
        <is>
          <t>02</t>
        </is>
      </c>
      <c r="P268" s="5" t="n">
        <v>2.2</v>
      </c>
      <c r="Q268" s="5" t="n">
        <v>10.3</v>
      </c>
    </row>
    <row r="269">
      <c r="A269" s="5" t="n">
        <v>9019</v>
      </c>
      <c r="B269" s="5" t="n">
        <v>36</v>
      </c>
      <c r="C269" s="5" t="inlineStr">
        <is>
          <t>COLOR. 9.89.......NATURE COLOR 60G</t>
        </is>
      </c>
      <c r="D269" s="5" t="inlineStr">
        <is>
          <t>33059000</t>
        </is>
      </c>
      <c r="E269" s="5" t="inlineStr">
        <is>
          <t>5102</t>
        </is>
      </c>
      <c r="F269" s="6" t="n">
        <v>111.1</v>
      </c>
      <c r="G269" s="5" t="inlineStr">
        <is>
          <t>00</t>
        </is>
      </c>
      <c r="H269" s="6" t="n">
        <v>111.1</v>
      </c>
      <c r="I269" s="5" t="n">
        <v>19.5</v>
      </c>
      <c r="J269" s="6" t="n">
        <v>21.66</v>
      </c>
      <c r="K269" s="5" t="inlineStr">
        <is>
          <t>50</t>
        </is>
      </c>
      <c r="L269" s="5" t="n">
        <v>14.3</v>
      </c>
      <c r="M269" s="6" t="n">
        <v>13.9</v>
      </c>
      <c r="N269" s="6" t="n">
        <v>0</v>
      </c>
      <c r="O269" s="5" t="inlineStr">
        <is>
          <t>02</t>
        </is>
      </c>
      <c r="P269" s="5" t="n">
        <v>2.2</v>
      </c>
      <c r="Q269" s="5" t="n">
        <v>10.3</v>
      </c>
    </row>
    <row r="270">
      <c r="A270" s="5" t="n">
        <v>9019</v>
      </c>
      <c r="B270" s="5" t="n">
        <v>37</v>
      </c>
      <c r="C270" s="5" t="inlineStr">
        <is>
          <t>TONALIZANTE 1.1 .......... NATURE TON 60 GR</t>
        </is>
      </c>
      <c r="D270" s="5" t="inlineStr">
        <is>
          <t>33059000</t>
        </is>
      </c>
      <c r="E270" s="5" t="inlineStr">
        <is>
          <t>5102</t>
        </is>
      </c>
      <c r="F270" s="6" t="n">
        <v>74.06999999999999</v>
      </c>
      <c r="G270" s="5" t="inlineStr">
        <is>
          <t>00</t>
        </is>
      </c>
      <c r="H270" s="6" t="n">
        <v>74.06999999999999</v>
      </c>
      <c r="I270" s="5" t="n">
        <v>19.5</v>
      </c>
      <c r="J270" s="6" t="n">
        <v>14.44</v>
      </c>
      <c r="K270" s="5" t="inlineStr">
        <is>
          <t>50</t>
        </is>
      </c>
      <c r="L270" s="5" t="n">
        <v>14.3</v>
      </c>
      <c r="M270" s="6" t="n">
        <v>9.27</v>
      </c>
      <c r="N270" s="6" t="n">
        <v>0</v>
      </c>
      <c r="O270" s="5" t="inlineStr">
        <is>
          <t>02</t>
        </is>
      </c>
      <c r="P270" s="5" t="n">
        <v>2.2</v>
      </c>
      <c r="Q270" s="5" t="n">
        <v>10.3</v>
      </c>
    </row>
    <row r="271">
      <c r="A271" s="5" t="n">
        <v>9019</v>
      </c>
      <c r="B271" s="5" t="n">
        <v>38</v>
      </c>
      <c r="C271" s="5" t="inlineStr">
        <is>
          <t>TONALIZANTE 6 .......... NATURE TON 60 GR</t>
        </is>
      </c>
      <c r="D271" s="5" t="inlineStr">
        <is>
          <t>33059000</t>
        </is>
      </c>
      <c r="E271" s="5" t="inlineStr">
        <is>
          <t>5102</t>
        </is>
      </c>
      <c r="F271" s="6" t="n">
        <v>148.13</v>
      </c>
      <c r="G271" s="5" t="inlineStr">
        <is>
          <t>00</t>
        </is>
      </c>
      <c r="H271" s="6" t="n">
        <v>148.13</v>
      </c>
      <c r="I271" s="5" t="n">
        <v>19.5</v>
      </c>
      <c r="J271" s="6" t="n">
        <v>28.89</v>
      </c>
      <c r="K271" s="5" t="inlineStr">
        <is>
          <t>50</t>
        </is>
      </c>
      <c r="L271" s="5" t="n">
        <v>14.3</v>
      </c>
      <c r="M271" s="6" t="n">
        <v>18.53</v>
      </c>
      <c r="N271" s="6" t="n">
        <v>0</v>
      </c>
      <c r="O271" s="5" t="inlineStr">
        <is>
          <t>02</t>
        </is>
      </c>
      <c r="P271" s="5" t="n">
        <v>2.2</v>
      </c>
      <c r="Q271" s="5" t="n">
        <v>10.3</v>
      </c>
    </row>
    <row r="272">
      <c r="A272" s="5" t="n">
        <v>9019</v>
      </c>
      <c r="B272" s="5" t="n">
        <v>39</v>
      </c>
      <c r="C272" s="5" t="inlineStr">
        <is>
          <t>TONALIZANTE 6.7 .......... NATURE TON 60 GR</t>
        </is>
      </c>
      <c r="D272" s="5" t="inlineStr">
        <is>
          <t>33059000</t>
        </is>
      </c>
      <c r="E272" s="5" t="inlineStr">
        <is>
          <t>5102</t>
        </is>
      </c>
      <c r="F272" s="6" t="n">
        <v>148.13</v>
      </c>
      <c r="G272" s="5" t="inlineStr">
        <is>
          <t>00</t>
        </is>
      </c>
      <c r="H272" s="6" t="n">
        <v>148.13</v>
      </c>
      <c r="I272" s="5" t="n">
        <v>19.5</v>
      </c>
      <c r="J272" s="6" t="n">
        <v>28.89</v>
      </c>
      <c r="K272" s="5" t="inlineStr">
        <is>
          <t>50</t>
        </is>
      </c>
      <c r="L272" s="5" t="n">
        <v>14.3</v>
      </c>
      <c r="M272" s="6" t="n">
        <v>18.53</v>
      </c>
      <c r="N272" s="6" t="n">
        <v>0</v>
      </c>
      <c r="O272" s="5" t="inlineStr">
        <is>
          <t>02</t>
        </is>
      </c>
      <c r="P272" s="5" t="n">
        <v>2.2</v>
      </c>
      <c r="Q272" s="5" t="n">
        <v>10.3</v>
      </c>
    </row>
    <row r="273">
      <c r="A273" s="5" t="n">
        <v>9019</v>
      </c>
      <c r="B273" s="5" t="n">
        <v>40</v>
      </c>
      <c r="C273" s="5" t="inlineStr">
        <is>
          <t>TONALIZANTE 7.1 .......... NATURE TON 60 GR</t>
        </is>
      </c>
      <c r="D273" s="5" t="inlineStr">
        <is>
          <t>33059000</t>
        </is>
      </c>
      <c r="E273" s="5" t="inlineStr">
        <is>
          <t>5102</t>
        </is>
      </c>
      <c r="F273" s="6" t="n">
        <v>148.13</v>
      </c>
      <c r="G273" s="5" t="inlineStr">
        <is>
          <t>00</t>
        </is>
      </c>
      <c r="H273" s="6" t="n">
        <v>148.13</v>
      </c>
      <c r="I273" s="5" t="n">
        <v>19.5</v>
      </c>
      <c r="J273" s="6" t="n">
        <v>28.89</v>
      </c>
      <c r="K273" s="5" t="inlineStr">
        <is>
          <t>50</t>
        </is>
      </c>
      <c r="L273" s="5" t="n">
        <v>14.3</v>
      </c>
      <c r="M273" s="6" t="n">
        <v>18.53</v>
      </c>
      <c r="N273" s="6" t="n">
        <v>0</v>
      </c>
      <c r="O273" s="5" t="inlineStr">
        <is>
          <t>02</t>
        </is>
      </c>
      <c r="P273" s="5" t="n">
        <v>2.2</v>
      </c>
      <c r="Q273" s="5" t="n">
        <v>10.3</v>
      </c>
    </row>
    <row r="274">
      <c r="A274" s="5" t="n">
        <v>9019</v>
      </c>
      <c r="B274" s="5" t="n">
        <v>41</v>
      </c>
      <c r="C274" s="5" t="inlineStr">
        <is>
          <t>TONALIZANTE 10.89 .......... NATURE TON 60 GR</t>
        </is>
      </c>
      <c r="D274" s="5" t="inlineStr">
        <is>
          <t>33059000</t>
        </is>
      </c>
      <c r="E274" s="5" t="inlineStr">
        <is>
          <t>5102</t>
        </is>
      </c>
      <c r="F274" s="6" t="n">
        <v>148.13</v>
      </c>
      <c r="G274" s="5" t="inlineStr">
        <is>
          <t>00</t>
        </is>
      </c>
      <c r="H274" s="6" t="n">
        <v>148.13</v>
      </c>
      <c r="I274" s="5" t="n">
        <v>19.5</v>
      </c>
      <c r="J274" s="6" t="n">
        <v>28.89</v>
      </c>
      <c r="K274" s="5" t="inlineStr">
        <is>
          <t>50</t>
        </is>
      </c>
      <c r="L274" s="5" t="n">
        <v>14.3</v>
      </c>
      <c r="M274" s="6" t="n">
        <v>18.53</v>
      </c>
      <c r="N274" s="6" t="n">
        <v>0</v>
      </c>
      <c r="O274" s="5" t="inlineStr">
        <is>
          <t>02</t>
        </is>
      </c>
      <c r="P274" s="5" t="n">
        <v>2.2</v>
      </c>
      <c r="Q274" s="5" t="n">
        <v>10.3</v>
      </c>
    </row>
    <row r="275">
      <c r="A275" s="5" t="n">
        <v>9020</v>
      </c>
      <c r="B275" s="5" t="n">
        <v>1</v>
      </c>
      <c r="C275" s="5" t="inlineStr">
        <is>
          <t>FRASCO IMPRESSO OX 30V 900ML MIX ETERNIZE</t>
        </is>
      </c>
      <c r="D275" s="5" t="inlineStr">
        <is>
          <t>39233090</t>
        </is>
      </c>
      <c r="E275" s="5" t="inlineStr">
        <is>
          <t>6124</t>
        </is>
      </c>
      <c r="F275" s="6" t="n">
        <v>600</v>
      </c>
      <c r="G275" s="5" t="inlineStr">
        <is>
          <t>41</t>
        </is>
      </c>
      <c r="H275" s="6" t="n">
        <v>0</v>
      </c>
      <c r="I275" s="5" t="n">
        <v>0</v>
      </c>
      <c r="J275" s="6" t="n">
        <v>0</v>
      </c>
      <c r="K275" s="5" t="n"/>
      <c r="L275" s="5" t="n">
        <v>0</v>
      </c>
      <c r="M275" s="6" t="n">
        <v>0</v>
      </c>
      <c r="N275" s="6" t="n">
        <v>0</v>
      </c>
      <c r="O275" s="5" t="inlineStr">
        <is>
          <t>49</t>
        </is>
      </c>
      <c r="P275" s="5" t="n">
        <v>0</v>
      </c>
      <c r="Q275" s="5" t="n">
        <v>0</v>
      </c>
    </row>
    <row r="276">
      <c r="A276" s="5" t="n">
        <v>9021</v>
      </c>
      <c r="B276" s="5" t="n">
        <v>1</v>
      </c>
      <c r="C276" s="5" t="inlineStr">
        <is>
          <t>FRASCO IMPRESSO OX 30V 900ML MIX ETERNIZE</t>
        </is>
      </c>
      <c r="D276" s="5" t="inlineStr">
        <is>
          <t>39233090</t>
        </is>
      </c>
      <c r="E276" s="5" t="inlineStr">
        <is>
          <t>5124</t>
        </is>
      </c>
      <c r="F276" s="6" t="n">
        <v>300</v>
      </c>
      <c r="G276" s="5" t="inlineStr">
        <is>
          <t>41</t>
        </is>
      </c>
      <c r="H276" s="6" t="n">
        <v>0</v>
      </c>
      <c r="I276" s="5" t="n">
        <v>0</v>
      </c>
      <c r="J276" s="6" t="n">
        <v>0</v>
      </c>
      <c r="K276" s="5" t="n"/>
      <c r="L276" s="5" t="n">
        <v>0</v>
      </c>
      <c r="M276" s="6" t="n">
        <v>0</v>
      </c>
      <c r="N276" s="6" t="n">
        <v>0</v>
      </c>
      <c r="O276" s="5" t="inlineStr">
        <is>
          <t>49</t>
        </is>
      </c>
      <c r="P276" s="5" t="n">
        <v>0</v>
      </c>
      <c r="Q276" s="5" t="n">
        <v>0</v>
      </c>
    </row>
    <row r="277">
      <c r="A277" s="5" t="n">
        <v>9022</v>
      </c>
      <c r="B277" s="5" t="n">
        <v>1</v>
      </c>
      <c r="C277" s="5" t="inlineStr">
        <is>
          <t>OXIDANTE ESAINT............6 VOL 900ML</t>
        </is>
      </c>
      <c r="D277" s="5" t="inlineStr">
        <is>
          <t>28470000</t>
        </is>
      </c>
      <c r="E277" s="5" t="inlineStr">
        <is>
          <t>5101</t>
        </is>
      </c>
      <c r="F277" s="6" t="n">
        <v>3288</v>
      </c>
      <c r="G277" s="5" t="inlineStr">
        <is>
          <t>00</t>
        </is>
      </c>
      <c r="H277" s="6" t="n">
        <v>3288</v>
      </c>
      <c r="I277" s="5" t="n">
        <v>19.5</v>
      </c>
      <c r="J277" s="6" t="n">
        <v>641.16</v>
      </c>
      <c r="K277" s="5" t="inlineStr">
        <is>
          <t>51</t>
        </is>
      </c>
      <c r="L277" s="5" t="n">
        <v>0</v>
      </c>
      <c r="M277" s="6" t="n">
        <v>0</v>
      </c>
      <c r="N277" s="6" t="n">
        <v>0</v>
      </c>
      <c r="O277" s="5" t="inlineStr">
        <is>
          <t>02</t>
        </is>
      </c>
      <c r="P277" s="5" t="n">
        <v>2.2</v>
      </c>
      <c r="Q277" s="5" t="n">
        <v>10.3</v>
      </c>
    </row>
    <row r="278">
      <c r="A278" s="5" t="n">
        <v>9023</v>
      </c>
      <c r="B278" s="5" t="n">
        <v>1</v>
      </c>
      <c r="C278" s="5" t="inlineStr">
        <is>
          <t>OXIDANTE ETERNIZE 30 VOL 900ML</t>
        </is>
      </c>
      <c r="D278" s="5" t="inlineStr">
        <is>
          <t>28470000</t>
        </is>
      </c>
      <c r="E278" s="5" t="inlineStr">
        <is>
          <t>5124</t>
        </is>
      </c>
      <c r="F278" s="6" t="n">
        <v>1900</v>
      </c>
      <c r="G278" s="5" t="inlineStr">
        <is>
          <t>51</t>
        </is>
      </c>
      <c r="H278" s="6" t="n">
        <v>1900</v>
      </c>
      <c r="I278" s="5" t="n">
        <v>19.5</v>
      </c>
      <c r="J278" s="6" t="n">
        <v>0</v>
      </c>
      <c r="K278" s="5" t="inlineStr">
        <is>
          <t>55</t>
        </is>
      </c>
      <c r="L278" s="5" t="n">
        <v>0</v>
      </c>
      <c r="M278" s="6" t="n">
        <v>0</v>
      </c>
      <c r="N278" s="6" t="n">
        <v>0</v>
      </c>
      <c r="O278" s="5" t="inlineStr">
        <is>
          <t>02</t>
        </is>
      </c>
      <c r="P278" s="5" t="n">
        <v>2.2</v>
      </c>
      <c r="Q278" s="5" t="n">
        <v>10.3</v>
      </c>
    </row>
    <row r="279">
      <c r="A279" s="5" t="n">
        <v>9024</v>
      </c>
      <c r="B279" s="5" t="n">
        <v>1</v>
      </c>
      <c r="C279" s="5" t="inlineStr">
        <is>
          <t>FRASCO IMPRESSO OX 30V 900ML MIX ETERNIZE</t>
        </is>
      </c>
      <c r="D279" s="5" t="inlineStr">
        <is>
          <t>39233090</t>
        </is>
      </c>
      <c r="E279" s="5" t="inlineStr">
        <is>
          <t>5902</t>
        </is>
      </c>
      <c r="F279" s="6" t="n">
        <v>300</v>
      </c>
      <c r="G279" s="5" t="inlineStr">
        <is>
          <t>41</t>
        </is>
      </c>
      <c r="H279" s="6" t="n">
        <v>0</v>
      </c>
      <c r="I279" s="5" t="n">
        <v>0</v>
      </c>
      <c r="J279" s="6" t="n">
        <v>0</v>
      </c>
      <c r="K279" s="5" t="n"/>
      <c r="L279" s="5" t="n">
        <v>0</v>
      </c>
      <c r="M279" s="6" t="n">
        <v>0</v>
      </c>
      <c r="N279" s="6" t="n">
        <v>0</v>
      </c>
      <c r="O279" s="5" t="inlineStr">
        <is>
          <t>49</t>
        </is>
      </c>
      <c r="P279" s="5" t="n">
        <v>0</v>
      </c>
      <c r="Q279" s="5" t="n">
        <v>0</v>
      </c>
    </row>
    <row r="280">
      <c r="A280" s="5" t="n">
        <v>9025</v>
      </c>
      <c r="B280" s="5" t="n">
        <v>1</v>
      </c>
      <c r="C280" s="5" t="inlineStr">
        <is>
          <t>OXIDANTE ETERNIZE 30 VOL 900ML</t>
        </is>
      </c>
      <c r="D280" s="5" t="inlineStr">
        <is>
          <t>28470000</t>
        </is>
      </c>
      <c r="E280" s="5" t="inlineStr">
        <is>
          <t>6124</t>
        </is>
      </c>
      <c r="F280" s="6" t="n">
        <v>3980</v>
      </c>
      <c r="G280" s="5" t="inlineStr">
        <is>
          <t>00</t>
        </is>
      </c>
      <c r="H280" s="6" t="n">
        <v>3980</v>
      </c>
      <c r="I280" s="5" t="n">
        <v>7</v>
      </c>
      <c r="J280" s="6" t="n">
        <v>278.6</v>
      </c>
      <c r="K280" s="5" t="inlineStr">
        <is>
          <t>55</t>
        </is>
      </c>
      <c r="L280" s="5" t="n">
        <v>0</v>
      </c>
      <c r="M280" s="6" t="n">
        <v>0</v>
      </c>
      <c r="N280" s="6" t="n">
        <v>0</v>
      </c>
      <c r="O280" s="5" t="inlineStr">
        <is>
          <t>02</t>
        </is>
      </c>
      <c r="P280" s="5" t="n">
        <v>2.2</v>
      </c>
      <c r="Q280" s="5" t="n">
        <v>10.3</v>
      </c>
    </row>
    <row r="281">
      <c r="A281" s="5" t="n">
        <v>9026</v>
      </c>
      <c r="B281" s="5" t="n">
        <v>1</v>
      </c>
      <c r="C281" s="5" t="inlineStr">
        <is>
          <t>FRASCO IMPRESSO OX 30V 900ML MIX ETERNIZE</t>
        </is>
      </c>
      <c r="D281" s="5" t="inlineStr">
        <is>
          <t>39233090</t>
        </is>
      </c>
      <c r="E281" s="5" t="inlineStr">
        <is>
          <t>6902</t>
        </is>
      </c>
      <c r="F281" s="6" t="n">
        <v>600</v>
      </c>
      <c r="G281" s="5" t="inlineStr">
        <is>
          <t>41</t>
        </is>
      </c>
      <c r="H281" s="6" t="n">
        <v>0</v>
      </c>
      <c r="I281" s="5" t="n">
        <v>0</v>
      </c>
      <c r="J281" s="6" t="n">
        <v>0</v>
      </c>
      <c r="K281" s="5" t="n"/>
      <c r="L281" s="5" t="n">
        <v>0</v>
      </c>
      <c r="M281" s="6" t="n">
        <v>0</v>
      </c>
      <c r="N281" s="6" t="n">
        <v>0</v>
      </c>
      <c r="O281" s="5" t="inlineStr">
        <is>
          <t>49</t>
        </is>
      </c>
      <c r="P281" s="5" t="n">
        <v>0</v>
      </c>
      <c r="Q281" s="5" t="n">
        <v>0</v>
      </c>
    </row>
    <row r="282">
      <c r="A282" s="5" t="n">
        <v>9027</v>
      </c>
      <c r="B282" s="5" t="n">
        <v>1</v>
      </c>
      <c r="C282" s="5" t="inlineStr">
        <is>
          <t>COLOR. 12.89......... MAXX COLOR 60G</t>
        </is>
      </c>
      <c r="D282" s="5" t="inlineStr">
        <is>
          <t>33059000</t>
        </is>
      </c>
      <c r="E282" s="5" t="inlineStr">
        <is>
          <t>6124</t>
        </is>
      </c>
      <c r="F282" s="6" t="n">
        <v>768</v>
      </c>
      <c r="G282" s="5" t="inlineStr">
        <is>
          <t>00</t>
        </is>
      </c>
      <c r="H282" s="6" t="n">
        <v>768</v>
      </c>
      <c r="I282" s="5" t="n">
        <v>12</v>
      </c>
      <c r="J282" s="6" t="n">
        <v>92.16</v>
      </c>
      <c r="K282" s="5" t="inlineStr">
        <is>
          <t>55</t>
        </is>
      </c>
      <c r="L282" s="5" t="n">
        <v>0</v>
      </c>
      <c r="M282" s="6" t="n">
        <v>0</v>
      </c>
      <c r="N282" s="6" t="n">
        <v>0</v>
      </c>
      <c r="O282" s="5" t="inlineStr">
        <is>
          <t>02</t>
        </is>
      </c>
      <c r="P282" s="5" t="n">
        <v>2.2</v>
      </c>
      <c r="Q282" s="5" t="n">
        <v>10.3</v>
      </c>
    </row>
    <row r="283">
      <c r="A283" s="5" t="n">
        <v>9027</v>
      </c>
      <c r="B283" s="5" t="n">
        <v>2</v>
      </c>
      <c r="C283" s="5" t="inlineStr">
        <is>
          <t>COLOR. 8................ MAXX COLOR 60G</t>
        </is>
      </c>
      <c r="D283" s="5" t="inlineStr">
        <is>
          <t>33059000</t>
        </is>
      </c>
      <c r="E283" s="5" t="inlineStr">
        <is>
          <t>6124</t>
        </is>
      </c>
      <c r="F283" s="6" t="n">
        <v>1656</v>
      </c>
      <c r="G283" s="5" t="inlineStr">
        <is>
          <t>00</t>
        </is>
      </c>
      <c r="H283" s="6" t="n">
        <v>1656</v>
      </c>
      <c r="I283" s="5" t="n">
        <v>12</v>
      </c>
      <c r="J283" s="6" t="n">
        <v>198.72</v>
      </c>
      <c r="K283" s="5" t="inlineStr">
        <is>
          <t>55</t>
        </is>
      </c>
      <c r="L283" s="5" t="n">
        <v>0</v>
      </c>
      <c r="M283" s="6" t="n">
        <v>0</v>
      </c>
      <c r="N283" s="6" t="n">
        <v>0</v>
      </c>
      <c r="O283" s="5" t="inlineStr">
        <is>
          <t>02</t>
        </is>
      </c>
      <c r="P283" s="5" t="n">
        <v>2.2</v>
      </c>
      <c r="Q283" s="5" t="n">
        <v>10.3</v>
      </c>
    </row>
    <row r="284">
      <c r="A284" s="5" t="n">
        <v>9028</v>
      </c>
      <c r="B284" s="5" t="n">
        <v>1</v>
      </c>
      <c r="C284" s="5" t="inlineStr">
        <is>
          <t>CARTUCHO COLORACAO MAXX COLOR 60G</t>
        </is>
      </c>
      <c r="D284" s="5" t="inlineStr">
        <is>
          <t>48191000</t>
        </is>
      </c>
      <c r="E284" s="5" t="inlineStr">
        <is>
          <t>6902</t>
        </is>
      </c>
      <c r="F284" s="6" t="n">
        <v>158.4</v>
      </c>
      <c r="G284" s="5" t="inlineStr">
        <is>
          <t>41</t>
        </is>
      </c>
      <c r="H284" s="6" t="n">
        <v>0</v>
      </c>
      <c r="I284" s="5" t="n">
        <v>0</v>
      </c>
      <c r="J284" s="6" t="n">
        <v>0</v>
      </c>
      <c r="K284" s="5" t="n"/>
      <c r="L284" s="5" t="n">
        <v>0</v>
      </c>
      <c r="M284" s="6" t="n">
        <v>0</v>
      </c>
      <c r="N284" s="6" t="n">
        <v>0</v>
      </c>
      <c r="O284" s="5" t="inlineStr">
        <is>
          <t>49</t>
        </is>
      </c>
      <c r="P284" s="5" t="n">
        <v>0</v>
      </c>
      <c r="Q284" s="5" t="n">
        <v>0</v>
      </c>
    </row>
    <row r="285">
      <c r="A285" s="5" t="n">
        <v>9028</v>
      </c>
      <c r="B285" s="5" t="n">
        <v>2</v>
      </c>
      <c r="C285" s="5" t="inlineStr">
        <is>
          <t>BISNAGA COLORACAO ALUMINIO MAXX COLOR 60G</t>
        </is>
      </c>
      <c r="D285" s="5" t="inlineStr">
        <is>
          <t>76121000</t>
        </is>
      </c>
      <c r="E285" s="5" t="inlineStr">
        <is>
          <t>6902</t>
        </is>
      </c>
      <c r="F285" s="6" t="n">
        <v>324</v>
      </c>
      <c r="G285" s="5" t="inlineStr">
        <is>
          <t>41</t>
        </is>
      </c>
      <c r="H285" s="6" t="n">
        <v>0</v>
      </c>
      <c r="I285" s="5" t="n">
        <v>0</v>
      </c>
      <c r="J285" s="6" t="n">
        <v>0</v>
      </c>
      <c r="K285" s="5" t="n"/>
      <c r="L285" s="5" t="n">
        <v>0</v>
      </c>
      <c r="M285" s="6" t="n">
        <v>0</v>
      </c>
      <c r="N285" s="6" t="n">
        <v>0</v>
      </c>
      <c r="O285" s="5" t="inlineStr">
        <is>
          <t>49</t>
        </is>
      </c>
      <c r="P285" s="5" t="n">
        <v>0</v>
      </c>
      <c r="Q285" s="5" t="n">
        <v>0</v>
      </c>
    </row>
    <row r="286">
      <c r="A286" s="5" t="n">
        <v>9028</v>
      </c>
      <c r="B286" s="5" t="n">
        <v>3</v>
      </c>
      <c r="C286" s="5" t="inlineStr">
        <is>
          <t>CAIXA MASTER COLORACAO MAXX COLOR 60G</t>
        </is>
      </c>
      <c r="D286" s="5" t="inlineStr">
        <is>
          <t>48191000</t>
        </is>
      </c>
      <c r="E286" s="5" t="inlineStr">
        <is>
          <t>6902</t>
        </is>
      </c>
      <c r="F286" s="6" t="n">
        <v>17.7</v>
      </c>
      <c r="G286" s="5" t="inlineStr">
        <is>
          <t>41</t>
        </is>
      </c>
      <c r="H286" s="6" t="n">
        <v>0</v>
      </c>
      <c r="I286" s="5" t="n">
        <v>0</v>
      </c>
      <c r="J286" s="6" t="n">
        <v>0</v>
      </c>
      <c r="K286" s="5" t="n"/>
      <c r="L286" s="5" t="n">
        <v>0</v>
      </c>
      <c r="M286" s="6" t="n">
        <v>0</v>
      </c>
      <c r="N286" s="6" t="n">
        <v>0</v>
      </c>
      <c r="O286" s="5" t="inlineStr">
        <is>
          <t>49</t>
        </is>
      </c>
      <c r="P286" s="5" t="n">
        <v>0</v>
      </c>
      <c r="Q286" s="5" t="n">
        <v>0</v>
      </c>
    </row>
    <row r="287">
      <c r="A287" s="5" t="n">
        <v>9029</v>
      </c>
      <c r="B287" s="5" t="n">
        <v>1</v>
      </c>
      <c r="C287" s="5" t="inlineStr">
        <is>
          <t>COLOR. 6...........PRO TB 60G</t>
        </is>
      </c>
      <c r="D287" s="5" t="inlineStr">
        <is>
          <t>33059000</t>
        </is>
      </c>
      <c r="E287" s="5" t="inlineStr">
        <is>
          <t>6124</t>
        </is>
      </c>
      <c r="F287" s="6" t="n">
        <v>1016.11</v>
      </c>
      <c r="G287" s="5" t="inlineStr">
        <is>
          <t>00</t>
        </is>
      </c>
      <c r="H287" s="6" t="n">
        <v>1016.11</v>
      </c>
      <c r="I287" s="5" t="n">
        <v>12</v>
      </c>
      <c r="J287" s="6" t="n">
        <v>121.93</v>
      </c>
      <c r="K287" s="5" t="inlineStr">
        <is>
          <t>55</t>
        </is>
      </c>
      <c r="L287" s="5" t="n">
        <v>0</v>
      </c>
      <c r="M287" s="6" t="n">
        <v>0</v>
      </c>
      <c r="N287" s="6" t="n">
        <v>0</v>
      </c>
      <c r="O287" s="5" t="inlineStr">
        <is>
          <t>02</t>
        </is>
      </c>
      <c r="P287" s="5" t="n">
        <v>2.2</v>
      </c>
      <c r="Q287" s="5" t="n">
        <v>10.3</v>
      </c>
    </row>
    <row r="288">
      <c r="A288" s="5" t="n">
        <v>9029</v>
      </c>
      <c r="B288" s="5" t="n">
        <v>2</v>
      </c>
      <c r="C288" s="5" t="inlineStr">
        <is>
          <t>COLOR. 7.47..........PRO TB 60G</t>
        </is>
      </c>
      <c r="D288" s="5" t="inlineStr">
        <is>
          <t>33059000</t>
        </is>
      </c>
      <c r="E288" s="5" t="inlineStr">
        <is>
          <t>6124</t>
        </is>
      </c>
      <c r="F288" s="6" t="n">
        <v>535.15</v>
      </c>
      <c r="G288" s="5" t="inlineStr">
        <is>
          <t>00</t>
        </is>
      </c>
      <c r="H288" s="6" t="n">
        <v>535.15</v>
      </c>
      <c r="I288" s="5" t="n">
        <v>12</v>
      </c>
      <c r="J288" s="6" t="n">
        <v>64.22</v>
      </c>
      <c r="K288" s="5" t="inlineStr">
        <is>
          <t>55</t>
        </is>
      </c>
      <c r="L288" s="5" t="n">
        <v>0</v>
      </c>
      <c r="M288" s="6" t="n">
        <v>0</v>
      </c>
      <c r="N288" s="6" t="n">
        <v>0</v>
      </c>
      <c r="O288" s="5" t="inlineStr">
        <is>
          <t>02</t>
        </is>
      </c>
      <c r="P288" s="5" t="n">
        <v>2.2</v>
      </c>
      <c r="Q288" s="5" t="n">
        <v>10.3</v>
      </c>
    </row>
    <row r="289">
      <c r="A289" s="5" t="n">
        <v>9030</v>
      </c>
      <c r="B289" s="5" t="n">
        <v>1</v>
      </c>
      <c r="C289" s="5" t="inlineStr">
        <is>
          <t>CARTUCHO COLORACAO PRO TB 60G</t>
        </is>
      </c>
      <c r="D289" s="5" t="inlineStr">
        <is>
          <t>48191000</t>
        </is>
      </c>
      <c r="E289" s="5" t="inlineStr">
        <is>
          <t>6902</t>
        </is>
      </c>
      <c r="F289" s="6" t="n">
        <v>133.2</v>
      </c>
      <c r="G289" s="5" t="inlineStr">
        <is>
          <t>41</t>
        </is>
      </c>
      <c r="H289" s="6" t="n">
        <v>0</v>
      </c>
      <c r="I289" s="5" t="n">
        <v>0</v>
      </c>
      <c r="J289" s="6" t="n">
        <v>0</v>
      </c>
      <c r="K289" s="5" t="n"/>
      <c r="L289" s="5" t="n">
        <v>0</v>
      </c>
      <c r="M289" s="6" t="n">
        <v>0</v>
      </c>
      <c r="N289" s="6" t="n">
        <v>0</v>
      </c>
      <c r="O289" s="5" t="inlineStr">
        <is>
          <t>49</t>
        </is>
      </c>
      <c r="P289" s="5" t="n">
        <v>0</v>
      </c>
      <c r="Q289" s="5" t="n">
        <v>0</v>
      </c>
    </row>
    <row r="290">
      <c r="A290" s="5" t="n">
        <v>9031</v>
      </c>
      <c r="B290" s="5" t="n">
        <v>1</v>
      </c>
      <c r="C290" s="5" t="inlineStr">
        <is>
          <t>TONALIZANTE. 6............BEAU BELLA 60G</t>
        </is>
      </c>
      <c r="D290" s="5" t="inlineStr">
        <is>
          <t>33059000</t>
        </is>
      </c>
      <c r="E290" s="5" t="inlineStr">
        <is>
          <t>5124</t>
        </is>
      </c>
      <c r="F290" s="6" t="n">
        <v>231</v>
      </c>
      <c r="G290" s="5" t="inlineStr">
        <is>
          <t>51</t>
        </is>
      </c>
      <c r="H290" s="6" t="n">
        <v>231</v>
      </c>
      <c r="I290" s="5" t="n">
        <v>19.5</v>
      </c>
      <c r="J290" s="6" t="n">
        <v>0</v>
      </c>
      <c r="K290" s="5" t="inlineStr">
        <is>
          <t>55</t>
        </is>
      </c>
      <c r="L290" s="5" t="n">
        <v>0</v>
      </c>
      <c r="M290" s="6" t="n">
        <v>0</v>
      </c>
      <c r="N290" s="6" t="n">
        <v>0</v>
      </c>
      <c r="O290" s="5" t="inlineStr">
        <is>
          <t>02</t>
        </is>
      </c>
      <c r="P290" s="5" t="n">
        <v>2.2</v>
      </c>
      <c r="Q290" s="5" t="n">
        <v>10.3</v>
      </c>
    </row>
    <row r="291">
      <c r="A291" s="5" t="n">
        <v>9031</v>
      </c>
      <c r="B291" s="5" t="n">
        <v>2</v>
      </c>
      <c r="C291" s="5" t="inlineStr">
        <is>
          <t>COLOR. 4.56............ BEAU BELLA 60G</t>
        </is>
      </c>
      <c r="D291" s="5" t="inlineStr">
        <is>
          <t>33059000</t>
        </is>
      </c>
      <c r="E291" s="5" t="inlineStr">
        <is>
          <t>5124</t>
        </is>
      </c>
      <c r="F291" s="6" t="n">
        <v>267</v>
      </c>
      <c r="G291" s="5" t="inlineStr">
        <is>
          <t>51</t>
        </is>
      </c>
      <c r="H291" s="6" t="n">
        <v>267</v>
      </c>
      <c r="I291" s="5" t="n">
        <v>19.5</v>
      </c>
      <c r="J291" s="6" t="n">
        <v>0</v>
      </c>
      <c r="K291" s="5" t="inlineStr">
        <is>
          <t>55</t>
        </is>
      </c>
      <c r="L291" s="5" t="n">
        <v>0</v>
      </c>
      <c r="M291" s="6" t="n">
        <v>0</v>
      </c>
      <c r="N291" s="6" t="n">
        <v>0</v>
      </c>
      <c r="O291" s="5" t="inlineStr">
        <is>
          <t>02</t>
        </is>
      </c>
      <c r="P291" s="5" t="n">
        <v>2.2</v>
      </c>
      <c r="Q291" s="5" t="n">
        <v>10.3</v>
      </c>
    </row>
    <row r="292">
      <c r="A292" s="5" t="n">
        <v>9031</v>
      </c>
      <c r="B292" s="5" t="n">
        <v>3</v>
      </c>
      <c r="C292" s="5" t="inlineStr">
        <is>
          <t>COLOR. 6.7.............. BEAU BELLA 60G</t>
        </is>
      </c>
      <c r="D292" s="5" t="inlineStr">
        <is>
          <t>33059000</t>
        </is>
      </c>
      <c r="E292" s="5" t="inlineStr">
        <is>
          <t>5124</t>
        </is>
      </c>
      <c r="F292" s="6" t="n">
        <v>216.9</v>
      </c>
      <c r="G292" s="5" t="inlineStr">
        <is>
          <t>51</t>
        </is>
      </c>
      <c r="H292" s="6" t="n">
        <v>216.9</v>
      </c>
      <c r="I292" s="5" t="n">
        <v>19.5</v>
      </c>
      <c r="J292" s="6" t="n">
        <v>0</v>
      </c>
      <c r="K292" s="5" t="inlineStr">
        <is>
          <t>55</t>
        </is>
      </c>
      <c r="L292" s="5" t="n">
        <v>0</v>
      </c>
      <c r="M292" s="6" t="n">
        <v>0</v>
      </c>
      <c r="N292" s="6" t="n">
        <v>0</v>
      </c>
      <c r="O292" s="5" t="inlineStr">
        <is>
          <t>02</t>
        </is>
      </c>
      <c r="P292" s="5" t="n">
        <v>2.2</v>
      </c>
      <c r="Q292" s="5" t="n">
        <v>10.3</v>
      </c>
    </row>
    <row r="293">
      <c r="A293" s="5" t="n">
        <v>9031</v>
      </c>
      <c r="B293" s="5" t="n">
        <v>4</v>
      </c>
      <c r="C293" s="5" t="inlineStr">
        <is>
          <t>COLOR. 66.46.......... BEAU BELLA 60G</t>
        </is>
      </c>
      <c r="D293" s="5" t="inlineStr">
        <is>
          <t>33059000</t>
        </is>
      </c>
      <c r="E293" s="5" t="inlineStr">
        <is>
          <t>5124</t>
        </is>
      </c>
      <c r="F293" s="6" t="n">
        <v>267</v>
      </c>
      <c r="G293" s="5" t="inlineStr">
        <is>
          <t>51</t>
        </is>
      </c>
      <c r="H293" s="6" t="n">
        <v>267</v>
      </c>
      <c r="I293" s="5" t="n">
        <v>19.5</v>
      </c>
      <c r="J293" s="6" t="n">
        <v>0</v>
      </c>
      <c r="K293" s="5" t="inlineStr">
        <is>
          <t>55</t>
        </is>
      </c>
      <c r="L293" s="5" t="n">
        <v>0</v>
      </c>
      <c r="M293" s="6" t="n">
        <v>0</v>
      </c>
      <c r="N293" s="6" t="n">
        <v>0</v>
      </c>
      <c r="O293" s="5" t="inlineStr">
        <is>
          <t>02</t>
        </is>
      </c>
      <c r="P293" s="5" t="n">
        <v>2.2</v>
      </c>
      <c r="Q293" s="5" t="n">
        <v>10.3</v>
      </c>
    </row>
    <row r="294">
      <c r="A294" s="5" t="n">
        <v>9031</v>
      </c>
      <c r="B294" s="5" t="n">
        <v>5</v>
      </c>
      <c r="C294" s="5" t="inlineStr">
        <is>
          <t>COLOR. 7.47............ BEAU BELLA 60G</t>
        </is>
      </c>
      <c r="D294" s="5" t="inlineStr">
        <is>
          <t>33059000</t>
        </is>
      </c>
      <c r="E294" s="5" t="inlineStr">
        <is>
          <t>5124</t>
        </is>
      </c>
      <c r="F294" s="6" t="n">
        <v>216.9</v>
      </c>
      <c r="G294" s="5" t="inlineStr">
        <is>
          <t>51</t>
        </is>
      </c>
      <c r="H294" s="6" t="n">
        <v>216.9</v>
      </c>
      <c r="I294" s="5" t="n">
        <v>19.5</v>
      </c>
      <c r="J294" s="6" t="n">
        <v>0</v>
      </c>
      <c r="K294" s="5" t="inlineStr">
        <is>
          <t>55</t>
        </is>
      </c>
      <c r="L294" s="5" t="n">
        <v>0</v>
      </c>
      <c r="M294" s="6" t="n">
        <v>0</v>
      </c>
      <c r="N294" s="6" t="n">
        <v>0</v>
      </c>
      <c r="O294" s="5" t="inlineStr">
        <is>
          <t>02</t>
        </is>
      </c>
      <c r="P294" s="5" t="n">
        <v>2.2</v>
      </c>
      <c r="Q294" s="5" t="n">
        <v>10.3</v>
      </c>
    </row>
    <row r="295">
      <c r="A295" s="5" t="n">
        <v>9032</v>
      </c>
      <c r="B295" s="5" t="n">
        <v>1</v>
      </c>
      <c r="C295" s="5" t="inlineStr">
        <is>
          <t>CARTUCHO TONALIZANTE BEAU BELLA 60G</t>
        </is>
      </c>
      <c r="D295" s="5" t="inlineStr">
        <is>
          <t>48191000</t>
        </is>
      </c>
      <c r="E295" s="5" t="inlineStr">
        <is>
          <t>5902</t>
        </is>
      </c>
      <c r="F295" s="6" t="n">
        <v>69.59999999999999</v>
      </c>
      <c r="G295" s="5" t="inlineStr">
        <is>
          <t>41</t>
        </is>
      </c>
      <c r="H295" s="6" t="n">
        <v>0</v>
      </c>
      <c r="I295" s="5" t="n">
        <v>0</v>
      </c>
      <c r="J295" s="6" t="n">
        <v>0</v>
      </c>
      <c r="K295" s="5" t="n"/>
      <c r="L295" s="5" t="n">
        <v>0</v>
      </c>
      <c r="M295" s="6" t="n">
        <v>0</v>
      </c>
      <c r="N295" s="6" t="n">
        <v>0</v>
      </c>
      <c r="O295" s="5" t="inlineStr">
        <is>
          <t>49</t>
        </is>
      </c>
      <c r="P295" s="5" t="n">
        <v>0</v>
      </c>
      <c r="Q295" s="5" t="n">
        <v>0</v>
      </c>
    </row>
    <row r="296">
      <c r="A296" s="5" t="n">
        <v>9032</v>
      </c>
      <c r="B296" s="5" t="n">
        <v>2</v>
      </c>
      <c r="C296" s="5" t="inlineStr">
        <is>
          <t>CARTUCHO COLORACAO BEAU BELLA 60G</t>
        </is>
      </c>
      <c r="D296" s="5" t="inlineStr">
        <is>
          <t>48191000</t>
        </is>
      </c>
      <c r="E296" s="5" t="inlineStr">
        <is>
          <t>5902</t>
        </is>
      </c>
      <c r="F296" s="6" t="n">
        <v>278.4</v>
      </c>
      <c r="G296" s="5" t="inlineStr">
        <is>
          <t>41</t>
        </is>
      </c>
      <c r="H296" s="6" t="n">
        <v>0</v>
      </c>
      <c r="I296" s="5" t="n">
        <v>0</v>
      </c>
      <c r="J296" s="6" t="n">
        <v>0</v>
      </c>
      <c r="K296" s="5" t="n"/>
      <c r="L296" s="5" t="n">
        <v>0</v>
      </c>
      <c r="M296" s="6" t="n">
        <v>0</v>
      </c>
      <c r="N296" s="6" t="n">
        <v>0</v>
      </c>
      <c r="O296" s="5" t="inlineStr">
        <is>
          <t>49</t>
        </is>
      </c>
      <c r="P296" s="5" t="n">
        <v>0</v>
      </c>
      <c r="Q296" s="5" t="n">
        <v>0</v>
      </c>
    </row>
    <row r="297">
      <c r="A297" s="5" t="n">
        <v>9033</v>
      </c>
      <c r="B297" s="5" t="n">
        <v>1</v>
      </c>
      <c r="C297" s="5" t="inlineStr">
        <is>
          <t>COLOR. 8.66 ...... MIX ETERNIZE MS 60G</t>
        </is>
      </c>
      <c r="D297" s="5" t="inlineStr">
        <is>
          <t>33059000</t>
        </is>
      </c>
      <c r="E297" s="5" t="inlineStr">
        <is>
          <t>6124</t>
        </is>
      </c>
      <c r="F297" s="6" t="n">
        <v>1422</v>
      </c>
      <c r="G297" s="5" t="inlineStr">
        <is>
          <t>00</t>
        </is>
      </c>
      <c r="H297" s="6" t="n">
        <v>1422</v>
      </c>
      <c r="I297" s="5" t="n">
        <v>7</v>
      </c>
      <c r="J297" s="6" t="n">
        <v>99.54000000000001</v>
      </c>
      <c r="K297" s="5" t="inlineStr">
        <is>
          <t>55</t>
        </is>
      </c>
      <c r="L297" s="5" t="n">
        <v>0</v>
      </c>
      <c r="M297" s="6" t="n">
        <v>0</v>
      </c>
      <c r="N297" s="6" t="n">
        <v>0</v>
      </c>
      <c r="O297" s="5" t="inlineStr">
        <is>
          <t>02</t>
        </is>
      </c>
      <c r="P297" s="5" t="n">
        <v>2.2</v>
      </c>
      <c r="Q297" s="5" t="n">
        <v>10.3</v>
      </c>
    </row>
    <row r="298">
      <c r="A298" s="5" t="n">
        <v>9033</v>
      </c>
      <c r="B298" s="5" t="n">
        <v>2</v>
      </c>
      <c r="C298" s="5" t="inlineStr">
        <is>
          <t>TONALIZANTE 6.7 ......MIX ETERNIZE MS 60G</t>
        </is>
      </c>
      <c r="D298" s="5" t="inlineStr">
        <is>
          <t>33059000</t>
        </is>
      </c>
      <c r="E298" s="5" t="inlineStr">
        <is>
          <t>6124</t>
        </is>
      </c>
      <c r="F298" s="6" t="n">
        <v>948</v>
      </c>
      <c r="G298" s="5" t="inlineStr">
        <is>
          <t>00</t>
        </is>
      </c>
      <c r="H298" s="6" t="n">
        <v>948</v>
      </c>
      <c r="I298" s="5" t="n">
        <v>7</v>
      </c>
      <c r="J298" s="6" t="n">
        <v>66.36</v>
      </c>
      <c r="K298" s="5" t="inlineStr">
        <is>
          <t>55</t>
        </is>
      </c>
      <c r="L298" s="5" t="n">
        <v>0</v>
      </c>
      <c r="M298" s="6" t="n">
        <v>0</v>
      </c>
      <c r="N298" s="6" t="n">
        <v>0</v>
      </c>
      <c r="O298" s="5" t="inlineStr">
        <is>
          <t>02</t>
        </is>
      </c>
      <c r="P298" s="5" t="n">
        <v>2.2</v>
      </c>
      <c r="Q298" s="5" t="n">
        <v>10.3</v>
      </c>
    </row>
    <row r="299">
      <c r="A299" s="5" t="n">
        <v>9034</v>
      </c>
      <c r="B299" s="5" t="n">
        <v>1</v>
      </c>
      <c r="C299" s="5" t="inlineStr">
        <is>
          <t>BISNAGA COLOR MIX ETERNIZE MS</t>
        </is>
      </c>
      <c r="D299" s="5" t="inlineStr">
        <is>
          <t>76121000</t>
        </is>
      </c>
      <c r="E299" s="5" t="inlineStr">
        <is>
          <t>6902</t>
        </is>
      </c>
      <c r="F299" s="6" t="n">
        <v>138.6</v>
      </c>
      <c r="G299" s="5" t="inlineStr">
        <is>
          <t>41</t>
        </is>
      </c>
      <c r="H299" s="6" t="n">
        <v>0</v>
      </c>
      <c r="I299" s="5" t="n">
        <v>0</v>
      </c>
      <c r="J299" s="6" t="n">
        <v>0</v>
      </c>
      <c r="K299" s="5" t="n"/>
      <c r="L299" s="5" t="n">
        <v>0</v>
      </c>
      <c r="M299" s="6" t="n">
        <v>0</v>
      </c>
      <c r="N299" s="6" t="n">
        <v>0</v>
      </c>
      <c r="O299" s="5" t="inlineStr">
        <is>
          <t>49</t>
        </is>
      </c>
      <c r="P299" s="5" t="n">
        <v>0</v>
      </c>
      <c r="Q299" s="5" t="n">
        <v>0</v>
      </c>
    </row>
    <row r="300">
      <c r="A300" s="5" t="n">
        <v>9034</v>
      </c>
      <c r="B300" s="5" t="n">
        <v>2</v>
      </c>
      <c r="C300" s="5" t="inlineStr">
        <is>
          <t>BISNAGA TONALIZANTE MIX ETERNIZE MS</t>
        </is>
      </c>
      <c r="D300" s="5" t="inlineStr">
        <is>
          <t>76121000</t>
        </is>
      </c>
      <c r="E300" s="5" t="inlineStr">
        <is>
          <t>6902</t>
        </is>
      </c>
      <c r="F300" s="6" t="n">
        <v>118.8</v>
      </c>
      <c r="G300" s="5" t="inlineStr">
        <is>
          <t>41</t>
        </is>
      </c>
      <c r="H300" s="6" t="n">
        <v>0</v>
      </c>
      <c r="I300" s="5" t="n">
        <v>0</v>
      </c>
      <c r="J300" s="6" t="n">
        <v>0</v>
      </c>
      <c r="K300" s="5" t="n"/>
      <c r="L300" s="5" t="n">
        <v>0</v>
      </c>
      <c r="M300" s="6" t="n">
        <v>0</v>
      </c>
      <c r="N300" s="6" t="n">
        <v>0</v>
      </c>
      <c r="O300" s="5" t="inlineStr">
        <is>
          <t>49</t>
        </is>
      </c>
      <c r="P300" s="5" t="n">
        <v>0</v>
      </c>
      <c r="Q300" s="5" t="n">
        <v>0</v>
      </c>
    </row>
    <row r="301">
      <c r="A301" s="5" t="n">
        <v>9034</v>
      </c>
      <c r="B301" s="5" t="n">
        <v>3</v>
      </c>
      <c r="C301" s="5" t="inlineStr">
        <is>
          <t>CARTUCHO TONALIZANTE MIX ETERNIZE MS</t>
        </is>
      </c>
      <c r="D301" s="5" t="inlineStr">
        <is>
          <t>48191000</t>
        </is>
      </c>
      <c r="E301" s="5" t="inlineStr">
        <is>
          <t>6902</t>
        </is>
      </c>
      <c r="F301" s="6" t="n">
        <v>63.6</v>
      </c>
      <c r="G301" s="5" t="inlineStr">
        <is>
          <t>41</t>
        </is>
      </c>
      <c r="H301" s="6" t="n">
        <v>0</v>
      </c>
      <c r="I301" s="5" t="n">
        <v>0</v>
      </c>
      <c r="J301" s="6" t="n">
        <v>0</v>
      </c>
      <c r="K301" s="5" t="n"/>
      <c r="L301" s="5" t="n">
        <v>0</v>
      </c>
      <c r="M301" s="6" t="n">
        <v>0</v>
      </c>
      <c r="N301" s="6" t="n">
        <v>0</v>
      </c>
      <c r="O301" s="5" t="inlineStr">
        <is>
          <t>49</t>
        </is>
      </c>
      <c r="P301" s="5" t="n">
        <v>0</v>
      </c>
      <c r="Q301" s="5" t="n">
        <v>0</v>
      </c>
    </row>
    <row r="302">
      <c r="A302" s="5" t="n">
        <v>9034</v>
      </c>
      <c r="B302" s="5" t="n">
        <v>4</v>
      </c>
      <c r="C302" s="5" t="inlineStr">
        <is>
          <t>CARTUCHO COLOR MIX ETERNIZE MS</t>
        </is>
      </c>
      <c r="D302" s="5" t="inlineStr">
        <is>
          <t>48191000</t>
        </is>
      </c>
      <c r="E302" s="5" t="inlineStr">
        <is>
          <t>6902</t>
        </is>
      </c>
      <c r="F302" s="6" t="n">
        <v>106.2</v>
      </c>
      <c r="G302" s="5" t="inlineStr">
        <is>
          <t>41</t>
        </is>
      </c>
      <c r="H302" s="6" t="n">
        <v>0</v>
      </c>
      <c r="I302" s="5" t="n">
        <v>0</v>
      </c>
      <c r="J302" s="6" t="n">
        <v>0</v>
      </c>
      <c r="K302" s="5" t="n"/>
      <c r="L302" s="5" t="n">
        <v>0</v>
      </c>
      <c r="M302" s="6" t="n">
        <v>0</v>
      </c>
      <c r="N302" s="6" t="n">
        <v>0</v>
      </c>
      <c r="O302" s="5" t="inlineStr">
        <is>
          <t>49</t>
        </is>
      </c>
      <c r="P302" s="5" t="n">
        <v>0</v>
      </c>
      <c r="Q302" s="5" t="n">
        <v>0</v>
      </c>
    </row>
    <row r="303">
      <c r="A303" s="5" t="n">
        <v>9035</v>
      </c>
      <c r="B303" s="5" t="n">
        <v>1</v>
      </c>
      <c r="C303" s="5" t="inlineStr">
        <is>
          <t>COLOR. 1.................NUTRA BELA 60G</t>
        </is>
      </c>
      <c r="D303" s="5" t="inlineStr">
        <is>
          <t>33059000</t>
        </is>
      </c>
      <c r="E303" s="5" t="inlineStr">
        <is>
          <t>6124</t>
        </is>
      </c>
      <c r="F303" s="6" t="n">
        <v>998.46</v>
      </c>
      <c r="G303" s="5" t="inlineStr">
        <is>
          <t>00</t>
        </is>
      </c>
      <c r="H303" s="6" t="n">
        <v>998.46</v>
      </c>
      <c r="I303" s="5" t="n">
        <v>7</v>
      </c>
      <c r="J303" s="6" t="n">
        <v>69.89</v>
      </c>
      <c r="K303" s="5" t="inlineStr">
        <is>
          <t>55</t>
        </is>
      </c>
      <c r="L303" s="5" t="n">
        <v>0</v>
      </c>
      <c r="M303" s="6" t="n">
        <v>0</v>
      </c>
      <c r="N303" s="6" t="n">
        <v>0</v>
      </c>
      <c r="O303" s="5" t="inlineStr">
        <is>
          <t>02</t>
        </is>
      </c>
      <c r="P303" s="5" t="n">
        <v>2.2</v>
      </c>
      <c r="Q303" s="5" t="n">
        <v>10.3</v>
      </c>
    </row>
    <row r="304">
      <c r="A304" s="5" t="n">
        <v>9035</v>
      </c>
      <c r="B304" s="5" t="n">
        <v>2</v>
      </c>
      <c r="C304" s="5" t="inlineStr">
        <is>
          <t>COLOR. 4.00.................NUTRA BELA 60G</t>
        </is>
      </c>
      <c r="D304" s="5" t="inlineStr">
        <is>
          <t>33059000</t>
        </is>
      </c>
      <c r="E304" s="5" t="inlineStr">
        <is>
          <t>6124</t>
        </is>
      </c>
      <c r="F304" s="6" t="n">
        <v>473.94</v>
      </c>
      <c r="G304" s="5" t="inlineStr">
        <is>
          <t>00</t>
        </is>
      </c>
      <c r="H304" s="6" t="n">
        <v>473.94</v>
      </c>
      <c r="I304" s="5" t="n">
        <v>7</v>
      </c>
      <c r="J304" s="6" t="n">
        <v>33.18</v>
      </c>
      <c r="K304" s="5" t="inlineStr">
        <is>
          <t>55</t>
        </is>
      </c>
      <c r="L304" s="5" t="n">
        <v>0</v>
      </c>
      <c r="M304" s="6" t="n">
        <v>0</v>
      </c>
      <c r="N304" s="6" t="n">
        <v>0</v>
      </c>
      <c r="O304" s="5" t="inlineStr">
        <is>
          <t>02</t>
        </is>
      </c>
      <c r="P304" s="5" t="n">
        <v>2.2</v>
      </c>
      <c r="Q304" s="5" t="n">
        <v>10.3</v>
      </c>
    </row>
    <row r="305">
      <c r="A305" s="5" t="n">
        <v>9035</v>
      </c>
      <c r="B305" s="5" t="n">
        <v>3</v>
      </c>
      <c r="C305" s="5" t="inlineStr">
        <is>
          <t>COLOR. 5.00.................NUTRA BELA 60G</t>
        </is>
      </c>
      <c r="D305" s="5" t="inlineStr">
        <is>
          <t>33059000</t>
        </is>
      </c>
      <c r="E305" s="5" t="inlineStr">
        <is>
          <t>6124</t>
        </is>
      </c>
      <c r="F305" s="6" t="n">
        <v>473.94</v>
      </c>
      <c r="G305" s="5" t="inlineStr">
        <is>
          <t>00</t>
        </is>
      </c>
      <c r="H305" s="6" t="n">
        <v>473.94</v>
      </c>
      <c r="I305" s="5" t="n">
        <v>7</v>
      </c>
      <c r="J305" s="6" t="n">
        <v>33.18</v>
      </c>
      <c r="K305" s="5" t="inlineStr">
        <is>
          <t>55</t>
        </is>
      </c>
      <c r="L305" s="5" t="n">
        <v>0</v>
      </c>
      <c r="M305" s="6" t="n">
        <v>0</v>
      </c>
      <c r="N305" s="6" t="n">
        <v>0</v>
      </c>
      <c r="O305" s="5" t="inlineStr">
        <is>
          <t>02</t>
        </is>
      </c>
      <c r="P305" s="5" t="n">
        <v>2.2</v>
      </c>
      <c r="Q305" s="5" t="n">
        <v>10.3</v>
      </c>
    </row>
    <row r="306">
      <c r="A306" s="5" t="n">
        <v>9035</v>
      </c>
      <c r="B306" s="5" t="n">
        <v>4</v>
      </c>
      <c r="C306" s="5" t="inlineStr">
        <is>
          <t>COLOR. 6.1................NUTRA BELA 60G</t>
        </is>
      </c>
      <c r="D306" s="5" t="inlineStr">
        <is>
          <t>33059000</t>
        </is>
      </c>
      <c r="E306" s="5" t="inlineStr">
        <is>
          <t>6124</t>
        </is>
      </c>
      <c r="F306" s="6" t="n">
        <v>473.94</v>
      </c>
      <c r="G306" s="5" t="inlineStr">
        <is>
          <t>00</t>
        </is>
      </c>
      <c r="H306" s="6" t="n">
        <v>473.94</v>
      </c>
      <c r="I306" s="5" t="n">
        <v>7</v>
      </c>
      <c r="J306" s="6" t="n">
        <v>33.18</v>
      </c>
      <c r="K306" s="5" t="inlineStr">
        <is>
          <t>55</t>
        </is>
      </c>
      <c r="L306" s="5" t="n">
        <v>0</v>
      </c>
      <c r="M306" s="6" t="n">
        <v>0</v>
      </c>
      <c r="N306" s="6" t="n">
        <v>0</v>
      </c>
      <c r="O306" s="5" t="inlineStr">
        <is>
          <t>02</t>
        </is>
      </c>
      <c r="P306" s="5" t="n">
        <v>2.2</v>
      </c>
      <c r="Q306" s="5" t="n">
        <v>10.3</v>
      </c>
    </row>
    <row r="307">
      <c r="A307" s="5" t="n">
        <v>9035</v>
      </c>
      <c r="B307" s="5" t="n">
        <v>5</v>
      </c>
      <c r="C307" s="5" t="inlineStr">
        <is>
          <t>COLOR. 8.31............NUTRA BELA 60G</t>
        </is>
      </c>
      <c r="D307" s="5" t="inlineStr">
        <is>
          <t>33059000</t>
        </is>
      </c>
      <c r="E307" s="5" t="inlineStr">
        <is>
          <t>6124</t>
        </is>
      </c>
      <c r="F307" s="6" t="n">
        <v>499.22</v>
      </c>
      <c r="G307" s="5" t="inlineStr">
        <is>
          <t>00</t>
        </is>
      </c>
      <c r="H307" s="6" t="n">
        <v>499.22</v>
      </c>
      <c r="I307" s="5" t="n">
        <v>7</v>
      </c>
      <c r="J307" s="6" t="n">
        <v>34.95</v>
      </c>
      <c r="K307" s="5" t="inlineStr">
        <is>
          <t>55</t>
        </is>
      </c>
      <c r="L307" s="5" t="n">
        <v>0</v>
      </c>
      <c r="M307" s="6" t="n">
        <v>0</v>
      </c>
      <c r="N307" s="6" t="n">
        <v>0</v>
      </c>
      <c r="O307" s="5" t="inlineStr">
        <is>
          <t>02</t>
        </is>
      </c>
      <c r="P307" s="5" t="n">
        <v>2.2</v>
      </c>
      <c r="Q307" s="5" t="n">
        <v>10.3</v>
      </c>
    </row>
    <row r="308">
      <c r="A308" s="5" t="n">
        <v>9035</v>
      </c>
      <c r="B308" s="5" t="n">
        <v>6</v>
      </c>
      <c r="C308" s="5" t="inlineStr">
        <is>
          <t>COLOR. 6.35 ................NUTRA BELA 60G</t>
        </is>
      </c>
      <c r="D308" s="5" t="inlineStr">
        <is>
          <t>33059000</t>
        </is>
      </c>
      <c r="E308" s="5" t="inlineStr">
        <is>
          <t>6124</t>
        </is>
      </c>
      <c r="F308" s="6" t="n">
        <v>499.22</v>
      </c>
      <c r="G308" s="5" t="inlineStr">
        <is>
          <t>00</t>
        </is>
      </c>
      <c r="H308" s="6" t="n">
        <v>499.22</v>
      </c>
      <c r="I308" s="5" t="n">
        <v>7</v>
      </c>
      <c r="J308" s="6" t="n">
        <v>34.95</v>
      </c>
      <c r="K308" s="5" t="inlineStr">
        <is>
          <t>55</t>
        </is>
      </c>
      <c r="L308" s="5" t="n">
        <v>0</v>
      </c>
      <c r="M308" s="6" t="n">
        <v>0</v>
      </c>
      <c r="N308" s="6" t="n">
        <v>0</v>
      </c>
      <c r="O308" s="5" t="inlineStr">
        <is>
          <t>02</t>
        </is>
      </c>
      <c r="P308" s="5" t="n">
        <v>2.2</v>
      </c>
      <c r="Q308" s="5" t="n">
        <v>10.3</v>
      </c>
    </row>
    <row r="309">
      <c r="A309" s="5" t="n">
        <v>9035</v>
      </c>
      <c r="B309" s="5" t="n">
        <v>7</v>
      </c>
      <c r="C309" s="5" t="inlineStr">
        <is>
          <t>COLOR. 5................NUTRA BELA 60G</t>
        </is>
      </c>
      <c r="D309" s="5" t="inlineStr">
        <is>
          <t>33059000</t>
        </is>
      </c>
      <c r="E309" s="5" t="inlineStr">
        <is>
          <t>6124</t>
        </is>
      </c>
      <c r="F309" s="6" t="n">
        <v>499.22</v>
      </c>
      <c r="G309" s="5" t="inlineStr">
        <is>
          <t>00</t>
        </is>
      </c>
      <c r="H309" s="6" t="n">
        <v>499.22</v>
      </c>
      <c r="I309" s="5" t="n">
        <v>7</v>
      </c>
      <c r="J309" s="6" t="n">
        <v>34.95</v>
      </c>
      <c r="K309" s="5" t="inlineStr">
        <is>
          <t>55</t>
        </is>
      </c>
      <c r="L309" s="5" t="n">
        <v>0</v>
      </c>
      <c r="M309" s="6" t="n">
        <v>0</v>
      </c>
      <c r="N309" s="6" t="n">
        <v>0</v>
      </c>
      <c r="O309" s="5" t="inlineStr">
        <is>
          <t>02</t>
        </is>
      </c>
      <c r="P309" s="5" t="n">
        <v>2.2</v>
      </c>
      <c r="Q309" s="5" t="n">
        <v>10.3</v>
      </c>
    </row>
    <row r="310">
      <c r="A310" s="5" t="n">
        <v>9036</v>
      </c>
      <c r="B310" s="5" t="n">
        <v>1</v>
      </c>
      <c r="C310" s="5" t="inlineStr">
        <is>
          <t>CARTUCHO NUTRA BELA</t>
        </is>
      </c>
      <c r="D310" s="5" t="inlineStr">
        <is>
          <t>48191000</t>
        </is>
      </c>
      <c r="E310" s="5" t="inlineStr">
        <is>
          <t>6902</t>
        </is>
      </c>
      <c r="F310" s="6" t="n">
        <v>297.6</v>
      </c>
      <c r="G310" s="5" t="inlineStr">
        <is>
          <t>41</t>
        </is>
      </c>
      <c r="H310" s="6" t="n">
        <v>0</v>
      </c>
      <c r="I310" s="5" t="n">
        <v>0</v>
      </c>
      <c r="J310" s="6" t="n">
        <v>0</v>
      </c>
      <c r="K310" s="5" t="n"/>
      <c r="L310" s="5" t="n">
        <v>0</v>
      </c>
      <c r="M310" s="6" t="n">
        <v>0</v>
      </c>
      <c r="N310" s="6" t="n">
        <v>0</v>
      </c>
      <c r="O310" s="5" t="inlineStr">
        <is>
          <t>49</t>
        </is>
      </c>
      <c r="P310" s="5" t="n">
        <v>0</v>
      </c>
      <c r="Q310" s="5" t="n">
        <v>0</v>
      </c>
    </row>
  </sheetData>
  <autoFilter ref="A3:Q3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9" customWidth="1" min="4" max="4"/>
    <col width="5" customWidth="1" min="5" max="5"/>
    <col width="34" customWidth="1" min="6" max="6"/>
    <col width="10" customWidth="1" min="7" max="7"/>
    <col width="8" customWidth="1" min="8" max="8"/>
    <col width="8" customWidth="1" min="9" max="9"/>
    <col width="13" customWidth="1" min="10" max="10"/>
    <col width="12" customWidth="1" min="11" max="11"/>
    <col width="12" customWidth="1" min="12" max="12"/>
    <col width="11" customWidth="1" min="13" max="13"/>
    <col width="11" customWidth="1" min="14" max="14"/>
    <col width="24" customWidth="1" min="15" max="15"/>
    <col width="9" customWidth="1" min="16" max="16"/>
    <col width="30" customWidth="1" min="17" max="17"/>
  </cols>
  <sheetData>
    <row r="1">
      <c r="A1" s="1" t="inlineStr">
        <is>
          <t>Entradas do mês e créditos de ICMS/IPI</t>
        </is>
      </c>
    </row>
    <row r="2">
      <c r="A2" s="2" t="inlineStr">
        <is>
          <t>Coluna "Regra": natureza do item e de onde veio (SPED anterior, NCM ou CFOP). Laranja = sem histórico, conferir. Detalhe completo na planilha de créditos.</t>
        </is>
      </c>
    </row>
    <row r="4">
      <c r="A4" s="4" t="inlineStr">
        <is>
          <t>Emissão</t>
        </is>
      </c>
      <c r="B4" s="4" t="inlineStr">
        <is>
          <t>Fornecedor</t>
        </is>
      </c>
      <c r="C4" s="4" t="inlineStr">
        <is>
          <t>CNPJ</t>
        </is>
      </c>
      <c r="D4" s="4" t="inlineStr">
        <is>
          <t>NF</t>
        </is>
      </c>
      <c r="E4" s="4" t="inlineStr">
        <is>
          <t>Item</t>
        </is>
      </c>
      <c r="F4" s="4" t="inlineStr">
        <is>
          <t>Produto</t>
        </is>
      </c>
      <c r="G4" s="4" t="inlineStr">
        <is>
          <t>NCM</t>
        </is>
      </c>
      <c r="H4" s="4" t="inlineStr">
        <is>
          <t>CFOP forn.</t>
        </is>
      </c>
      <c r="I4" s="4" t="inlineStr">
        <is>
          <t>CFOP entrada</t>
        </is>
      </c>
      <c r="J4" s="4" t="inlineStr">
        <is>
          <t>Vlr contábil</t>
        </is>
      </c>
      <c r="K4" s="4" t="inlineStr">
        <is>
          <t>ICMS destacado</t>
        </is>
      </c>
      <c r="L4" s="4" t="inlineStr">
        <is>
          <t>Crédito ICMS</t>
        </is>
      </c>
      <c r="M4" s="4" t="inlineStr">
        <is>
          <t>IPI destacado</t>
        </is>
      </c>
      <c r="N4" s="4" t="inlineStr">
        <is>
          <t>Crédito IPI</t>
        </is>
      </c>
      <c r="O4" s="4" t="inlineStr">
        <is>
          <t>Regra</t>
        </is>
      </c>
      <c r="P4" s="4" t="inlineStr">
        <is>
          <t>Confere?</t>
        </is>
      </c>
      <c r="Q4" s="4" t="inlineStr">
        <is>
          <t>Observação</t>
        </is>
      </c>
    </row>
    <row r="5">
      <c r="A5" s="7" t="n">
        <v>46266</v>
      </c>
      <c r="B5" s="5" t="inlineStr">
        <is>
          <t>DISTRIBUIDORA INDUSTRIAL PARANAENSE LTDA</t>
        </is>
      </c>
      <c r="C5" s="5" t="inlineStr">
        <is>
          <t>04993269000177</t>
        </is>
      </c>
      <c r="D5" s="5" t="n">
        <v>41731</v>
      </c>
      <c r="E5" s="5" t="n">
        <v>1</v>
      </c>
      <c r="F5" s="5" t="inlineStr">
        <is>
          <t>ALCOOL ETILICO 99 - ONU 1170 ETANOL (ALCOOL ETILICO) 3 GE II BOMBONA DIPANOL 99</t>
        </is>
      </c>
      <c r="G5" s="5" t="inlineStr">
        <is>
          <t>22071010</t>
        </is>
      </c>
      <c r="H5" s="5" t="inlineStr">
        <is>
          <t>5101</t>
        </is>
      </c>
      <c r="I5" s="5" t="inlineStr">
        <is>
          <t>1101</t>
        </is>
      </c>
      <c r="J5" s="6" t="n">
        <v>1870</v>
      </c>
      <c r="K5" s="6" t="n">
        <v>224.41</v>
      </c>
      <c r="L5" s="6" t="n">
        <v>224.41</v>
      </c>
      <c r="M5" s="6" t="n">
        <v>0</v>
      </c>
      <c r="N5" s="6" t="n">
        <v>0</v>
      </c>
      <c r="O5" s="5" t="inlineStr">
        <is>
          <t>Insumo (classificação do SPED anterior) [SPED anterior: CFOP 1101]</t>
        </is>
      </c>
      <c r="P5" s="17" t="inlineStr"/>
      <c r="Q5" s="17" t="inlineStr"/>
    </row>
    <row r="6">
      <c r="A6" s="7" t="n">
        <v>46266</v>
      </c>
      <c r="B6" s="5" t="inlineStr">
        <is>
          <t>Lunaflexo Tecnologia Adesiva Eireli</t>
        </is>
      </c>
      <c r="C6" s="5" t="inlineStr">
        <is>
          <t>06015875000143</t>
        </is>
      </c>
      <c r="D6" s="5" t="n">
        <v>3795</v>
      </c>
      <c r="E6" s="5" t="n">
        <v>1</v>
      </c>
      <c r="F6" s="5" t="inlineStr">
        <is>
          <t>Rotulos Adesivos - Creme Relaxante Afro Nature (Contra Rotulo). 65x160mm, 2x0 cores, Tinta UV Pantone em Bopp Fosco 20G</t>
        </is>
      </c>
      <c r="G6" s="5" t="inlineStr">
        <is>
          <t>39191090</t>
        </is>
      </c>
      <c r="H6" s="5" t="inlineStr">
        <is>
          <t>5101</t>
        </is>
      </c>
      <c r="I6" s="5" t="inlineStr">
        <is>
          <t>1101</t>
        </is>
      </c>
      <c r="J6" s="6" t="n">
        <v>2740</v>
      </c>
      <c r="K6" s="6" t="n">
        <v>0</v>
      </c>
      <c r="L6" s="6" t="n">
        <v>78.36</v>
      </c>
      <c r="M6" s="6" t="n">
        <v>0</v>
      </c>
      <c r="N6" s="6" t="n">
        <v>0</v>
      </c>
      <c r="O6" s="5" t="inlineStr">
        <is>
          <t>Embalagem (rótulo adesivo) [NCM 39191090]</t>
        </is>
      </c>
      <c r="P6" s="17" t="inlineStr"/>
      <c r="Q6" s="17" t="inlineStr"/>
    </row>
    <row r="7">
      <c r="A7" s="7" t="n">
        <v>46266</v>
      </c>
      <c r="B7" s="5" t="inlineStr">
        <is>
          <t>Lunaflexo Tecnologia Adesiva Eireli</t>
        </is>
      </c>
      <c r="C7" s="5" t="inlineStr">
        <is>
          <t>06015875000143</t>
        </is>
      </c>
      <c r="D7" s="5" t="n">
        <v>3795</v>
      </c>
      <c r="E7" s="5" t="n">
        <v>2</v>
      </c>
      <c r="F7" s="5" t="inlineStr">
        <is>
          <t>Rotulos Adesivos - Etiq. 20MM (Numero 1,2,3). 20x20mm, 2x0 cores, Tinta UV Pantone em Bopp Fosco 20G Borracha.</t>
        </is>
      </c>
      <c r="G7" s="5" t="inlineStr">
        <is>
          <t>39191090</t>
        </is>
      </c>
      <c r="H7" s="5" t="inlineStr">
        <is>
          <t>5101</t>
        </is>
      </c>
      <c r="I7" s="5" t="inlineStr">
        <is>
          <t>1101</t>
        </is>
      </c>
      <c r="J7" s="6" t="n">
        <v>720</v>
      </c>
      <c r="K7" s="6" t="n">
        <v>0</v>
      </c>
      <c r="L7" s="6" t="n">
        <v>20.59</v>
      </c>
      <c r="M7" s="6" t="n">
        <v>0</v>
      </c>
      <c r="N7" s="6" t="n">
        <v>0</v>
      </c>
      <c r="O7" s="5" t="inlineStr">
        <is>
          <t>Embalagem (rótulo adesivo) [NCM 39191090]</t>
        </is>
      </c>
      <c r="P7" s="17" t="inlineStr"/>
      <c r="Q7" s="17" t="inlineStr"/>
    </row>
    <row r="8">
      <c r="A8" s="23" t="n">
        <v>46267</v>
      </c>
      <c r="B8" s="19" t="inlineStr">
        <is>
          <t>CARBON CIENTIFICA LTDA</t>
        </is>
      </c>
      <c r="C8" s="19" t="inlineStr">
        <is>
          <t>44114040000130</t>
        </is>
      </c>
      <c r="D8" s="19" t="n">
        <v>22837</v>
      </c>
      <c r="E8" s="19" t="n">
        <v>1</v>
      </c>
      <c r="F8" s="19" t="inlineStr">
        <is>
          <t>SULFITO DE SODIO ANIDRO PA 1000G - CARBON</t>
        </is>
      </c>
      <c r="G8" s="19" t="inlineStr">
        <is>
          <t>28321010</t>
        </is>
      </c>
      <c r="H8" s="19" t="inlineStr">
        <is>
          <t>5949</t>
        </is>
      </c>
      <c r="I8" s="19" t="inlineStr">
        <is>
          <t>1949</t>
        </is>
      </c>
      <c r="J8" s="24" t="n">
        <v>1</v>
      </c>
      <c r="K8" s="24" t="n">
        <v>0.2</v>
      </c>
      <c r="L8" s="24" t="n">
        <v>0</v>
      </c>
      <c r="M8" s="24" t="n">
        <v>0</v>
      </c>
      <c r="N8" s="24" t="n">
        <v>0</v>
      </c>
      <c r="O8" s="19" t="inlineStr">
        <is>
          <t>Matéria-prima (químico inorgânico) - mas CFOP 5949 (outras saídas: amostra/brinde/remessa) [CFOP 5949]</t>
        </is>
      </c>
      <c r="P8" s="17" t="inlineStr"/>
      <c r="Q8" s="17" t="inlineStr"/>
    </row>
    <row r="9">
      <c r="A9" s="23" t="n">
        <v>46267</v>
      </c>
      <c r="B9" s="19" t="inlineStr">
        <is>
          <t>CARBON CIENTIFICA LTDA</t>
        </is>
      </c>
      <c r="C9" s="19" t="inlineStr">
        <is>
          <t>44114040000130</t>
        </is>
      </c>
      <c r="D9" s="19" t="n">
        <v>22837</v>
      </c>
      <c r="E9" s="19" t="n">
        <v>2</v>
      </c>
      <c r="F9" s="19" t="inlineStr">
        <is>
          <t>PIROFOSFATO DE SODIO (TETRABASICO) DECAHIDRATADO PA 1000G - CARBON</t>
        </is>
      </c>
      <c r="G9" s="19" t="inlineStr">
        <is>
          <t>28353920</t>
        </is>
      </c>
      <c r="H9" s="19" t="inlineStr">
        <is>
          <t>5949</t>
        </is>
      </c>
      <c r="I9" s="19" t="inlineStr">
        <is>
          <t>1949</t>
        </is>
      </c>
      <c r="J9" s="24" t="n">
        <v>1</v>
      </c>
      <c r="K9" s="24" t="n">
        <v>0.2</v>
      </c>
      <c r="L9" s="24" t="n">
        <v>0</v>
      </c>
      <c r="M9" s="24" t="n">
        <v>0</v>
      </c>
      <c r="N9" s="24" t="n">
        <v>0</v>
      </c>
      <c r="O9" s="19" t="inlineStr">
        <is>
          <t>Matéria-prima (químico inorgânico) - mas CFOP 5949 (outras saídas: amostra/brinde/remessa) [CFOP 5949]</t>
        </is>
      </c>
      <c r="P9" s="17" t="inlineStr"/>
      <c r="Q9" s="17" t="inlineStr"/>
    </row>
    <row r="10">
      <c r="A10" s="7" t="n">
        <v>46267</v>
      </c>
      <c r="B10" s="5" t="inlineStr">
        <is>
          <t>JOSE DOMINGOS LINARES LTDA</t>
        </is>
      </c>
      <c r="C10" s="5" t="inlineStr">
        <is>
          <t>03839251000152</t>
        </is>
      </c>
      <c r="D10" s="5" t="n">
        <v>5027</v>
      </c>
      <c r="E10" s="5" t="n">
        <v>1</v>
      </c>
      <c r="F10" s="5" t="inlineStr">
        <is>
          <t>ETIQUETAS - 3,5 X 1,3 CM, LOTE 166955-25075</t>
        </is>
      </c>
      <c r="G10" s="5" t="inlineStr">
        <is>
          <t>48211000</t>
        </is>
      </c>
      <c r="H10" s="5" t="inlineStr">
        <is>
          <t>5923</t>
        </is>
      </c>
      <c r="I10" s="5" t="inlineStr">
        <is>
          <t>1923</t>
        </is>
      </c>
      <c r="J10" s="6" t="n">
        <v>600</v>
      </c>
      <c r="K10" s="6" t="n">
        <v>0</v>
      </c>
      <c r="L10" s="6" t="n">
        <v>0</v>
      </c>
      <c r="M10" s="6" t="n">
        <v>0</v>
      </c>
      <c r="N10" s="6" t="n">
        <v>0</v>
      </c>
      <c r="O10" s="5" t="inlineStr">
        <is>
          <t>Remessa por conta e ordem de terceiros em venda à ordem (a venda vem em outra nota) [CFOP 5923]</t>
        </is>
      </c>
      <c r="P10" s="17" t="inlineStr"/>
      <c r="Q10" s="17" t="inlineStr"/>
    </row>
    <row r="11">
      <c r="A11" s="23" t="n">
        <v>46267</v>
      </c>
      <c r="B11" s="19" t="inlineStr">
        <is>
          <t>NewProv - Produtos para Laboratório Ltda</t>
        </is>
      </c>
      <c r="C11" s="19" t="inlineStr">
        <is>
          <t>73636391000109</t>
        </is>
      </c>
      <c r="D11" s="19" t="n">
        <v>160326</v>
      </c>
      <c r="E11" s="19" t="n">
        <v>1</v>
      </c>
      <c r="F11" s="19" t="inlineStr">
        <is>
          <t>Agar Triptico de soja (TSA) pcte c/ 10 placas 90x15mm</t>
        </is>
      </c>
      <c r="G11" s="19" t="inlineStr">
        <is>
          <t>38221990</t>
        </is>
      </c>
      <c r="H11" s="19" t="inlineStr">
        <is>
          <t>5101</t>
        </is>
      </c>
      <c r="I11" s="19" t="inlineStr">
        <is>
          <t>1556</t>
        </is>
      </c>
      <c r="J11" s="24" t="n">
        <v>250.39</v>
      </c>
      <c r="K11" s="24" t="n">
        <v>48.83</v>
      </c>
      <c r="L11" s="24" t="n">
        <v>0</v>
      </c>
      <c r="M11" s="24" t="n">
        <v>0</v>
      </c>
      <c r="N11" s="24" t="n">
        <v>0</v>
      </c>
      <c r="O11" s="19" t="inlineStr">
        <is>
          <t>Uso e consumo (reagente de laboratório) [NCM 38221990]</t>
        </is>
      </c>
      <c r="P11" s="17" t="inlineStr"/>
      <c r="Q11" s="17" t="inlineStr"/>
    </row>
    <row r="12">
      <c r="A12" s="23" t="n">
        <v>46267</v>
      </c>
      <c r="B12" s="19" t="inlineStr">
        <is>
          <t>NewProv - Produtos para Laboratório Ltda</t>
        </is>
      </c>
      <c r="C12" s="19" t="inlineStr">
        <is>
          <t>73636391000109</t>
        </is>
      </c>
      <c r="D12" s="19" t="n">
        <v>160326</v>
      </c>
      <c r="E12" s="19" t="n">
        <v>2</v>
      </c>
      <c r="F12" s="19" t="inlineStr">
        <is>
          <t>Agar Sabouraud Dextrose pcte c/ 10 placas 90x15mm</t>
        </is>
      </c>
      <c r="G12" s="19" t="inlineStr">
        <is>
          <t>38221990</t>
        </is>
      </c>
      <c r="H12" s="19" t="inlineStr">
        <is>
          <t>5101</t>
        </is>
      </c>
      <c r="I12" s="19" t="inlineStr">
        <is>
          <t>1556</t>
        </is>
      </c>
      <c r="J12" s="24" t="n">
        <v>222.56</v>
      </c>
      <c r="K12" s="24" t="n">
        <v>43.4</v>
      </c>
      <c r="L12" s="24" t="n">
        <v>0</v>
      </c>
      <c r="M12" s="24" t="n">
        <v>0</v>
      </c>
      <c r="N12" s="24" t="n">
        <v>0</v>
      </c>
      <c r="O12" s="19" t="inlineStr">
        <is>
          <t>Uso e consumo (reagente de laboratório) [NCM 38221990]</t>
        </is>
      </c>
      <c r="P12" s="17" t="inlineStr"/>
      <c r="Q12" s="17" t="inlineStr"/>
    </row>
    <row r="13">
      <c r="A13" s="23" t="n">
        <v>46267</v>
      </c>
      <c r="B13" s="19" t="inlineStr">
        <is>
          <t>NewProv - Produtos para Laboratório Ltda</t>
        </is>
      </c>
      <c r="C13" s="19" t="inlineStr">
        <is>
          <t>73636391000109</t>
        </is>
      </c>
      <c r="D13" s="19" t="n">
        <v>160326</v>
      </c>
      <c r="E13" s="19" t="n">
        <v>3</v>
      </c>
      <c r="F13" s="19" t="inlineStr">
        <is>
          <t>Agar PCA pcte c/ 10 placas 90x15mm</t>
        </is>
      </c>
      <c r="G13" s="19" t="inlineStr">
        <is>
          <t>38221990</t>
        </is>
      </c>
      <c r="H13" s="19" t="inlineStr">
        <is>
          <t>5101</t>
        </is>
      </c>
      <c r="I13" s="19" t="inlineStr">
        <is>
          <t>1556</t>
        </is>
      </c>
      <c r="J13" s="24" t="n">
        <v>35.06</v>
      </c>
      <c r="K13" s="24" t="n">
        <v>6.84</v>
      </c>
      <c r="L13" s="24" t="n">
        <v>0</v>
      </c>
      <c r="M13" s="24" t="n">
        <v>0</v>
      </c>
      <c r="N13" s="24" t="n">
        <v>0</v>
      </c>
      <c r="O13" s="19" t="inlineStr">
        <is>
          <t>Uso e consumo (reagente de laboratório) [NCM 38221990]</t>
        </is>
      </c>
      <c r="P13" s="17" t="inlineStr"/>
      <c r="Q13" s="17" t="inlineStr"/>
    </row>
    <row r="14">
      <c r="A14" s="23" t="n">
        <v>46267</v>
      </c>
      <c r="B14" s="19" t="inlineStr">
        <is>
          <t>NewProv - Produtos para Laboratório Ltda</t>
        </is>
      </c>
      <c r="C14" s="19" t="inlineStr">
        <is>
          <t>73636391000109</t>
        </is>
      </c>
      <c r="D14" s="19" t="n">
        <v>160326</v>
      </c>
      <c r="E14" s="19" t="n">
        <v>4</v>
      </c>
      <c r="F14" s="19" t="inlineStr">
        <is>
          <t>Agar Mac Conkey pcte c/ 10 placas 90x15mm</t>
        </is>
      </c>
      <c r="G14" s="19" t="inlineStr">
        <is>
          <t>38221990</t>
        </is>
      </c>
      <c r="H14" s="19" t="inlineStr">
        <is>
          <t>5101</t>
        </is>
      </c>
      <c r="I14" s="19" t="inlineStr">
        <is>
          <t>1556</t>
        </is>
      </c>
      <c r="J14" s="24" t="n">
        <v>35.15</v>
      </c>
      <c r="K14" s="24" t="n">
        <v>6.85</v>
      </c>
      <c r="L14" s="24" t="n">
        <v>0</v>
      </c>
      <c r="M14" s="24" t="n">
        <v>0</v>
      </c>
      <c r="N14" s="24" t="n">
        <v>0</v>
      </c>
      <c r="O14" s="19" t="inlineStr">
        <is>
          <t>Uso e consumo (reagente de laboratório) [NCM 38221990]</t>
        </is>
      </c>
      <c r="P14" s="17" t="inlineStr"/>
      <c r="Q14" s="17" t="inlineStr"/>
    </row>
    <row r="15">
      <c r="A15" s="23" t="n">
        <v>46267</v>
      </c>
      <c r="B15" s="19" t="inlineStr">
        <is>
          <t>NewProv - Produtos para Laboratório Ltda</t>
        </is>
      </c>
      <c r="C15" s="19" t="inlineStr">
        <is>
          <t>73636391000109</t>
        </is>
      </c>
      <c r="D15" s="19" t="n">
        <v>160326</v>
      </c>
      <c r="E15" s="19" t="n">
        <v>5</v>
      </c>
      <c r="F15" s="19" t="inlineStr">
        <is>
          <t>Agar Cetrimide pcte c/ 10 placas 90x15mm</t>
        </is>
      </c>
      <c r="G15" s="19" t="inlineStr">
        <is>
          <t>38221990</t>
        </is>
      </c>
      <c r="H15" s="19" t="inlineStr">
        <is>
          <t>5101</t>
        </is>
      </c>
      <c r="I15" s="19" t="inlineStr">
        <is>
          <t>1556</t>
        </is>
      </c>
      <c r="J15" s="24" t="n">
        <v>226.01</v>
      </c>
      <c r="K15" s="24" t="n">
        <v>44.07</v>
      </c>
      <c r="L15" s="24" t="n">
        <v>0</v>
      </c>
      <c r="M15" s="24" t="n">
        <v>0</v>
      </c>
      <c r="N15" s="24" t="n">
        <v>0</v>
      </c>
      <c r="O15" s="19" t="inlineStr">
        <is>
          <t>Uso e consumo (reagente de laboratório) [NCM 38221990]</t>
        </is>
      </c>
      <c r="P15" s="17" t="inlineStr"/>
      <c r="Q15" s="17" t="inlineStr"/>
    </row>
    <row r="16">
      <c r="A16" s="23" t="n">
        <v>46267</v>
      </c>
      <c r="B16" s="19" t="inlineStr">
        <is>
          <t>NewProv - Produtos para Laboratório Ltda</t>
        </is>
      </c>
      <c r="C16" s="19" t="inlineStr">
        <is>
          <t>73636391000109</t>
        </is>
      </c>
      <c r="D16" s="19" t="n">
        <v>160326</v>
      </c>
      <c r="E16" s="19" t="n">
        <v>6</v>
      </c>
      <c r="F16" s="19" t="inlineStr">
        <is>
          <t>Agar Baird Parker pcte c/ 10 placas 90x15mm</t>
        </is>
      </c>
      <c r="G16" s="19" t="inlineStr">
        <is>
          <t>38221990</t>
        </is>
      </c>
      <c r="H16" s="19" t="inlineStr">
        <is>
          <t>5101</t>
        </is>
      </c>
      <c r="I16" s="19" t="inlineStr">
        <is>
          <t>1556</t>
        </is>
      </c>
      <c r="J16" s="24" t="n">
        <v>317.89</v>
      </c>
      <c r="K16" s="24" t="n">
        <v>61.99</v>
      </c>
      <c r="L16" s="24" t="n">
        <v>0</v>
      </c>
      <c r="M16" s="24" t="n">
        <v>0</v>
      </c>
      <c r="N16" s="24" t="n">
        <v>0</v>
      </c>
      <c r="O16" s="19" t="inlineStr">
        <is>
          <t>Uso e consumo (reagente de laboratório) [NCM 38221990]</t>
        </is>
      </c>
      <c r="P16" s="17" t="inlineStr"/>
      <c r="Q16" s="17" t="inlineStr"/>
    </row>
    <row r="17">
      <c r="A17" s="23" t="n">
        <v>46267</v>
      </c>
      <c r="B17" s="19" t="inlineStr">
        <is>
          <t>NewProv - Produtos para Laboratório Ltda</t>
        </is>
      </c>
      <c r="C17" s="19" t="inlineStr">
        <is>
          <t>73636391000109</t>
        </is>
      </c>
      <c r="D17" s="19" t="n">
        <v>160326</v>
      </c>
      <c r="E17" s="19" t="n">
        <v>7</v>
      </c>
      <c r="F17" s="19" t="inlineStr">
        <is>
          <t>Acquaplus I sachê c/ 10 testes</t>
        </is>
      </c>
      <c r="G17" s="19" t="inlineStr">
        <is>
          <t>38221990</t>
        </is>
      </c>
      <c r="H17" s="19" t="inlineStr">
        <is>
          <t>5101</t>
        </is>
      </c>
      <c r="I17" s="19" t="inlineStr">
        <is>
          <t>1556</t>
        </is>
      </c>
      <c r="J17" s="24" t="n">
        <v>915.08</v>
      </c>
      <c r="K17" s="24" t="n">
        <v>178.44</v>
      </c>
      <c r="L17" s="24" t="n">
        <v>0</v>
      </c>
      <c r="M17" s="24" t="n">
        <v>0</v>
      </c>
      <c r="N17" s="24" t="n">
        <v>0</v>
      </c>
      <c r="O17" s="19" t="inlineStr">
        <is>
          <t>Uso e consumo (reagente de laboratório) [NCM 38221990]</t>
        </is>
      </c>
      <c r="P17" s="17" t="inlineStr"/>
      <c r="Q17" s="17" t="inlineStr"/>
    </row>
    <row r="18">
      <c r="A18" s="23" t="n">
        <v>46267</v>
      </c>
      <c r="B18" s="19" t="inlineStr">
        <is>
          <t>NewProv - Produtos para Laboratório Ltda</t>
        </is>
      </c>
      <c r="C18" s="19" t="inlineStr">
        <is>
          <t>73636391000109</t>
        </is>
      </c>
      <c r="D18" s="19" t="n">
        <v>160326</v>
      </c>
      <c r="E18" s="19" t="n">
        <v>8</v>
      </c>
      <c r="F18" s="19" t="inlineStr">
        <is>
          <t>Caldo BHI cx c/ 10 tubos</t>
        </is>
      </c>
      <c r="G18" s="19" t="inlineStr">
        <is>
          <t>38221990</t>
        </is>
      </c>
      <c r="H18" s="19" t="inlineStr">
        <is>
          <t>5101</t>
        </is>
      </c>
      <c r="I18" s="19" t="inlineStr">
        <is>
          <t>1556</t>
        </is>
      </c>
      <c r="J18" s="24" t="n">
        <v>246.51</v>
      </c>
      <c r="K18" s="24" t="n">
        <v>48.07</v>
      </c>
      <c r="L18" s="24" t="n">
        <v>0</v>
      </c>
      <c r="M18" s="24" t="n">
        <v>0</v>
      </c>
      <c r="N18" s="24" t="n">
        <v>0</v>
      </c>
      <c r="O18" s="19" t="inlineStr">
        <is>
          <t>Uso e consumo (reagente de laboratório) [NCM 38221990]</t>
        </is>
      </c>
      <c r="P18" s="17" t="inlineStr"/>
      <c r="Q18" s="17" t="inlineStr"/>
    </row>
    <row r="19">
      <c r="A19" s="7" t="n">
        <v>46267</v>
      </c>
      <c r="B19" s="5" t="inlineStr">
        <is>
          <t>REATEC DO BRASIL LTDA</t>
        </is>
      </c>
      <c r="C19" s="5" t="inlineStr">
        <is>
          <t>62341566000134</t>
        </is>
      </c>
      <c r="D19" s="5" t="n">
        <v>695</v>
      </c>
      <c r="E19" s="5" t="n">
        <v>1</v>
      </c>
      <c r="F19" s="5" t="inlineStr">
        <is>
          <t>ETANOLAMINA MONO PS 1000ml  (2-Aminoetanol) REATEC</t>
        </is>
      </c>
      <c r="G19" s="5" t="inlineStr">
        <is>
          <t>29221100</t>
        </is>
      </c>
      <c r="H19" s="5" t="inlineStr">
        <is>
          <t>5102</t>
        </is>
      </c>
      <c r="I19" s="5" t="inlineStr">
        <is>
          <t>1556</t>
        </is>
      </c>
      <c r="J19" s="6" t="n">
        <v>3738</v>
      </c>
      <c r="K19" s="6" t="n">
        <v>0</v>
      </c>
      <c r="L19" s="6" t="n">
        <v>0</v>
      </c>
      <c r="M19" s="6" t="n">
        <v>0</v>
      </c>
      <c r="N19" s="6" t="n">
        <v>0</v>
      </c>
      <c r="O19" s="5" t="inlineStr">
        <is>
          <t>Uso e consumo (classificação do SPED anterior) [SPED anterior: CFOP 1556]</t>
        </is>
      </c>
      <c r="P19" s="17" t="inlineStr"/>
      <c r="Q19" s="17" t="inlineStr"/>
    </row>
    <row r="20">
      <c r="A20" s="7" t="n">
        <v>46267</v>
      </c>
      <c r="B20" s="5" t="inlineStr">
        <is>
          <t>THERMOSUL RESISTENCIAS ELETRICAS LTDA</t>
        </is>
      </c>
      <c r="C20" s="5" t="inlineStr">
        <is>
          <t>66434370000145</t>
        </is>
      </c>
      <c r="D20" s="5" t="n">
        <v>300</v>
      </c>
      <c r="E20" s="5" t="n">
        <v>1</v>
      </c>
      <c r="F20" s="5" t="inlineStr">
        <is>
          <t>RESIST. MICA EM U D85X105X85X110MM 800WX220V C/8 FUROS D8MM CABO 200MM</t>
        </is>
      </c>
      <c r="G20" s="5" t="inlineStr">
        <is>
          <t>85334099</t>
        </is>
      </c>
      <c r="H20" s="5" t="inlineStr">
        <is>
          <t>5101</t>
        </is>
      </c>
      <c r="I20" s="5" t="inlineStr">
        <is>
          <t>1556</t>
        </is>
      </c>
      <c r="J20" s="6" t="n">
        <v>1296</v>
      </c>
      <c r="K20" s="6" t="n">
        <v>0</v>
      </c>
      <c r="L20" s="6" t="n">
        <v>0</v>
      </c>
      <c r="M20" s="6" t="n">
        <v>0</v>
      </c>
      <c r="N20" s="6" t="n">
        <v>0</v>
      </c>
      <c r="O20" s="5" t="inlineStr">
        <is>
          <t>Uso e consumo (peça de manutenção) [NCM 85334099]</t>
        </is>
      </c>
      <c r="P20" s="17" t="inlineStr"/>
      <c r="Q20" s="17" t="inlineStr"/>
    </row>
    <row r="21">
      <c r="A21" s="7" t="n">
        <v>46267</v>
      </c>
      <c r="B21" s="5" t="inlineStr">
        <is>
          <t>THERMOSUL RESISTENCIAS ELETRICAS LTDA</t>
        </is>
      </c>
      <c r="C21" s="5" t="inlineStr">
        <is>
          <t>66434370000145</t>
        </is>
      </c>
      <c r="D21" s="5" t="n">
        <v>300</v>
      </c>
      <c r="E21" s="5" t="n">
        <v>2</v>
      </c>
      <c r="F21" s="5" t="inlineStr">
        <is>
          <t>RESIST. COL. EM U 80X105X80X109MM 800WX220V CABO 200MM C/8 FUROS D14MM 1 FURO D15 CABO 200MM</t>
        </is>
      </c>
      <c r="G21" s="5" t="inlineStr">
        <is>
          <t>85334099</t>
        </is>
      </c>
      <c r="H21" s="5" t="inlineStr">
        <is>
          <t>5101</t>
        </is>
      </c>
      <c r="I21" s="5" t="inlineStr">
        <is>
          <t>1556</t>
        </is>
      </c>
      <c r="J21" s="6" t="n">
        <v>1296</v>
      </c>
      <c r="K21" s="6" t="n">
        <v>0</v>
      </c>
      <c r="L21" s="6" t="n">
        <v>0</v>
      </c>
      <c r="M21" s="6" t="n">
        <v>0</v>
      </c>
      <c r="N21" s="6" t="n">
        <v>0</v>
      </c>
      <c r="O21" s="5" t="inlineStr">
        <is>
          <t>Uso e consumo (peça de manutenção) [NCM 85334099]</t>
        </is>
      </c>
      <c r="P21" s="17" t="inlineStr"/>
      <c r="Q21" s="17" t="inlineStr"/>
    </row>
    <row r="22">
      <c r="A22" s="7" t="n">
        <v>46267</v>
      </c>
      <c r="B22" s="5" t="inlineStr">
        <is>
          <t>YAHWEH PRINT BRASIL LTDA</t>
        </is>
      </c>
      <c r="C22" s="5" t="inlineStr">
        <is>
          <t>52680145000184</t>
        </is>
      </c>
      <c r="D22" s="5" t="n">
        <v>786</v>
      </c>
      <c r="E22" s="5" t="n">
        <v>1</v>
      </c>
      <c r="F22" s="5" t="inlineStr">
        <is>
          <t>Etiqueta Cliche Personalizado</t>
        </is>
      </c>
      <c r="G22" s="5" t="inlineStr">
        <is>
          <t>48211000</t>
        </is>
      </c>
      <c r="H22" s="5" t="inlineStr">
        <is>
          <t>5101</t>
        </is>
      </c>
      <c r="I22" s="5" t="inlineStr">
        <is>
          <t>1101</t>
        </is>
      </c>
      <c r="J22" s="6" t="n">
        <v>470.31</v>
      </c>
      <c r="K22" s="6" t="n">
        <v>0</v>
      </c>
      <c r="L22" s="6" t="n">
        <v>0</v>
      </c>
      <c r="M22" s="6" t="n">
        <v>0</v>
      </c>
      <c r="N22" s="6" t="n">
        <v>0</v>
      </c>
      <c r="O22" s="5" t="inlineStr">
        <is>
          <t>Insumo (classificação do SPED anterior) [SPED anterior: CFOP 1101]</t>
        </is>
      </c>
      <c r="P22" s="17" t="inlineStr"/>
      <c r="Q22" s="17" t="inlineStr"/>
    </row>
    <row r="23">
      <c r="A23" s="7" t="n">
        <v>46267</v>
      </c>
      <c r="B23" s="5" t="inlineStr">
        <is>
          <t>YAHWEH PRINT BRASIL LTDA</t>
        </is>
      </c>
      <c r="C23" s="5" t="inlineStr">
        <is>
          <t>52680145000184</t>
        </is>
      </c>
      <c r="D23" s="5" t="n">
        <v>786</v>
      </c>
      <c r="E23" s="5" t="n">
        <v>2</v>
      </c>
      <c r="F23" s="5" t="inlineStr">
        <is>
          <t>Etiqueta Rotulo Cosmetici - Oleo Vegetal Cartamo 50ml - 40x100 mm - Bopp Metalizado - Lam.</t>
        </is>
      </c>
      <c r="G23" s="5" t="inlineStr">
        <is>
          <t>48211000</t>
        </is>
      </c>
      <c r="H23" s="5" t="inlineStr">
        <is>
          <t>5101</t>
        </is>
      </c>
      <c r="I23" s="5" t="inlineStr">
        <is>
          <t>1101</t>
        </is>
      </c>
      <c r="J23" s="6" t="n">
        <v>974.91</v>
      </c>
      <c r="K23" s="6" t="n">
        <v>0</v>
      </c>
      <c r="L23" s="6" t="n">
        <v>0</v>
      </c>
      <c r="M23" s="6" t="n">
        <v>0</v>
      </c>
      <c r="N23" s="6" t="n">
        <v>0</v>
      </c>
      <c r="O23" s="5" t="inlineStr">
        <is>
          <t>Insumo (classificação do SPED anterior) [SPED anterior: CFOP 1101]</t>
        </is>
      </c>
      <c r="P23" s="17" t="inlineStr"/>
      <c r="Q23" s="17" t="inlineStr"/>
    </row>
    <row r="24">
      <c r="A24" s="7" t="n">
        <v>46267</v>
      </c>
      <c r="B24" s="5" t="inlineStr">
        <is>
          <t>YAHWEH PRINT BRASIL LTDA</t>
        </is>
      </c>
      <c r="C24" s="5" t="inlineStr">
        <is>
          <t>52680145000184</t>
        </is>
      </c>
      <c r="D24" s="5" t="n">
        <v>786</v>
      </c>
      <c r="E24" s="5" t="n">
        <v>3</v>
      </c>
      <c r="F24" s="5" t="inlineStr">
        <is>
          <t>Etiqueta Rotulo Cosmetici - Oleo Vegetal Chia 50ml - 40x100 mm - Bopp Metalizado - Lam.</t>
        </is>
      </c>
      <c r="G24" s="5" t="inlineStr">
        <is>
          <t>48211000</t>
        </is>
      </c>
      <c r="H24" s="5" t="inlineStr">
        <is>
          <t>5101</t>
        </is>
      </c>
      <c r="I24" s="5" t="inlineStr">
        <is>
          <t>1101</t>
        </is>
      </c>
      <c r="J24" s="6" t="n">
        <v>991.53</v>
      </c>
      <c r="K24" s="6" t="n">
        <v>0</v>
      </c>
      <c r="L24" s="6" t="n">
        <v>0</v>
      </c>
      <c r="M24" s="6" t="n">
        <v>0</v>
      </c>
      <c r="N24" s="6" t="n">
        <v>0</v>
      </c>
      <c r="O24" s="5" t="inlineStr">
        <is>
          <t>Insumo (classificação do SPED anterior) [SPED anterior: CFOP 1101]</t>
        </is>
      </c>
      <c r="P24" s="17" t="inlineStr"/>
      <c r="Q24" s="17" t="inlineStr"/>
    </row>
    <row r="25">
      <c r="A25" s="7" t="n">
        <v>46267</v>
      </c>
      <c r="B25" s="5" t="inlineStr">
        <is>
          <t>YAHWEH PRINT BRASIL LTDA</t>
        </is>
      </c>
      <c r="C25" s="5" t="inlineStr">
        <is>
          <t>52680145000184</t>
        </is>
      </c>
      <c r="D25" s="5" t="n">
        <v>786</v>
      </c>
      <c r="E25" s="5" t="n">
        <v>4</v>
      </c>
      <c r="F25" s="5" t="inlineStr">
        <is>
          <t>Etiqueta Rotulo Cosmetici - Oleo Vegetal Girassol 50ml - 40x100 mm - Bopp Metalizado - Lam.</t>
        </is>
      </c>
      <c r="G25" s="5" t="inlineStr">
        <is>
          <t>48211000</t>
        </is>
      </c>
      <c r="H25" s="5" t="inlineStr">
        <is>
          <t>5101</t>
        </is>
      </c>
      <c r="I25" s="5" t="inlineStr">
        <is>
          <t>1101</t>
        </is>
      </c>
      <c r="J25" s="6" t="n">
        <v>979.34</v>
      </c>
      <c r="K25" s="6" t="n">
        <v>0</v>
      </c>
      <c r="L25" s="6" t="n">
        <v>0</v>
      </c>
      <c r="M25" s="6" t="n">
        <v>0</v>
      </c>
      <c r="N25" s="6" t="n">
        <v>0</v>
      </c>
      <c r="O25" s="5" t="inlineStr">
        <is>
          <t>Insumo (classificação do SPED anterior) [SPED anterior: CFOP 1101]</t>
        </is>
      </c>
      <c r="P25" s="17" t="inlineStr"/>
      <c r="Q25" s="17" t="inlineStr"/>
    </row>
    <row r="26">
      <c r="A26" s="7" t="n">
        <v>46267</v>
      </c>
      <c r="B26" s="5" t="inlineStr">
        <is>
          <t>YAHWEH PRINT BRASIL LTDA</t>
        </is>
      </c>
      <c r="C26" s="5" t="inlineStr">
        <is>
          <t>52680145000184</t>
        </is>
      </c>
      <c r="D26" s="5" t="n">
        <v>786</v>
      </c>
      <c r="E26" s="5" t="n">
        <v>5</v>
      </c>
      <c r="F26" s="5" t="inlineStr">
        <is>
          <t>Etiqueta Cliche Personalizado</t>
        </is>
      </c>
      <c r="G26" s="5" t="inlineStr">
        <is>
          <t>48211000</t>
        </is>
      </c>
      <c r="H26" s="5" t="inlineStr">
        <is>
          <t>5101</t>
        </is>
      </c>
      <c r="I26" s="5" t="inlineStr">
        <is>
          <t>1101</t>
        </is>
      </c>
      <c r="J26" s="6" t="n">
        <v>546.26</v>
      </c>
      <c r="K26" s="6" t="n">
        <v>0</v>
      </c>
      <c r="L26" s="6" t="n">
        <v>0</v>
      </c>
      <c r="M26" s="6" t="n">
        <v>0</v>
      </c>
      <c r="N26" s="6" t="n">
        <v>0</v>
      </c>
      <c r="O26" s="5" t="inlineStr">
        <is>
          <t>Insumo (classificação do SPED anterior) [SPED anterior: CFOP 1101]</t>
        </is>
      </c>
      <c r="P26" s="17" t="inlineStr"/>
      <c r="Q26" s="17" t="inlineStr"/>
    </row>
    <row r="27">
      <c r="A27" s="7" t="n">
        <v>46267</v>
      </c>
      <c r="B27" s="5" t="inlineStr">
        <is>
          <t>YAHWEH PRINT BRASIL LTDA</t>
        </is>
      </c>
      <c r="C27" s="5" t="inlineStr">
        <is>
          <t>52680145000184</t>
        </is>
      </c>
      <c r="D27" s="5" t="n">
        <v>786</v>
      </c>
      <c r="E27" s="5" t="n">
        <v>6</v>
      </c>
      <c r="F27" s="5" t="inlineStr">
        <is>
          <t>Etiqueta Rotulo Cosmetici Desperta Cachos 300ml- 155x140 mm - Bopp Metalizado - Lam. Fosca.</t>
        </is>
      </c>
      <c r="G27" s="5" t="inlineStr">
        <is>
          <t>48211000</t>
        </is>
      </c>
      <c r="H27" s="5" t="inlineStr">
        <is>
          <t>5101</t>
        </is>
      </c>
      <c r="I27" s="5" t="inlineStr">
        <is>
          <t>1101</t>
        </is>
      </c>
      <c r="J27" s="6" t="n">
        <v>3090.44</v>
      </c>
      <c r="K27" s="6" t="n">
        <v>0</v>
      </c>
      <c r="L27" s="6" t="n">
        <v>0</v>
      </c>
      <c r="M27" s="6" t="n">
        <v>0</v>
      </c>
      <c r="N27" s="6" t="n">
        <v>0</v>
      </c>
      <c r="O27" s="5" t="inlineStr">
        <is>
          <t>Insumo (classificação do SPED anterior) [SPED anterior: CFOP 1101]</t>
        </is>
      </c>
      <c r="P27" s="17" t="inlineStr"/>
      <c r="Q27" s="17" t="inlineStr"/>
    </row>
    <row r="28">
      <c r="A28" s="7" t="n">
        <v>46268</v>
      </c>
      <c r="B28" s="5" t="inlineStr">
        <is>
          <t>DISPOLI COMERCIO DE COSMETICOS LTDA</t>
        </is>
      </c>
      <c r="C28" s="5" t="inlineStr">
        <is>
          <t>41726398000125</t>
        </is>
      </c>
      <c r="D28" s="5" t="n">
        <v>4920</v>
      </c>
      <c r="E28" s="5" t="n">
        <v>1</v>
      </c>
      <c r="F28" s="5" t="inlineStr">
        <is>
          <t>LUVA DESCARTAVEL PLASTICA POLI C/100 UN</t>
        </is>
      </c>
      <c r="G28" s="5" t="inlineStr">
        <is>
          <t>39262000</t>
        </is>
      </c>
      <c r="H28" s="5" t="inlineStr">
        <is>
          <t>5102</t>
        </is>
      </c>
      <c r="I28" s="5" t="inlineStr">
        <is>
          <t>1556</t>
        </is>
      </c>
      <c r="J28" s="6" t="n">
        <v>169.38</v>
      </c>
      <c r="K28" s="6" t="n">
        <v>0</v>
      </c>
      <c r="L28" s="6" t="n">
        <v>0</v>
      </c>
      <c r="M28" s="6" t="n">
        <v>0</v>
      </c>
      <c r="N28" s="6" t="n">
        <v>0</v>
      </c>
      <c r="O28" s="5" t="inlineStr">
        <is>
          <t>Uso e consumo (luva/artigo plástico) [NCM 39262000]</t>
        </is>
      </c>
      <c r="P28" s="17" t="inlineStr"/>
      <c r="Q28" s="17" t="inlineStr"/>
    </row>
    <row r="29">
      <c r="A29" s="7" t="n">
        <v>46268</v>
      </c>
      <c r="B29" s="5" t="inlineStr">
        <is>
          <t>JOSE DOMINGOS LINARES LTDA</t>
        </is>
      </c>
      <c r="C29" s="5" t="inlineStr">
        <is>
          <t>03839251000152</t>
        </is>
      </c>
      <c r="D29" s="5" t="n">
        <v>5048</v>
      </c>
      <c r="E29" s="5" t="n">
        <v>1</v>
      </c>
      <c r="F29" s="5" t="inlineStr">
        <is>
          <t>CARTUCHO COLA FUNDO AUTOMATICO - NATURA COLOR 60G - 367X30X160CM (CLA)</t>
        </is>
      </c>
      <c r="G29" s="5" t="inlineStr">
        <is>
          <t>49111090</t>
        </is>
      </c>
      <c r="H29" s="5" t="inlineStr">
        <is>
          <t>5923</t>
        </is>
      </c>
      <c r="I29" s="5" t="inlineStr">
        <is>
          <t>1923</t>
        </is>
      </c>
      <c r="J29" s="6" t="n">
        <v>1964</v>
      </c>
      <c r="K29" s="6" t="n">
        <v>0</v>
      </c>
      <c r="L29" s="6" t="n">
        <v>0</v>
      </c>
      <c r="M29" s="6" t="n">
        <v>0</v>
      </c>
      <c r="N29" s="6" t="n">
        <v>0</v>
      </c>
      <c r="O29" s="5" t="inlineStr">
        <is>
          <t>Remessa por conta e ordem de terceiros em venda à ordem (a venda vem em outra nota) [CFOP 5923]</t>
        </is>
      </c>
      <c r="P29" s="17" t="inlineStr"/>
      <c r="Q29" s="17" t="inlineStr"/>
    </row>
    <row r="30">
      <c r="A30" s="7" t="n">
        <v>46269</v>
      </c>
      <c r="B30" s="5" t="inlineStr">
        <is>
          <t>AGATHA INDUSTRIA DE MANUFATURADOS LTDA</t>
        </is>
      </c>
      <c r="C30" s="5" t="inlineStr">
        <is>
          <t>54079636000108</t>
        </is>
      </c>
      <c r="D30" s="5" t="n">
        <v>2564</v>
      </c>
      <c r="E30" s="5" t="n">
        <v>1</v>
      </c>
      <c r="F30" s="5" t="inlineStr">
        <is>
          <t>PINCEL TAM G PROFISSIONAL</t>
        </is>
      </c>
      <c r="G30" s="5" t="inlineStr">
        <is>
          <t>96033000</t>
        </is>
      </c>
      <c r="H30" s="5" t="inlineStr">
        <is>
          <t>6949</t>
        </is>
      </c>
      <c r="I30" s="5" t="inlineStr">
        <is>
          <t>2556</t>
        </is>
      </c>
      <c r="J30" s="6" t="n">
        <v>924</v>
      </c>
      <c r="K30" s="6" t="n">
        <v>0</v>
      </c>
      <c r="L30" s="6" t="n">
        <v>0</v>
      </c>
      <c r="M30" s="6" t="n">
        <v>0</v>
      </c>
      <c r="N30" s="6" t="n">
        <v>0</v>
      </c>
      <c r="O30" s="5" t="inlineStr">
        <is>
          <t>Uso e consumo (classificação do SPED anterior) [SPED anterior: CFOP 2556]</t>
        </is>
      </c>
      <c r="P30" s="17" t="inlineStr"/>
      <c r="Q30" s="17" t="inlineStr"/>
    </row>
    <row r="31">
      <c r="A31" s="7" t="n">
        <v>46274</v>
      </c>
      <c r="B31" s="5" t="inlineStr">
        <is>
          <t>JOSE DOMINGOS LINARES LTDA</t>
        </is>
      </c>
      <c r="C31" s="5" t="inlineStr">
        <is>
          <t>03839251000152</t>
        </is>
      </c>
      <c r="D31" s="5" t="n">
        <v>5080</v>
      </c>
      <c r="E31" s="5" t="n">
        <v>1</v>
      </c>
      <c r="F31" s="5" t="inlineStr">
        <is>
          <t>CAIXA - MODELO NATURA COLOR 60G - 1 MODELOS - 14,8X23CM</t>
        </is>
      </c>
      <c r="G31" s="5" t="inlineStr">
        <is>
          <t>49111090</t>
        </is>
      </c>
      <c r="H31" s="5" t="inlineStr">
        <is>
          <t>5924</t>
        </is>
      </c>
      <c r="I31" s="5" t="inlineStr">
        <is>
          <t>1924</t>
        </is>
      </c>
      <c r="J31" s="6" t="n">
        <v>5670</v>
      </c>
      <c r="K31" s="6" t="n">
        <v>0</v>
      </c>
      <c r="L31" s="6" t="n">
        <v>0</v>
      </c>
      <c r="M31" s="6" t="n">
        <v>0</v>
      </c>
      <c r="N31" s="6" t="n">
        <v>0</v>
      </c>
      <c r="O31" s="5" t="inlineStr">
        <is>
          <t>Remessa para industrialização por conta e ordem do adquirente (insumo do cliente) [CFOP 5924]</t>
        </is>
      </c>
      <c r="P31" s="17" t="inlineStr"/>
      <c r="Q31" s="17" t="inlineStr"/>
    </row>
    <row r="32">
      <c r="A32" s="7" t="n">
        <v>46274</v>
      </c>
      <c r="B32" s="5" t="inlineStr">
        <is>
          <t>YAHWEH PRINT BRASIL LTDA</t>
        </is>
      </c>
      <c r="C32" s="5" t="inlineStr">
        <is>
          <t>52680145000184</t>
        </is>
      </c>
      <c r="D32" s="5" t="n">
        <v>795</v>
      </c>
      <c r="E32" s="5" t="n">
        <v>1</v>
      </c>
      <c r="F32" s="5" t="inlineStr">
        <is>
          <t>Etiqueta Rotulo Cosmetici Afronature Neutralizante - 211x127 mm - Bopp Transparente - Pantone</t>
        </is>
      </c>
      <c r="G32" s="5" t="inlineStr">
        <is>
          <t>48211000</t>
        </is>
      </c>
      <c r="H32" s="5" t="inlineStr">
        <is>
          <t>5101</t>
        </is>
      </c>
      <c r="I32" s="5" t="inlineStr">
        <is>
          <t>1101</t>
        </is>
      </c>
      <c r="J32" s="6" t="n">
        <v>3890.5</v>
      </c>
      <c r="K32" s="6" t="n">
        <v>0</v>
      </c>
      <c r="L32" s="6" t="n">
        <v>0</v>
      </c>
      <c r="M32" s="6" t="n">
        <v>0</v>
      </c>
      <c r="N32" s="6" t="n">
        <v>0</v>
      </c>
      <c r="O32" s="5" t="inlineStr">
        <is>
          <t>Insumo (classificação do SPED anterior) [SPED anterior: CFOP 1101]</t>
        </is>
      </c>
      <c r="P32" s="17" t="inlineStr"/>
      <c r="Q32" s="17" t="inlineStr"/>
    </row>
    <row r="33">
      <c r="A33" s="7" t="n">
        <v>46274</v>
      </c>
      <c r="B33" s="5" t="inlineStr">
        <is>
          <t>YAHWEH PRINT BRASIL LTDA</t>
        </is>
      </c>
      <c r="C33" s="5" t="inlineStr">
        <is>
          <t>52680145000184</t>
        </is>
      </c>
      <c r="D33" s="5" t="n">
        <v>795</v>
      </c>
      <c r="E33" s="5" t="n">
        <v>2</v>
      </c>
      <c r="F33" s="5" t="inlineStr">
        <is>
          <t>Etiqueta Cliche Personalizado</t>
        </is>
      </c>
      <c r="G33" s="5" t="inlineStr">
        <is>
          <t>48211000</t>
        </is>
      </c>
      <c r="H33" s="5" t="inlineStr">
        <is>
          <t>5101</t>
        </is>
      </c>
      <c r="I33" s="5" t="inlineStr">
        <is>
          <t>1101</t>
        </is>
      </c>
      <c r="J33" s="6" t="n">
        <v>216.39</v>
      </c>
      <c r="K33" s="6" t="n">
        <v>0</v>
      </c>
      <c r="L33" s="6" t="n">
        <v>0</v>
      </c>
      <c r="M33" s="6" t="n">
        <v>0</v>
      </c>
      <c r="N33" s="6" t="n">
        <v>0</v>
      </c>
      <c r="O33" s="5" t="inlineStr">
        <is>
          <t>Insumo (classificação do SPED anterior) [SPED anterior: CFOP 1101]</t>
        </is>
      </c>
      <c r="P33" s="17" t="inlineStr"/>
      <c r="Q33" s="17" t="inlineStr"/>
    </row>
    <row r="34">
      <c r="A34" s="7" t="n">
        <v>46279</v>
      </c>
      <c r="B34" s="5" t="inlineStr">
        <is>
          <t>BEPUMP IMPORTACAO E EXPORTACAO LTDA</t>
        </is>
      </c>
      <c r="C34" s="5" t="inlineStr">
        <is>
          <t>39237959000180</t>
        </is>
      </c>
      <c r="D34" s="5" t="n">
        <v>8099</v>
      </c>
      <c r="E34" s="5" t="n">
        <v>1</v>
      </c>
      <c r="F34" s="5" t="inlineStr">
        <is>
          <t>VALVULA MIST SPRAYER 24/410 PRATA</t>
        </is>
      </c>
      <c r="G34" s="5" t="inlineStr">
        <is>
          <t>84248990</t>
        </is>
      </c>
      <c r="H34" s="5" t="inlineStr">
        <is>
          <t>6924</t>
        </is>
      </c>
      <c r="I34" s="5" t="inlineStr">
        <is>
          <t>2924</t>
        </is>
      </c>
      <c r="J34" s="6" t="n">
        <v>1408.12</v>
      </c>
      <c r="K34" s="6" t="n">
        <v>0</v>
      </c>
      <c r="L34" s="6" t="n">
        <v>0</v>
      </c>
      <c r="M34" s="6" t="n">
        <v>0</v>
      </c>
      <c r="N34" s="6" t="n">
        <v>0</v>
      </c>
      <c r="O34" s="5" t="inlineStr">
        <is>
          <t>Remessa para industrialização por conta e ordem do adquirente (insumo do cliente) [CFOP 6924]</t>
        </is>
      </c>
      <c r="P34" s="17" t="inlineStr"/>
      <c r="Q34" s="17" t="inlineStr"/>
    </row>
    <row r="35">
      <c r="A35" s="7" t="n">
        <v>46279</v>
      </c>
      <c r="B35" s="5" t="inlineStr">
        <is>
          <t>CAETANO PLASTICOS EMBALAGENS LTDA</t>
        </is>
      </c>
      <c r="C35" s="5" t="inlineStr">
        <is>
          <t>37295717000118</t>
        </is>
      </c>
      <c r="D35" s="5" t="n">
        <v>13721</v>
      </c>
      <c r="E35" s="5" t="n">
        <v>1</v>
      </c>
      <c r="F35" s="5" t="inlineStr">
        <is>
          <t>SACOS PLASTICOS 18X30X0,10 C/1000 UNID.</t>
        </is>
      </c>
      <c r="G35" s="5" t="inlineStr">
        <is>
          <t>39232110</t>
        </is>
      </c>
      <c r="H35" s="5" t="inlineStr">
        <is>
          <t>5102</t>
        </is>
      </c>
      <c r="I35" s="5" t="inlineStr">
        <is>
          <t>1101</t>
        </is>
      </c>
      <c r="J35" s="6" t="n">
        <v>50.56</v>
      </c>
      <c r="K35" s="6" t="n">
        <v>0</v>
      </c>
      <c r="L35" s="6" t="n">
        <v>0</v>
      </c>
      <c r="M35" s="6" t="n">
        <v>0</v>
      </c>
      <c r="N35" s="6" t="n">
        <v>0</v>
      </c>
      <c r="O35" s="5" t="inlineStr">
        <is>
          <t>Insumo (classificação do SPED anterior) [SPED anterior: CFOP 1101]</t>
        </is>
      </c>
      <c r="P35" s="17" t="inlineStr"/>
      <c r="Q35" s="17" t="inlineStr"/>
    </row>
    <row r="36">
      <c r="A36" s="7" t="n">
        <v>46279</v>
      </c>
      <c r="B36" s="5" t="inlineStr">
        <is>
          <t>CAETANO PLASTICOS EMBALAGENS LTDA</t>
        </is>
      </c>
      <c r="C36" s="5" t="inlineStr">
        <is>
          <t>37295717000118</t>
        </is>
      </c>
      <c r="D36" s="5" t="n">
        <v>13721</v>
      </c>
      <c r="E36" s="5" t="n">
        <v>2</v>
      </c>
      <c r="F36" s="5" t="inlineStr">
        <is>
          <t>SACOS PLASTICOS 40X60X0,10 C/1000 UNID.</t>
        </is>
      </c>
      <c r="G36" s="5" t="inlineStr">
        <is>
          <t>39232190</t>
        </is>
      </c>
      <c r="H36" s="5" t="inlineStr">
        <is>
          <t>5102</t>
        </is>
      </c>
      <c r="I36" s="5" t="inlineStr">
        <is>
          <t>1101</t>
        </is>
      </c>
      <c r="J36" s="6" t="n">
        <v>224.64</v>
      </c>
      <c r="K36" s="6" t="n">
        <v>0</v>
      </c>
      <c r="L36" s="6" t="n">
        <v>0</v>
      </c>
      <c r="M36" s="6" t="n">
        <v>0</v>
      </c>
      <c r="N36" s="6" t="n">
        <v>0</v>
      </c>
      <c r="O36" s="5" t="inlineStr">
        <is>
          <t>Insumo (classificação do SPED anterior) [SPED anterior: CFOP 1101]</t>
        </is>
      </c>
      <c r="P36" s="17" t="inlineStr"/>
      <c r="Q36" s="17" t="inlineStr"/>
    </row>
    <row r="37">
      <c r="A37" s="7" t="n">
        <v>46279</v>
      </c>
      <c r="B37" s="5" t="inlineStr">
        <is>
          <t>CAETANO PLASTICOS EMBALAGENS LTDA</t>
        </is>
      </c>
      <c r="C37" s="5" t="inlineStr">
        <is>
          <t>37295717000118</t>
        </is>
      </c>
      <c r="D37" s="5" t="n">
        <v>13721</v>
      </c>
      <c r="E37" s="5" t="n">
        <v>3</v>
      </c>
      <c r="F37" s="5" t="inlineStr">
        <is>
          <t>SACOS PLASTICOS 60X100X0,10 C/1000 UNID.</t>
        </is>
      </c>
      <c r="G37" s="5" t="inlineStr">
        <is>
          <t>39232190</t>
        </is>
      </c>
      <c r="H37" s="5" t="inlineStr">
        <is>
          <t>5102</t>
        </is>
      </c>
      <c r="I37" s="5" t="inlineStr">
        <is>
          <t>1101</t>
        </is>
      </c>
      <c r="J37" s="6" t="n">
        <v>561.6</v>
      </c>
      <c r="K37" s="6" t="n">
        <v>0</v>
      </c>
      <c r="L37" s="6" t="n">
        <v>0</v>
      </c>
      <c r="M37" s="6" t="n">
        <v>0</v>
      </c>
      <c r="N37" s="6" t="n">
        <v>0</v>
      </c>
      <c r="O37" s="5" t="inlineStr">
        <is>
          <t>Insumo (classificação do SPED anterior) [SPED anterior: CFOP 1101]</t>
        </is>
      </c>
      <c r="P37" s="17" t="inlineStr"/>
      <c r="Q37" s="17" t="inlineStr"/>
    </row>
    <row r="38">
      <c r="A38" s="7" t="n">
        <v>46279</v>
      </c>
      <c r="B38" s="5" t="inlineStr">
        <is>
          <t>CAETANO PLASTICOS EMBALAGENS LTDA</t>
        </is>
      </c>
      <c r="C38" s="5" t="inlineStr">
        <is>
          <t>37295717000118</t>
        </is>
      </c>
      <c r="D38" s="5" t="n">
        <v>13721</v>
      </c>
      <c r="E38" s="5" t="n">
        <v>4</v>
      </c>
      <c r="F38" s="5" t="inlineStr">
        <is>
          <t>SACOS PLASTICOS 90X120X0,10 C/100 UNID.</t>
        </is>
      </c>
      <c r="G38" s="5" t="inlineStr">
        <is>
          <t>39232190</t>
        </is>
      </c>
      <c r="H38" s="5" t="inlineStr">
        <is>
          <t>5102</t>
        </is>
      </c>
      <c r="I38" s="5" t="inlineStr">
        <is>
          <t>1101</t>
        </is>
      </c>
      <c r="J38" s="6" t="n">
        <v>1450.02</v>
      </c>
      <c r="K38" s="6" t="n">
        <v>0</v>
      </c>
      <c r="L38" s="6" t="n">
        <v>0</v>
      </c>
      <c r="M38" s="6" t="n">
        <v>0</v>
      </c>
      <c r="N38" s="6" t="n">
        <v>0</v>
      </c>
      <c r="O38" s="5" t="inlineStr">
        <is>
          <t>Insumo (classificação do SPED anterior) [SPED anterior: CFOP 1101]</t>
        </is>
      </c>
      <c r="P38" s="17" t="inlineStr"/>
      <c r="Q38" s="17" t="inlineStr"/>
    </row>
    <row r="39">
      <c r="A39" s="7" t="n">
        <v>46279</v>
      </c>
      <c r="B39" s="5" t="inlineStr">
        <is>
          <t>JOSE DOMINGOS LINARES LTDA</t>
        </is>
      </c>
      <c r="C39" s="5" t="inlineStr">
        <is>
          <t>03839251000152</t>
        </is>
      </c>
      <c r="D39" s="5" t="n">
        <v>5133</v>
      </c>
      <c r="E39" s="5" t="n">
        <v>1</v>
      </c>
      <c r="F39" s="5" t="inlineStr">
        <is>
          <t>ROTULO 03 MODELOS</t>
        </is>
      </c>
      <c r="G39" s="5" t="inlineStr">
        <is>
          <t>49111090</t>
        </is>
      </c>
      <c r="H39" s="5" t="inlineStr">
        <is>
          <t>5924</t>
        </is>
      </c>
      <c r="I39" s="5" t="inlineStr">
        <is>
          <t>1924</t>
        </is>
      </c>
      <c r="J39" s="6" t="n">
        <v>2136</v>
      </c>
      <c r="K39" s="6" t="n">
        <v>0</v>
      </c>
      <c r="L39" s="6" t="n">
        <v>0</v>
      </c>
      <c r="M39" s="6" t="n">
        <v>0</v>
      </c>
      <c r="N39" s="6" t="n">
        <v>0</v>
      </c>
      <c r="O39" s="5" t="inlineStr">
        <is>
          <t>Remessa para industrialização por conta e ordem do adquirente (insumo do cliente) [CFOP 5924]</t>
        </is>
      </c>
      <c r="P39" s="17" t="inlineStr"/>
      <c r="Q39" s="17" t="inlineStr"/>
    </row>
    <row r="40">
      <c r="A40" s="7" t="n">
        <v>46279</v>
      </c>
      <c r="B40" s="5" t="inlineStr">
        <is>
          <t>OUTLET PREMIUM PACK LTDA</t>
        </is>
      </c>
      <c r="C40" s="5" t="inlineStr">
        <is>
          <t>34970658000148</t>
        </is>
      </c>
      <c r="D40" s="5" t="n">
        <v>8112</v>
      </c>
      <c r="E40" s="5" t="n">
        <v>1</v>
      </c>
      <c r="F40" s="5" t="inlineStr">
        <is>
          <t>FRASCO ELEGANCE 60ML 24/410 RUBI LAPIDADO 2MB TAMPA SAN S DEC</t>
        </is>
      </c>
      <c r="G40" s="5" t="inlineStr">
        <is>
          <t>39233090</t>
        </is>
      </c>
      <c r="H40" s="5" t="inlineStr">
        <is>
          <t>6924</t>
        </is>
      </c>
      <c r="I40" s="5" t="inlineStr">
        <is>
          <t>2924</t>
        </is>
      </c>
      <c r="J40" s="6" t="n">
        <v>1064.12</v>
      </c>
      <c r="K40" s="6" t="n">
        <v>0</v>
      </c>
      <c r="L40" s="6" t="n">
        <v>0</v>
      </c>
      <c r="M40" s="6" t="n">
        <v>0</v>
      </c>
      <c r="N40" s="6" t="n">
        <v>0</v>
      </c>
      <c r="O40" s="5" t="inlineStr">
        <is>
          <t>Remessa para industrialização por conta e ordem do adquirente (insumo do cliente) [CFOP 6924]</t>
        </is>
      </c>
      <c r="P40" s="17" t="inlineStr"/>
      <c r="Q40" s="17" t="inlineStr"/>
    </row>
    <row r="41">
      <c r="A41" s="7" t="n">
        <v>46279</v>
      </c>
      <c r="B41" s="5" t="inlineStr">
        <is>
          <t>OUTLET PREMIUM PACK LTDA</t>
        </is>
      </c>
      <c r="C41" s="5" t="inlineStr">
        <is>
          <t>34970658000148</t>
        </is>
      </c>
      <c r="D41" s="5" t="n">
        <v>8112</v>
      </c>
      <c r="E41" s="5" t="n">
        <v>2</v>
      </c>
      <c r="F41" s="5" t="inlineStr">
        <is>
          <t>SOBRETAMPA ELEGANCE PETG 60/100/120ML RUBI LAPIDADO 3MB S DEC</t>
        </is>
      </c>
      <c r="G41" s="5" t="inlineStr">
        <is>
          <t>39235000</t>
        </is>
      </c>
      <c r="H41" s="5" t="inlineStr">
        <is>
          <t>6924</t>
        </is>
      </c>
      <c r="I41" s="5" t="inlineStr">
        <is>
          <t>2924</t>
        </is>
      </c>
      <c r="J41" s="6" t="n">
        <v>1397.91</v>
      </c>
      <c r="K41" s="6" t="n">
        <v>0</v>
      </c>
      <c r="L41" s="6" t="n">
        <v>0</v>
      </c>
      <c r="M41" s="6" t="n">
        <v>0</v>
      </c>
      <c r="N41" s="6" t="n">
        <v>0</v>
      </c>
      <c r="O41" s="5" t="inlineStr">
        <is>
          <t>Remessa para industrialização por conta e ordem do adquirente (insumo do cliente) [CFOP 6924]</t>
        </is>
      </c>
      <c r="P41" s="17" t="inlineStr"/>
      <c r="Q41" s="17" t="inlineStr"/>
    </row>
    <row r="42">
      <c r="A42" s="7" t="n">
        <v>46280</v>
      </c>
      <c r="B42" s="5" t="inlineStr">
        <is>
          <t>ILS TECNOLOGIA EM EQUIP DE SEG DO TRABALHO LTDA</t>
        </is>
      </c>
      <c r="C42" s="5" t="inlineStr">
        <is>
          <t>10265455000192</t>
        </is>
      </c>
      <c r="D42" s="5" t="n">
        <v>40451</v>
      </c>
      <c r="E42" s="5" t="n">
        <v>1</v>
      </c>
      <c r="F42" s="5" t="inlineStr">
        <is>
          <t>BOTINA BRACOL USAFE BIDENSIDADE BICO PVC NR 41 CA - 48413</t>
        </is>
      </c>
      <c r="G42" s="5" t="inlineStr">
        <is>
          <t>64039190</t>
        </is>
      </c>
      <c r="H42" s="5" t="inlineStr">
        <is>
          <t>5102</t>
        </is>
      </c>
      <c r="I42" s="5" t="inlineStr">
        <is>
          <t>1556</t>
        </is>
      </c>
      <c r="J42" s="6" t="n">
        <v>66.40000000000001</v>
      </c>
      <c r="K42" s="6" t="n">
        <v>0</v>
      </c>
      <c r="L42" s="6" t="n">
        <v>0</v>
      </c>
      <c r="M42" s="6" t="n">
        <v>0</v>
      </c>
      <c r="N42" s="6" t="n">
        <v>0</v>
      </c>
      <c r="O42" s="5" t="inlineStr">
        <is>
          <t>Uso e consumo (classificação do SPED anterior) [SPED anterior: CFOP 1556]</t>
        </is>
      </c>
      <c r="P42" s="17" t="inlineStr"/>
      <c r="Q42" s="17" t="inlineStr"/>
    </row>
    <row r="43">
      <c r="A43" s="7" t="n">
        <v>46280</v>
      </c>
      <c r="B43" s="5" t="inlineStr">
        <is>
          <t>ILS TECNOLOGIA EM EQUIP DE SEG DO TRABALHO LTDA</t>
        </is>
      </c>
      <c r="C43" s="5" t="inlineStr">
        <is>
          <t>10265455000192</t>
        </is>
      </c>
      <c r="D43" s="5" t="n">
        <v>40451</v>
      </c>
      <c r="E43" s="5" t="n">
        <v>2</v>
      </c>
      <c r="F43" s="5" t="inlineStr">
        <is>
          <t>BOTA PVC PRETA WORKFLEX C/FORRO C/MEDIO N 40 - CA 37154</t>
        </is>
      </c>
      <c r="G43" s="5" t="inlineStr">
        <is>
          <t>64019200</t>
        </is>
      </c>
      <c r="H43" s="5" t="inlineStr">
        <is>
          <t>5102</t>
        </is>
      </c>
      <c r="I43" s="5" t="inlineStr">
        <is>
          <t>1556</t>
        </is>
      </c>
      <c r="J43" s="6" t="n">
        <v>35.74</v>
      </c>
      <c r="K43" s="6" t="n">
        <v>0</v>
      </c>
      <c r="L43" s="6" t="n">
        <v>0</v>
      </c>
      <c r="M43" s="6" t="n">
        <v>0</v>
      </c>
      <c r="N43" s="6" t="n">
        <v>0</v>
      </c>
      <c r="O43" s="5" t="inlineStr">
        <is>
          <t>Uso e consumo (classificação do SPED anterior) [SPED anterior: CFOP 1556]</t>
        </is>
      </c>
      <c r="P43" s="17" t="inlineStr"/>
      <c r="Q43" s="17" t="inlineStr"/>
    </row>
    <row r="44">
      <c r="A44" s="7" t="n">
        <v>46280</v>
      </c>
      <c r="B44" s="5" t="inlineStr">
        <is>
          <t>ILS TECNOLOGIA EM EQUIP DE SEG DO TRABALHO LTDA</t>
        </is>
      </c>
      <c r="C44" s="5" t="inlineStr">
        <is>
          <t>10265455000192</t>
        </is>
      </c>
      <c r="D44" s="5" t="n">
        <v>40451</v>
      </c>
      <c r="E44" s="5" t="n">
        <v>3</v>
      </c>
      <c r="F44" s="5" t="inlineStr">
        <is>
          <t>SAPATO FLEX CLEAN MARLUVAS PRETO EM EVA TAM 40 CA48714</t>
        </is>
      </c>
      <c r="G44" s="5" t="inlineStr">
        <is>
          <t>64019990</t>
        </is>
      </c>
      <c r="H44" s="5" t="inlineStr">
        <is>
          <t>5102</t>
        </is>
      </c>
      <c r="I44" s="5" t="inlineStr">
        <is>
          <t>1556</t>
        </is>
      </c>
      <c r="J44" s="6" t="n">
        <v>110.62</v>
      </c>
      <c r="K44" s="6" t="n">
        <v>0</v>
      </c>
      <c r="L44" s="6" t="n">
        <v>0</v>
      </c>
      <c r="M44" s="6" t="n">
        <v>0</v>
      </c>
      <c r="N44" s="6" t="n">
        <v>0</v>
      </c>
      <c r="O44" s="5" t="inlineStr">
        <is>
          <t>Uso e consumo (classificação do SPED anterior) [SPED anterior: CFOP 1556]</t>
        </is>
      </c>
      <c r="P44" s="17" t="inlineStr"/>
      <c r="Q44" s="17" t="inlineStr"/>
    </row>
    <row r="45">
      <c r="A45" s="7" t="n">
        <v>46280</v>
      </c>
      <c r="B45" s="5" t="inlineStr">
        <is>
          <t>ILS TECNOLOGIA EM EQUIP DE SEG DO TRABALHO LTDA</t>
        </is>
      </c>
      <c r="C45" s="5" t="inlineStr">
        <is>
          <t>10265455000192</t>
        </is>
      </c>
      <c r="D45" s="5" t="n">
        <v>40451</v>
      </c>
      <c r="E45" s="5" t="n">
        <v>4</v>
      </c>
      <c r="F45" s="5" t="inlineStr">
        <is>
          <t>JALECO TNT KAMICON BRANCO M/LONGA C/BOTAO C/ELAST PCT C/10</t>
        </is>
      </c>
      <c r="G45" s="5" t="inlineStr">
        <is>
          <t>56031190</t>
        </is>
      </c>
      <c r="H45" s="5" t="inlineStr">
        <is>
          <t>5102</t>
        </is>
      </c>
      <c r="I45" s="5" t="inlineStr">
        <is>
          <t>1556</t>
        </is>
      </c>
      <c r="J45" s="6" t="n">
        <v>158.1</v>
      </c>
      <c r="K45" s="6" t="n">
        <v>0</v>
      </c>
      <c r="L45" s="6" t="n">
        <v>0</v>
      </c>
      <c r="M45" s="6" t="n">
        <v>0</v>
      </c>
      <c r="N45" s="6" t="n">
        <v>0</v>
      </c>
      <c r="O45" s="5" t="inlineStr">
        <is>
          <t>Uso e consumo (classificação do SPED anterior) [SPED anterior: CFOP 1556]</t>
        </is>
      </c>
      <c r="P45" s="17" t="inlineStr"/>
      <c r="Q45" s="17" t="inlineStr"/>
    </row>
    <row r="46">
      <c r="A46" s="7" t="n">
        <v>46280</v>
      </c>
      <c r="B46" s="5" t="inlineStr">
        <is>
          <t>JOSE DOMINGOS LINARES LTDA</t>
        </is>
      </c>
      <c r="C46" s="5" t="inlineStr">
        <is>
          <t>03839251000152</t>
        </is>
      </c>
      <c r="D46" s="5" t="n">
        <v>5162</v>
      </c>
      <c r="E46" s="5" t="n">
        <v>1</v>
      </c>
      <c r="F46" s="5" t="inlineStr">
        <is>
          <t>ROTULOS - 11X8,5CM - 3 MODELOS</t>
        </is>
      </c>
      <c r="G46" s="5" t="inlineStr">
        <is>
          <t>49111090</t>
        </is>
      </c>
      <c r="H46" s="5" t="inlineStr">
        <is>
          <t>5923</t>
        </is>
      </c>
      <c r="I46" s="5" t="inlineStr">
        <is>
          <t>1923</t>
        </is>
      </c>
      <c r="J46" s="6" t="n">
        <v>1112</v>
      </c>
      <c r="K46" s="6" t="n">
        <v>0</v>
      </c>
      <c r="L46" s="6" t="n">
        <v>0</v>
      </c>
      <c r="M46" s="6" t="n">
        <v>0</v>
      </c>
      <c r="N46" s="6" t="n">
        <v>0</v>
      </c>
      <c r="O46" s="5" t="inlineStr">
        <is>
          <t>Remessa por conta e ordem de terceiros em venda à ordem (a venda vem em outra nota) [CFOP 5923]</t>
        </is>
      </c>
      <c r="P46" s="17" t="inlineStr"/>
      <c r="Q46" s="17" t="inlineStr"/>
    </row>
    <row r="47">
      <c r="A47" s="7" t="n">
        <v>46281</v>
      </c>
      <c r="B47" s="5" t="inlineStr">
        <is>
          <t>JOSE DOMINGOS LINARES LTDA</t>
        </is>
      </c>
      <c r="C47" s="5" t="inlineStr">
        <is>
          <t>03839251000152</t>
        </is>
      </c>
      <c r="D47" s="5" t="n">
        <v>5170</v>
      </c>
      <c r="E47" s="5" t="n">
        <v>1</v>
      </c>
      <c r="F47" s="5" t="inlineStr">
        <is>
          <t>ADESIVO - 18X15,5CM - 2 MODELOS, LOTE 167070-25212</t>
        </is>
      </c>
      <c r="G47" s="5" t="inlineStr">
        <is>
          <t>48211000</t>
        </is>
      </c>
      <c r="H47" s="5" t="inlineStr">
        <is>
          <t>5924</t>
        </is>
      </c>
      <c r="I47" s="5" t="inlineStr">
        <is>
          <t>1924</t>
        </is>
      </c>
      <c r="J47" s="6" t="n">
        <v>667.2</v>
      </c>
      <c r="K47" s="6" t="n">
        <v>0</v>
      </c>
      <c r="L47" s="6" t="n">
        <v>0</v>
      </c>
      <c r="M47" s="6" t="n">
        <v>0</v>
      </c>
      <c r="N47" s="6" t="n">
        <v>0</v>
      </c>
      <c r="O47" s="5" t="inlineStr">
        <is>
          <t>Remessa para industrialização por conta e ordem do adquirente (insumo do cliente) [CFOP 5924]</t>
        </is>
      </c>
      <c r="P47" s="17" t="inlineStr"/>
      <c r="Q47" s="17" t="inlineStr"/>
    </row>
    <row r="48">
      <c r="A48" s="7" t="n">
        <v>46281</v>
      </c>
      <c r="B48" s="5" t="inlineStr">
        <is>
          <t>SAVATEC COMERCIO E SERVICOS LTDA</t>
        </is>
      </c>
      <c r="C48" s="5" t="inlineStr">
        <is>
          <t>59087034000108</t>
        </is>
      </c>
      <c r="D48" s="5" t="n">
        <v>418</v>
      </c>
      <c r="E48" s="5" t="n">
        <v>1</v>
      </c>
      <c r="F48" s="5" t="inlineStr">
        <is>
          <t>SOLUÇÃO DE LIMPEZA 1000Q</t>
        </is>
      </c>
      <c r="G48" s="5" t="inlineStr">
        <is>
          <t>38140090</t>
        </is>
      </c>
      <c r="H48" s="5" t="inlineStr">
        <is>
          <t>5102</t>
        </is>
      </c>
      <c r="I48" s="5" t="inlineStr">
        <is>
          <t>1556</t>
        </is>
      </c>
      <c r="J48" s="6" t="n">
        <v>331.09</v>
      </c>
      <c r="K48" s="6" t="n">
        <v>0</v>
      </c>
      <c r="L48" s="6" t="n">
        <v>0</v>
      </c>
      <c r="M48" s="6" t="n">
        <v>0</v>
      </c>
      <c r="N48" s="6" t="n">
        <v>0</v>
      </c>
      <c r="O48" s="5" t="inlineStr">
        <is>
          <t>Uso e consumo (classificação do SPED anterior) [SPED anterior: CFOP 1556]</t>
        </is>
      </c>
      <c r="P48" s="17" t="inlineStr"/>
      <c r="Q48" s="17" t="inlineStr"/>
    </row>
    <row r="49">
      <c r="A49" s="7" t="n">
        <v>46281</v>
      </c>
      <c r="B49" s="5" t="inlineStr">
        <is>
          <t>SAVATEC COMERCIO E SERVICOS LTDA</t>
        </is>
      </c>
      <c r="C49" s="5" t="inlineStr">
        <is>
          <t>59087034000108</t>
        </is>
      </c>
      <c r="D49" s="5" t="n">
        <v>418</v>
      </c>
      <c r="E49" s="5" t="n">
        <v>2</v>
      </c>
      <c r="F49" s="5" t="inlineStr">
        <is>
          <t>MAKE UP 7050TP</t>
        </is>
      </c>
      <c r="G49" s="5" t="inlineStr">
        <is>
          <t>38140090</t>
        </is>
      </c>
      <c r="H49" s="5" t="inlineStr">
        <is>
          <t>5102</t>
        </is>
      </c>
      <c r="I49" s="5" t="inlineStr">
        <is>
          <t>1556</t>
        </is>
      </c>
      <c r="J49" s="6" t="n">
        <v>989.65</v>
      </c>
      <c r="K49" s="6" t="n">
        <v>0</v>
      </c>
      <c r="L49" s="6" t="n">
        <v>0</v>
      </c>
      <c r="M49" s="6" t="n">
        <v>0</v>
      </c>
      <c r="N49" s="6" t="n">
        <v>0</v>
      </c>
      <c r="O49" s="5" t="inlineStr">
        <is>
          <t>Uso e consumo (classificação do SPED anterior) [SPED anterior: CFOP 1556]</t>
        </is>
      </c>
      <c r="P49" s="17" t="inlineStr"/>
      <c r="Q49" s="17" t="inlineStr"/>
    </row>
    <row r="50">
      <c r="A50" s="23" t="n">
        <v>46282</v>
      </c>
      <c r="B50" s="19" t="inlineStr">
        <is>
          <t>ALTEC IND.COM.IMP.E EXP.LTDA.</t>
        </is>
      </c>
      <c r="C50" s="19" t="inlineStr">
        <is>
          <t>67598292000187</t>
        </is>
      </c>
      <c r="D50" s="19" t="n">
        <v>30338</v>
      </c>
      <c r="E50" s="19" t="n">
        <v>1</v>
      </c>
      <c r="F50" s="19" t="inlineStr">
        <is>
          <t>TAMPA ALUM.20MM RV PRATA 320580</t>
        </is>
      </c>
      <c r="G50" s="19" t="inlineStr">
        <is>
          <t>83099000</t>
        </is>
      </c>
      <c r="H50" s="19" t="inlineStr">
        <is>
          <t>6101</t>
        </is>
      </c>
      <c r="I50" s="19" t="inlineStr">
        <is>
          <t>2101</t>
        </is>
      </c>
      <c r="J50" s="24" t="n">
        <v>2506.56</v>
      </c>
      <c r="K50" s="24" t="n">
        <v>300.79</v>
      </c>
      <c r="L50" s="24" t="n">
        <v>300.79</v>
      </c>
      <c r="M50" s="24" t="n">
        <v>0</v>
      </c>
      <c r="N50" s="24" t="n">
        <v>0</v>
      </c>
      <c r="O50" s="19" t="inlineStr">
        <is>
          <t>Embalagem (tampa metálica) [NCM 83099000]</t>
        </is>
      </c>
      <c r="P50" s="17" t="inlineStr"/>
      <c r="Q50" s="17" t="inlineStr"/>
    </row>
    <row r="51">
      <c r="A51" s="23" t="n">
        <v>46282</v>
      </c>
      <c r="B51" s="19" t="inlineStr">
        <is>
          <t>CARBON CIENTIFICA LTDA</t>
        </is>
      </c>
      <c r="C51" s="19" t="inlineStr">
        <is>
          <t>44114040000130</t>
        </is>
      </c>
      <c r="D51" s="19" t="n">
        <v>23127</v>
      </c>
      <c r="E51" s="19" t="n">
        <v>1</v>
      </c>
      <c r="F51" s="19" t="inlineStr">
        <is>
          <t>MONOETANOLAMINA PA 1000ML - CARBON lote 11622</t>
        </is>
      </c>
      <c r="G51" s="19" t="inlineStr">
        <is>
          <t>29221100</t>
        </is>
      </c>
      <c r="H51" s="19" t="inlineStr">
        <is>
          <t>5949</t>
        </is>
      </c>
      <c r="I51" s="19" t="inlineStr">
        <is>
          <t>1949</t>
        </is>
      </c>
      <c r="J51" s="24" t="n">
        <v>1</v>
      </c>
      <c r="K51" s="24" t="n">
        <v>0.2</v>
      </c>
      <c r="L51" s="24" t="n">
        <v>0</v>
      </c>
      <c r="M51" s="24" t="n">
        <v>0</v>
      </c>
      <c r="N51" s="24" t="n">
        <v>0</v>
      </c>
      <c r="O51" s="19" t="inlineStr">
        <is>
          <t>Matéria-prima (químico orgânico) - mas CFOP 5949 (outras saídas: amostra/brinde/remessa) [CFOP 5949]</t>
        </is>
      </c>
      <c r="P51" s="17" t="inlineStr"/>
      <c r="Q51" s="17" t="inlineStr"/>
    </row>
    <row r="52">
      <c r="A52" s="23" t="n">
        <v>46282</v>
      </c>
      <c r="B52" s="19" t="inlineStr">
        <is>
          <t>ELLOLIMP COMERCIO DE PRODUTOS DE HIGIENE E LIMPEZA LTDA</t>
        </is>
      </c>
      <c r="C52" s="19" t="inlineStr">
        <is>
          <t>49547438000183</t>
        </is>
      </c>
      <c r="D52" s="19" t="n">
        <v>6782</v>
      </c>
      <c r="E52" s="19" t="n">
        <v>1</v>
      </c>
      <c r="F52" s="19" t="inlineStr">
        <is>
          <t>PANO ROLO MULTIUSO BRANCO 28x240 INOVEN</t>
        </is>
      </c>
      <c r="G52" s="19" t="inlineStr">
        <is>
          <t>56039240</t>
        </is>
      </c>
      <c r="H52" s="19" t="inlineStr">
        <is>
          <t>5102</t>
        </is>
      </c>
      <c r="I52" s="19" t="inlineStr">
        <is>
          <t>1556</t>
        </is>
      </c>
      <c r="J52" s="24" t="n">
        <v>799</v>
      </c>
      <c r="K52" s="24" t="n">
        <v>95.88</v>
      </c>
      <c r="L52" s="24" t="n">
        <v>0</v>
      </c>
      <c r="M52" s="24" t="n">
        <v>0</v>
      </c>
      <c r="N52" s="24" t="n">
        <v>0</v>
      </c>
      <c r="O52" s="19" t="inlineStr">
        <is>
          <t>Uso e consumo (pano/TNT/EPI) [NCM 56039240]</t>
        </is>
      </c>
      <c r="P52" s="17" t="inlineStr"/>
      <c r="Q52" s="17" t="inlineStr"/>
    </row>
    <row r="53">
      <c r="A53" s="23" t="n">
        <v>46282</v>
      </c>
      <c r="B53" s="19" t="inlineStr">
        <is>
          <t>ELLOLIMP COMERCIO DE PRODUTOS DE HIGIENE E LIMPEZA LTDA</t>
        </is>
      </c>
      <c r="C53" s="19" t="inlineStr">
        <is>
          <t>49547438000183</t>
        </is>
      </c>
      <c r="D53" s="19" t="n">
        <v>6782</v>
      </c>
      <c r="E53" s="19" t="n">
        <v>2</v>
      </c>
      <c r="F53" s="19" t="inlineStr">
        <is>
          <t>CABO ALUMINIO S ROSCA NOBRE 22MM X 1,40M</t>
        </is>
      </c>
      <c r="G53" s="19" t="inlineStr">
        <is>
          <t>76082090</t>
        </is>
      </c>
      <c r="H53" s="19" t="inlineStr">
        <is>
          <t>5102</t>
        </is>
      </c>
      <c r="I53" s="19" t="inlineStr">
        <is>
          <t>1556</t>
        </is>
      </c>
      <c r="J53" s="24" t="n">
        <v>34.9</v>
      </c>
      <c r="K53" s="24" t="n">
        <v>6.81</v>
      </c>
      <c r="L53" s="24" t="n">
        <v>0</v>
      </c>
      <c r="M53" s="24" t="n">
        <v>0</v>
      </c>
      <c r="N53" s="24" t="n">
        <v>0</v>
      </c>
      <c r="O53" s="19" t="inlineStr">
        <is>
          <t>Uso e consumo (ferramenta/limpeza) [NCM 76082090]</t>
        </is>
      </c>
      <c r="P53" s="17" t="inlineStr"/>
      <c r="Q53" s="17" t="inlineStr"/>
    </row>
    <row r="54">
      <c r="A54" s="7" t="n">
        <v>46282</v>
      </c>
      <c r="B54" s="5" t="inlineStr">
        <is>
          <t>YAHWEH PRINT BRASIL LTDA</t>
        </is>
      </c>
      <c r="C54" s="5" t="inlineStr">
        <is>
          <t>52680145000184</t>
        </is>
      </c>
      <c r="D54" s="5" t="n">
        <v>814</v>
      </c>
      <c r="E54" s="5" t="n">
        <v>1</v>
      </c>
      <c r="F54" s="5" t="inlineStr">
        <is>
          <t>Etiqueta Balanca - 40x40 mm - Couche Termico - RL 30 Mts Dupla</t>
        </is>
      </c>
      <c r="G54" s="5" t="inlineStr">
        <is>
          <t>48211000</t>
        </is>
      </c>
      <c r="H54" s="5" t="inlineStr">
        <is>
          <t>5101</t>
        </is>
      </c>
      <c r="I54" s="5" t="inlineStr">
        <is>
          <t>1101</t>
        </is>
      </c>
      <c r="J54" s="6" t="n">
        <v>273.5</v>
      </c>
      <c r="K54" s="6" t="n">
        <v>0</v>
      </c>
      <c r="L54" s="6" t="n">
        <v>0</v>
      </c>
      <c r="M54" s="6" t="n">
        <v>0</v>
      </c>
      <c r="N54" s="6" t="n">
        <v>0</v>
      </c>
      <c r="O54" s="5" t="inlineStr">
        <is>
          <t>Insumo (classificação do SPED anterior) [SPED anterior: CFOP 1101]</t>
        </is>
      </c>
      <c r="P54" s="17" t="inlineStr"/>
      <c r="Q54" s="17" t="inlineStr"/>
    </row>
    <row r="55">
      <c r="A55" s="7" t="n">
        <v>46283</v>
      </c>
      <c r="B55" s="5" t="inlineStr">
        <is>
          <t>ONIXSUL COSMETICOS</t>
        </is>
      </c>
      <c r="C55" s="5" t="inlineStr">
        <is>
          <t>18074269000188</t>
        </is>
      </c>
      <c r="D55" s="5" t="n">
        <v>17187</v>
      </c>
      <c r="E55" s="5" t="n">
        <v>1</v>
      </c>
      <c r="F55" s="5" t="inlineStr">
        <is>
          <t>...CDC60 - CARTUCHO COLORACAO DIVINE COLORS 60G</t>
        </is>
      </c>
      <c r="G55" s="5" t="inlineStr">
        <is>
          <t>39239090</t>
        </is>
      </c>
      <c r="H55" s="5" t="inlineStr">
        <is>
          <t>5901</t>
        </is>
      </c>
      <c r="I55" s="5" t="inlineStr">
        <is>
          <t>1901</t>
        </is>
      </c>
      <c r="J55" s="6" t="n">
        <v>5700</v>
      </c>
      <c r="K55" s="6" t="n">
        <v>0</v>
      </c>
      <c r="L55" s="6" t="n">
        <v>0</v>
      </c>
      <c r="M55" s="6" t="n">
        <v>0</v>
      </c>
      <c r="N55" s="6" t="n">
        <v>0</v>
      </c>
      <c r="O55" s="5" t="inlineStr">
        <is>
          <t>Remessa para industrialização por encomenda (insumo do cliente) [CFOP 5901]</t>
        </is>
      </c>
      <c r="P55" s="17" t="inlineStr"/>
      <c r="Q55" s="17" t="inlineStr"/>
    </row>
    <row r="56">
      <c r="A56" s="7" t="n">
        <v>46283</v>
      </c>
      <c r="B56" s="5" t="inlineStr">
        <is>
          <t>Sul Tape Comercio de Embalagens EIRELI</t>
        </is>
      </c>
      <c r="C56" s="5" t="inlineStr">
        <is>
          <t>25141658000144</t>
        </is>
      </c>
      <c r="D56" s="5" t="n">
        <v>3214</v>
      </c>
      <c r="E56" s="5" t="n">
        <v>1</v>
      </c>
      <c r="F56" s="5" t="inlineStr">
        <is>
          <t>FILME STRETCH CORELESS 500 X 25 M</t>
        </is>
      </c>
      <c r="G56" s="5" t="inlineStr">
        <is>
          <t>39201099</t>
        </is>
      </c>
      <c r="H56" s="5" t="inlineStr">
        <is>
          <t>5102</t>
        </is>
      </c>
      <c r="I56" s="5" t="inlineStr">
        <is>
          <t>1556</t>
        </is>
      </c>
      <c r="J56" s="6" t="n">
        <v>340</v>
      </c>
      <c r="K56" s="6" t="n">
        <v>0</v>
      </c>
      <c r="L56" s="6" t="n">
        <v>0</v>
      </c>
      <c r="M56" s="6" t="n">
        <v>0</v>
      </c>
      <c r="N56" s="6" t="n">
        <v>0</v>
      </c>
      <c r="O56" s="5" t="inlineStr">
        <is>
          <t>Uso e consumo (classificação do SPED anterior) [SPED anterior: CFOP 1556]</t>
        </is>
      </c>
      <c r="P56" s="17" t="inlineStr"/>
      <c r="Q56" s="17" t="inlineStr"/>
    </row>
    <row r="57">
      <c r="A57" s="7" t="n">
        <v>46283</v>
      </c>
      <c r="B57" s="5" t="inlineStr">
        <is>
          <t>Sul Tape Comercio de Embalagens EIRELI</t>
        </is>
      </c>
      <c r="C57" s="5" t="inlineStr">
        <is>
          <t>25141658000144</t>
        </is>
      </c>
      <c r="D57" s="5" t="n">
        <v>3214</v>
      </c>
      <c r="E57" s="5" t="n">
        <v>2</v>
      </c>
      <c r="F57" s="5" t="inlineStr">
        <is>
          <t>PLASTICO BOLHA 1,20 MM PRO</t>
        </is>
      </c>
      <c r="G57" s="5" t="inlineStr">
        <is>
          <t>39239090</t>
        </is>
      </c>
      <c r="H57" s="5" t="inlineStr">
        <is>
          <t>5102</t>
        </is>
      </c>
      <c r="I57" s="5" t="inlineStr">
        <is>
          <t>1556</t>
        </is>
      </c>
      <c r="J57" s="6" t="n">
        <v>800</v>
      </c>
      <c r="K57" s="6" t="n">
        <v>0</v>
      </c>
      <c r="L57" s="6" t="n">
        <v>0</v>
      </c>
      <c r="M57" s="6" t="n">
        <v>0</v>
      </c>
      <c r="N57" s="6" t="n">
        <v>0</v>
      </c>
      <c r="O57" s="5" t="inlineStr">
        <is>
          <t>Uso e consumo (classificação do SPED anterior) [SPED anterior: CFOP 1556]</t>
        </is>
      </c>
      <c r="P57" s="17" t="inlineStr"/>
      <c r="Q57" s="17" t="inlineStr"/>
    </row>
    <row r="58">
      <c r="A58" s="7" t="n">
        <v>46286</v>
      </c>
      <c r="B58" s="5" t="inlineStr">
        <is>
          <t>BB COSMETICOS LTDA</t>
        </is>
      </c>
      <c r="C58" s="5" t="inlineStr">
        <is>
          <t>21822008000103</t>
        </is>
      </c>
      <c r="D58" s="5" t="n">
        <v>4551</v>
      </c>
      <c r="E58" s="5" t="n">
        <v>1</v>
      </c>
      <c r="F58" s="5" t="inlineStr">
        <is>
          <t>PUMP 28/410 BRANCA PESCANTE 230MM</t>
        </is>
      </c>
      <c r="G58" s="5" t="inlineStr">
        <is>
          <t>84132000</t>
        </is>
      </c>
      <c r="H58" s="5" t="inlineStr">
        <is>
          <t>5901</t>
        </is>
      </c>
      <c r="I58" s="5" t="inlineStr">
        <is>
          <t>1901</t>
        </is>
      </c>
      <c r="J58" s="6" t="n">
        <v>20</v>
      </c>
      <c r="K58" s="6" t="n">
        <v>0</v>
      </c>
      <c r="L58" s="6" t="n">
        <v>0</v>
      </c>
      <c r="M58" s="6" t="n">
        <v>0</v>
      </c>
      <c r="N58" s="6" t="n">
        <v>0</v>
      </c>
      <c r="O58" s="5" t="inlineStr">
        <is>
          <t>Remessa para industrialização por encomenda (insumo do cliente) [CFOP 5901]</t>
        </is>
      </c>
      <c r="P58" s="17" t="inlineStr"/>
      <c r="Q58" s="17" t="inlineStr"/>
    </row>
    <row r="59">
      <c r="A59" s="7" t="n">
        <v>46286</v>
      </c>
      <c r="B59" s="5" t="inlineStr">
        <is>
          <t>BB COSMETICOS LTDA</t>
        </is>
      </c>
      <c r="C59" s="5" t="inlineStr">
        <is>
          <t>21822008000103</t>
        </is>
      </c>
      <c r="D59" s="5" t="n">
        <v>4551</v>
      </c>
      <c r="E59" s="5" t="n">
        <v>2</v>
      </c>
      <c r="F59" s="5" t="inlineStr">
        <is>
          <t>PUMP PROFISSIONAL 28/410 NATURAL PRESCANTE 270MM</t>
        </is>
      </c>
      <c r="G59" s="5" t="inlineStr">
        <is>
          <t>84132000</t>
        </is>
      </c>
      <c r="H59" s="5" t="inlineStr">
        <is>
          <t>5901</t>
        </is>
      </c>
      <c r="I59" s="5" t="inlineStr">
        <is>
          <t>1901</t>
        </is>
      </c>
      <c r="J59" s="6" t="n">
        <v>20</v>
      </c>
      <c r="K59" s="6" t="n">
        <v>0</v>
      </c>
      <c r="L59" s="6" t="n">
        <v>0</v>
      </c>
      <c r="M59" s="6" t="n">
        <v>0</v>
      </c>
      <c r="N59" s="6" t="n">
        <v>0</v>
      </c>
      <c r="O59" s="5" t="inlineStr">
        <is>
          <t>Remessa para industrialização por encomenda (insumo do cliente) [CFOP 5901]</t>
        </is>
      </c>
      <c r="P59" s="17" t="inlineStr"/>
      <c r="Q59" s="17" t="inlineStr"/>
    </row>
    <row r="60">
      <c r="A60" s="7" t="n">
        <v>46286</v>
      </c>
      <c r="B60" s="5" t="inlineStr">
        <is>
          <t>BB COSMETICOS LTDA</t>
        </is>
      </c>
      <c r="C60" s="5" t="inlineStr">
        <is>
          <t>21822008000103</t>
        </is>
      </c>
      <c r="D60" s="5" t="n">
        <v>4551</v>
      </c>
      <c r="E60" s="5" t="n">
        <v>3</v>
      </c>
      <c r="F60" s="5" t="inlineStr">
        <is>
          <t>MINI GATILHO 24/410 PRETO PESCANTE 250MM</t>
        </is>
      </c>
      <c r="G60" s="5" t="inlineStr">
        <is>
          <t>84248990</t>
        </is>
      </c>
      <c r="H60" s="5" t="inlineStr">
        <is>
          <t>5901</t>
        </is>
      </c>
      <c r="I60" s="5" t="inlineStr">
        <is>
          <t>1901</t>
        </is>
      </c>
      <c r="J60" s="6" t="n">
        <v>5</v>
      </c>
      <c r="K60" s="6" t="n">
        <v>0</v>
      </c>
      <c r="L60" s="6" t="n">
        <v>0</v>
      </c>
      <c r="M60" s="6" t="n">
        <v>0</v>
      </c>
      <c r="N60" s="6" t="n">
        <v>0</v>
      </c>
      <c r="O60" s="5" t="inlineStr">
        <is>
          <t>Remessa para industrialização por encomenda (insumo do cliente) [CFOP 5901]</t>
        </is>
      </c>
      <c r="P60" s="17" t="inlineStr"/>
      <c r="Q60" s="17" t="inlineStr"/>
    </row>
    <row r="61">
      <c r="A61" s="7" t="n">
        <v>46286</v>
      </c>
      <c r="B61" s="5" t="inlineStr">
        <is>
          <t>BB COSMETICOS LTDA</t>
        </is>
      </c>
      <c r="C61" s="5" t="inlineStr">
        <is>
          <t>21822008000103</t>
        </is>
      </c>
      <c r="D61" s="5" t="n">
        <v>4551</v>
      </c>
      <c r="E61" s="5" t="n">
        <v>4</v>
      </c>
      <c r="F61" s="5" t="inlineStr">
        <is>
          <t>MINI GATILHO 24/410 NATURAL PESCANTE 250MM</t>
        </is>
      </c>
      <c r="G61" s="5" t="inlineStr">
        <is>
          <t>84248990</t>
        </is>
      </c>
      <c r="H61" s="5" t="inlineStr">
        <is>
          <t>5901</t>
        </is>
      </c>
      <c r="I61" s="5" t="inlineStr">
        <is>
          <t>1901</t>
        </is>
      </c>
      <c r="J61" s="6" t="n">
        <v>10</v>
      </c>
      <c r="K61" s="6" t="n">
        <v>0</v>
      </c>
      <c r="L61" s="6" t="n">
        <v>0</v>
      </c>
      <c r="M61" s="6" t="n">
        <v>0</v>
      </c>
      <c r="N61" s="6" t="n">
        <v>0</v>
      </c>
      <c r="O61" s="5" t="inlineStr">
        <is>
          <t>Remessa para industrialização por encomenda (insumo do cliente) [CFOP 5901]</t>
        </is>
      </c>
      <c r="P61" s="17" t="inlineStr"/>
      <c r="Q61" s="17" t="inlineStr"/>
    </row>
    <row r="62">
      <c r="A62" s="7" t="n">
        <v>46286</v>
      </c>
      <c r="B62" s="5" t="inlineStr">
        <is>
          <t>BB COSMETICOS LTDA</t>
        </is>
      </c>
      <c r="C62" s="5" t="inlineStr">
        <is>
          <t>21822008000103</t>
        </is>
      </c>
      <c r="D62" s="5" t="n">
        <v>4551</v>
      </c>
      <c r="E62" s="5" t="n">
        <v>5</v>
      </c>
      <c r="F62" s="5" t="inlineStr">
        <is>
          <t>PUMP 28/410 PRETA PESCANTE 230MM</t>
        </is>
      </c>
      <c r="G62" s="5" t="inlineStr">
        <is>
          <t>84132000</t>
        </is>
      </c>
      <c r="H62" s="5" t="inlineStr">
        <is>
          <t>5901</t>
        </is>
      </c>
      <c r="I62" s="5" t="inlineStr">
        <is>
          <t>1901</t>
        </is>
      </c>
      <c r="J62" s="6" t="n">
        <v>10</v>
      </c>
      <c r="K62" s="6" t="n">
        <v>0</v>
      </c>
      <c r="L62" s="6" t="n">
        <v>0</v>
      </c>
      <c r="M62" s="6" t="n">
        <v>0</v>
      </c>
      <c r="N62" s="6" t="n">
        <v>0</v>
      </c>
      <c r="O62" s="5" t="inlineStr">
        <is>
          <t>Remessa para industrialização por encomenda (insumo do cliente) [CFOP 5901]</t>
        </is>
      </c>
      <c r="P62" s="17" t="inlineStr"/>
      <c r="Q62" s="17" t="inlineStr"/>
    </row>
    <row r="63">
      <c r="A63" s="23" t="n">
        <v>46286</v>
      </c>
      <c r="B63" s="19" t="inlineStr">
        <is>
          <t>BISPHARMA EMBALAGENS LTDA</t>
        </is>
      </c>
      <c r="C63" s="19" t="inlineStr">
        <is>
          <t>59610485000188</t>
        </is>
      </c>
      <c r="D63" s="19" t="n">
        <v>117690</v>
      </c>
      <c r="E63" s="19" t="n">
        <v>1</v>
      </c>
      <c r="F63" s="19" t="inlineStr">
        <is>
          <t>COLORACAO HIDRATANTE PROFISSIONAL 60G Item.Ped.:       OP:119087 Cod.Externo:345566</t>
        </is>
      </c>
      <c r="G63" s="19" t="inlineStr">
        <is>
          <t>76121000</t>
        </is>
      </c>
      <c r="H63" s="19" t="inlineStr">
        <is>
          <t>6101</t>
        </is>
      </c>
      <c r="I63" s="19" t="inlineStr">
        <is>
          <t>2101</t>
        </is>
      </c>
      <c r="J63" s="24" t="n">
        <v>26515.5</v>
      </c>
      <c r="K63" s="24" t="n">
        <v>2987.66</v>
      </c>
      <c r="L63" s="24" t="n">
        <v>2987.66</v>
      </c>
      <c r="M63" s="24" t="n">
        <v>1618.32</v>
      </c>
      <c r="N63" s="24" t="n">
        <v>1618.32</v>
      </c>
      <c r="O63" s="19" t="inlineStr">
        <is>
          <t>Embalagem (tubo de alumínio) [NCM 76121000]</t>
        </is>
      </c>
      <c r="P63" s="17" t="inlineStr"/>
      <c r="Q63" s="17" t="inlineStr"/>
    </row>
    <row r="64">
      <c r="A64" s="7" t="n">
        <v>46286</v>
      </c>
      <c r="B64" s="5" t="inlineStr">
        <is>
          <t>JOSE DOMINGOS LINARES LTDA</t>
        </is>
      </c>
      <c r="C64" s="5" t="inlineStr">
        <is>
          <t>03839251000152</t>
        </is>
      </c>
      <c r="D64" s="5" t="n">
        <v>5233</v>
      </c>
      <c r="E64" s="5" t="n">
        <v>1</v>
      </c>
      <c r="F64" s="5" t="inlineStr">
        <is>
          <t>CAIXA - NATURE COLOR 60G (FUNDO AUTOMÁTICO) - 15,5X23,2CM</t>
        </is>
      </c>
      <c r="G64" s="5" t="inlineStr">
        <is>
          <t>49111090</t>
        </is>
      </c>
      <c r="H64" s="5" t="inlineStr">
        <is>
          <t>5924</t>
        </is>
      </c>
      <c r="I64" s="5" t="inlineStr">
        <is>
          <t>1924</t>
        </is>
      </c>
      <c r="J64" s="6" t="n">
        <v>2420.01</v>
      </c>
      <c r="K64" s="6" t="n">
        <v>0</v>
      </c>
      <c r="L64" s="6" t="n">
        <v>0</v>
      </c>
      <c r="M64" s="6" t="n">
        <v>0</v>
      </c>
      <c r="N64" s="6" t="n">
        <v>0</v>
      </c>
      <c r="O64" s="5" t="inlineStr">
        <is>
          <t>Remessa para industrialização por conta e ordem do adquirente (insumo do cliente) [CFOP 5924]</t>
        </is>
      </c>
      <c r="P64" s="17" t="inlineStr"/>
      <c r="Q64" s="17" t="inlineStr"/>
    </row>
    <row r="65">
      <c r="A65" s="7" t="n">
        <v>46286</v>
      </c>
      <c r="B65" s="5" t="inlineStr">
        <is>
          <t>JOSE DOMINGOS LINARES LTDA</t>
        </is>
      </c>
      <c r="C65" s="5" t="inlineStr">
        <is>
          <t>03839251000152</t>
        </is>
      </c>
      <c r="D65" s="5" t="n">
        <v>5235</v>
      </c>
      <c r="E65" s="5" t="n">
        <v>1</v>
      </c>
      <c r="F65" s="5" t="inlineStr">
        <is>
          <t>CAIXA - NATURE COLOR 60G - ABERTA 14,8X23CM</t>
        </is>
      </c>
      <c r="G65" s="5" t="inlineStr">
        <is>
          <t>49111090</t>
        </is>
      </c>
      <c r="H65" s="5" t="inlineStr">
        <is>
          <t>5924</t>
        </is>
      </c>
      <c r="I65" s="5" t="inlineStr">
        <is>
          <t>1924</t>
        </is>
      </c>
      <c r="J65" s="6" t="n">
        <v>1760</v>
      </c>
      <c r="K65" s="6" t="n">
        <v>0</v>
      </c>
      <c r="L65" s="6" t="n">
        <v>0</v>
      </c>
      <c r="M65" s="6" t="n">
        <v>0</v>
      </c>
      <c r="N65" s="6" t="n">
        <v>0</v>
      </c>
      <c r="O65" s="5" t="inlineStr">
        <is>
          <t>Remessa para industrialização por conta e ordem do adquirente (insumo do cliente) [CFOP 5924]</t>
        </is>
      </c>
      <c r="P65" s="17" t="inlineStr"/>
      <c r="Q65" s="17" t="inlineStr"/>
    </row>
    <row r="66">
      <c r="A66" s="7" t="n">
        <v>46286</v>
      </c>
      <c r="B66" s="5" t="inlineStr">
        <is>
          <t>Mix Perfumaria</t>
        </is>
      </c>
      <c r="C66" s="5" t="inlineStr">
        <is>
          <t>06237330000181</t>
        </is>
      </c>
      <c r="D66" s="5" t="n">
        <v>55874</v>
      </c>
      <c r="E66" s="5" t="n">
        <v>1</v>
      </c>
      <c r="F66" s="5" t="inlineStr">
        <is>
          <t>Frasco Impresso Ox 30v 900ml - Eternize</t>
        </is>
      </c>
      <c r="G66" s="5" t="inlineStr">
        <is>
          <t>39233090</t>
        </is>
      </c>
      <c r="H66" s="5" t="inlineStr">
        <is>
          <t>5901</t>
        </is>
      </c>
      <c r="I66" s="5" t="inlineStr">
        <is>
          <t>1901</t>
        </is>
      </c>
      <c r="J66" s="6" t="n">
        <v>600</v>
      </c>
      <c r="K66" s="6" t="n">
        <v>0</v>
      </c>
      <c r="L66" s="6" t="n">
        <v>0</v>
      </c>
      <c r="M66" s="6" t="n">
        <v>0</v>
      </c>
      <c r="N66" s="6" t="n">
        <v>0</v>
      </c>
      <c r="O66" s="5" t="inlineStr">
        <is>
          <t>Remessa para industrialização por encomenda (insumo do cliente) [CFOP 5901]</t>
        </is>
      </c>
      <c r="P66" s="17" t="inlineStr"/>
      <c r="Q66" s="17" t="inlineStr"/>
    </row>
    <row r="67">
      <c r="A67" s="7" t="n">
        <v>46287</v>
      </c>
      <c r="B67" s="5" t="inlineStr">
        <is>
          <t>MCASSAB COMERCIO E INDUSTRIA LTDA</t>
        </is>
      </c>
      <c r="C67" s="5" t="inlineStr">
        <is>
          <t>49698723003110</t>
        </is>
      </c>
      <c r="D67" s="5" t="n">
        <v>275966</v>
      </c>
      <c r="E67" s="5" t="n">
        <v>1</v>
      </c>
      <c r="F67" s="5" t="inlineStr">
        <is>
          <t>TRANSCUTOL CG - TB 25 KG</t>
        </is>
      </c>
      <c r="G67" s="5" t="inlineStr">
        <is>
          <t>29094429</t>
        </is>
      </c>
      <c r="H67" s="5" t="inlineStr">
        <is>
          <t>6102</t>
        </is>
      </c>
      <c r="I67" s="5" t="inlineStr">
        <is>
          <t>2101</t>
        </is>
      </c>
      <c r="J67" s="6" t="n">
        <v>3873.74</v>
      </c>
      <c r="K67" s="6" t="n">
        <v>154.95</v>
      </c>
      <c r="L67" s="6" t="n">
        <v>154.95</v>
      </c>
      <c r="M67" s="6" t="n">
        <v>0</v>
      </c>
      <c r="N67" s="6" t="n">
        <v>0</v>
      </c>
      <c r="O67" s="5" t="inlineStr">
        <is>
          <t>Insumo (classificação do SPED anterior) [SPED anterior: CFOP 2911]</t>
        </is>
      </c>
      <c r="P67" s="17" t="inlineStr"/>
      <c r="Q67" s="17" t="inlineStr"/>
    </row>
    <row r="68">
      <c r="A68" s="7" t="n">
        <v>46288</v>
      </c>
      <c r="B68" s="5" t="inlineStr">
        <is>
          <t>HS INKLASER LTDA</t>
        </is>
      </c>
      <c r="C68" s="5" t="inlineStr">
        <is>
          <t>18858535000163</t>
        </is>
      </c>
      <c r="D68" s="5" t="n">
        <v>48241</v>
      </c>
      <c r="E68" s="5" t="n">
        <v>1</v>
      </c>
      <c r="F68" s="5" t="inlineStr">
        <is>
          <t>CARTUCHO BLK 13 PRETO</t>
        </is>
      </c>
      <c r="G68" s="5" t="inlineStr">
        <is>
          <t>84439923</t>
        </is>
      </c>
      <c r="H68" s="5" t="inlineStr">
        <is>
          <t>6102</t>
        </is>
      </c>
      <c r="I68" s="5" t="inlineStr">
        <is>
          <t>2101</t>
        </is>
      </c>
      <c r="J68" s="6" t="n">
        <v>1074.5</v>
      </c>
      <c r="K68" s="6" t="n">
        <v>125.11</v>
      </c>
      <c r="L68" s="6" t="n">
        <v>125.11</v>
      </c>
      <c r="M68" s="6" t="n">
        <v>31.95</v>
      </c>
      <c r="N68" s="6" t="n">
        <v>31.95</v>
      </c>
      <c r="O68" s="5" t="inlineStr">
        <is>
          <t>Insumo (classificação do SPED anterior) [SPED anterior: CFOP 2101]</t>
        </is>
      </c>
      <c r="P68" s="17" t="inlineStr"/>
      <c r="Q68" s="17" t="inlineStr"/>
    </row>
    <row r="69">
      <c r="A69" s="7" t="n">
        <v>46288</v>
      </c>
      <c r="B69" s="5" t="inlineStr">
        <is>
          <t>Mix Cosmeticos Ltda</t>
        </is>
      </c>
      <c r="C69" s="5" t="inlineStr">
        <is>
          <t>27697083000176</t>
        </is>
      </c>
      <c r="D69" s="5" t="n">
        <v>14838</v>
      </c>
      <c r="E69" s="5" t="n">
        <v>1</v>
      </c>
      <c r="F69" s="5" t="inlineStr">
        <is>
          <t>Frasco Impresso Ox 20v 900ml- Eternize</t>
        </is>
      </c>
      <c r="G69" s="5" t="inlineStr">
        <is>
          <t>39233090</t>
        </is>
      </c>
      <c r="H69" s="5" t="inlineStr">
        <is>
          <t>6901</t>
        </is>
      </c>
      <c r="I69" s="5" t="inlineStr">
        <is>
          <t>2901</t>
        </is>
      </c>
      <c r="J69" s="6" t="n">
        <v>948</v>
      </c>
      <c r="K69" s="6" t="n">
        <v>0</v>
      </c>
      <c r="L69" s="6" t="n">
        <v>0</v>
      </c>
      <c r="M69" s="6" t="n">
        <v>0</v>
      </c>
      <c r="N69" s="6" t="n">
        <v>0</v>
      </c>
      <c r="O69" s="5" t="inlineStr">
        <is>
          <t>Remessa para industrialização por encomenda (insumo do cliente) [CFOP 6901]</t>
        </is>
      </c>
      <c r="P69" s="17" t="inlineStr"/>
      <c r="Q69" s="17" t="inlineStr"/>
    </row>
    <row r="70">
      <c r="A70" s="7" t="n">
        <v>46288</v>
      </c>
      <c r="B70" s="5" t="inlineStr">
        <is>
          <t>Mix Perfumaria</t>
        </is>
      </c>
      <c r="C70" s="5" t="inlineStr">
        <is>
          <t>06237330000181</t>
        </is>
      </c>
      <c r="D70" s="5" t="n">
        <v>55913</v>
      </c>
      <c r="E70" s="5" t="n">
        <v>1</v>
      </c>
      <c r="F70" s="5" t="inlineStr">
        <is>
          <t>Frasco Impresso Ox 20v 900ml- Eternize</t>
        </is>
      </c>
      <c r="G70" s="5" t="inlineStr">
        <is>
          <t>39233090</t>
        </is>
      </c>
      <c r="H70" s="5" t="inlineStr">
        <is>
          <t>5901</t>
        </is>
      </c>
      <c r="I70" s="5" t="inlineStr">
        <is>
          <t>1901</t>
        </is>
      </c>
      <c r="J70" s="6" t="n">
        <v>556.5</v>
      </c>
      <c r="K70" s="6" t="n">
        <v>0</v>
      </c>
      <c r="L70" s="6" t="n">
        <v>0</v>
      </c>
      <c r="M70" s="6" t="n">
        <v>0</v>
      </c>
      <c r="N70" s="6" t="n">
        <v>0</v>
      </c>
      <c r="O70" s="5" t="inlineStr">
        <is>
          <t>Remessa para industrialização por encomenda (insumo do cliente) [CFOP 5901]</t>
        </is>
      </c>
      <c r="P70" s="17" t="inlineStr"/>
      <c r="Q70" s="17" t="inlineStr"/>
    </row>
    <row r="71">
      <c r="A71" s="23" t="n">
        <v>46288</v>
      </c>
      <c r="B71" s="19" t="inlineStr">
        <is>
          <t>SCENTEC ESSENCIAS E FRAGRANCIAS LTDA</t>
        </is>
      </c>
      <c r="C71" s="19" t="inlineStr">
        <is>
          <t>62514971000107</t>
        </is>
      </c>
      <c r="D71" s="19" t="n">
        <v>141811</v>
      </c>
      <c r="E71" s="19" t="n">
        <v>1</v>
      </c>
      <c r="F71" s="19" t="inlineStr">
        <is>
          <t>CASHMERE - 204510</t>
        </is>
      </c>
      <c r="G71" s="19" t="inlineStr">
        <is>
          <t>33029019</t>
        </is>
      </c>
      <c r="H71" s="19" t="inlineStr">
        <is>
          <t>6101</t>
        </is>
      </c>
      <c r="I71" s="19" t="inlineStr">
        <is>
          <t>2101</t>
        </is>
      </c>
      <c r="J71" s="24" t="n">
        <v>4794.99</v>
      </c>
      <c r="K71" s="24" t="n">
        <v>557.29</v>
      </c>
      <c r="L71" s="24" t="n">
        <v>557.29</v>
      </c>
      <c r="M71" s="24" t="n">
        <v>150.93</v>
      </c>
      <c r="N71" s="24" t="n">
        <v>150.93</v>
      </c>
      <c r="O71" s="19" t="inlineStr">
        <is>
          <t>Matéria-prima (fragrância/essência) [NCM 33029019]</t>
        </is>
      </c>
      <c r="P71" s="17" t="inlineStr"/>
      <c r="Q71" s="17" t="inlineStr"/>
    </row>
    <row r="72">
      <c r="A72" s="7" t="n">
        <v>46293</v>
      </c>
      <c r="B72" s="5" t="inlineStr">
        <is>
          <t>CHEMYUNION LTDA</t>
        </is>
      </c>
      <c r="C72" s="5" t="inlineStr">
        <is>
          <t>58309709000820</t>
        </is>
      </c>
      <c r="D72" s="5" t="n">
        <v>391</v>
      </c>
      <c r="E72" s="5" t="n">
        <v>1</v>
      </c>
      <c r="F72" s="5" t="inlineStr">
        <is>
          <t>Antecipação de Pagamento (Adiantamento)</t>
        </is>
      </c>
      <c r="G72" s="5" t="inlineStr">
        <is>
          <t>00000000</t>
        </is>
      </c>
      <c r="H72" s="5" t="inlineStr">
        <is>
          <t>6949</t>
        </is>
      </c>
      <c r="I72" s="5" t="inlineStr">
        <is>
          <t>2949</t>
        </is>
      </c>
      <c r="J72" s="6" t="n">
        <v>8472.040000000001</v>
      </c>
      <c r="K72" s="6" t="n">
        <v>0</v>
      </c>
      <c r="L72" s="6" t="n">
        <v>0</v>
      </c>
      <c r="M72" s="6" t="n">
        <v>0</v>
      </c>
      <c r="N72" s="6" t="n">
        <v>0</v>
      </c>
      <c r="O72" s="5" t="inlineStr">
        <is>
          <t>Nota sem mercadoria (antecipação/financeira) [CFOP 6949 / NCM 00000000]</t>
        </is>
      </c>
      <c r="P72" s="17" t="inlineStr"/>
      <c r="Q72" s="17" t="inlineStr"/>
    </row>
    <row r="73">
      <c r="A73" s="7" t="n">
        <v>46294</v>
      </c>
      <c r="B73" s="5" t="inlineStr">
        <is>
          <t>CHEMYUNION LTDA</t>
        </is>
      </c>
      <c r="C73" s="5" t="inlineStr">
        <is>
          <t>58309709000820</t>
        </is>
      </c>
      <c r="D73" s="5" t="n">
        <v>392</v>
      </c>
      <c r="E73" s="5" t="n">
        <v>1</v>
      </c>
      <c r="F73" s="5" t="inlineStr">
        <is>
          <t>Antecipação de Pagamento (Adiantamento)</t>
        </is>
      </c>
      <c r="G73" s="5" t="inlineStr">
        <is>
          <t>00000000</t>
        </is>
      </c>
      <c r="H73" s="5" t="inlineStr">
        <is>
          <t>6949</t>
        </is>
      </c>
      <c r="I73" s="5" t="inlineStr">
        <is>
          <t>2949</t>
        </is>
      </c>
      <c r="J73" s="6" t="n">
        <v>275.34</v>
      </c>
      <c r="K73" s="6" t="n">
        <v>0</v>
      </c>
      <c r="L73" s="6" t="n">
        <v>0</v>
      </c>
      <c r="M73" s="6" t="n">
        <v>0</v>
      </c>
      <c r="N73" s="6" t="n">
        <v>0</v>
      </c>
      <c r="O73" s="5" t="inlineStr">
        <is>
          <t>Nota sem mercadoria (antecipação/financeira) [CFOP 6949 / NCM 00000000]</t>
        </is>
      </c>
      <c r="P73" s="17" t="inlineStr"/>
      <c r="Q73" s="17" t="inlineStr"/>
    </row>
    <row r="74">
      <c r="A74" s="23" t="n">
        <v>46294</v>
      </c>
      <c r="B74" s="19" t="inlineStr">
        <is>
          <t>CHEMYUNION LTDA</t>
        </is>
      </c>
      <c r="C74" s="19" t="inlineStr">
        <is>
          <t>58309709000820</t>
        </is>
      </c>
      <c r="D74" s="19" t="n">
        <v>19303</v>
      </c>
      <c r="E74" s="19" t="n">
        <v>1</v>
      </c>
      <c r="F74" s="19" t="inlineStr">
        <is>
          <t>Uniox C (20,000)</t>
        </is>
      </c>
      <c r="G74" s="19" t="inlineStr">
        <is>
          <t>34024200</t>
        </is>
      </c>
      <c r="H74" s="19" t="inlineStr">
        <is>
          <t>6101</t>
        </is>
      </c>
      <c r="I74" s="19" t="inlineStr">
        <is>
          <t>2101</t>
        </is>
      </c>
      <c r="J74" s="24" t="n">
        <v>8747.379999999999</v>
      </c>
      <c r="K74" s="24" t="n">
        <v>1016.64</v>
      </c>
      <c r="L74" s="24" t="n">
        <v>1016.64</v>
      </c>
      <c r="M74" s="24" t="n">
        <v>275.34</v>
      </c>
      <c r="N74" s="24" t="n">
        <v>275.34</v>
      </c>
      <c r="O74" s="19" t="inlineStr">
        <is>
          <t>Matéria-prima (tensoativo) [NCM 34024200]</t>
        </is>
      </c>
      <c r="P74" s="17" t="inlineStr"/>
      <c r="Q74" s="17" t="inlineStr"/>
    </row>
    <row r="75">
      <c r="A75" s="7" t="n">
        <v>46294</v>
      </c>
      <c r="B75" s="5" t="inlineStr">
        <is>
          <t>FARMANILQUIMA COM. ANILINAS E PRODS.QUIM.LTDA</t>
        </is>
      </c>
      <c r="C75" s="5" t="inlineStr">
        <is>
          <t>76509488000149</t>
        </is>
      </c>
      <c r="D75" s="5" t="n">
        <v>222098</v>
      </c>
      <c r="E75" s="5" t="n">
        <v>1</v>
      </c>
      <c r="F75" s="5" t="inlineStr">
        <is>
          <t>OLEO DE CAMOMILA 100 ML</t>
        </is>
      </c>
      <c r="G75" s="5" t="inlineStr">
        <is>
          <t>15159090</t>
        </is>
      </c>
      <c r="H75" s="5" t="inlineStr">
        <is>
          <t>5102</t>
        </is>
      </c>
      <c r="I75" s="5" t="inlineStr">
        <is>
          <t>1101</t>
        </is>
      </c>
      <c r="J75" s="6" t="n">
        <v>200</v>
      </c>
      <c r="K75" s="6" t="n">
        <v>0</v>
      </c>
      <c r="L75" s="6" t="n">
        <v>0</v>
      </c>
      <c r="M75" s="6" t="n">
        <v>0</v>
      </c>
      <c r="N75" s="6" t="n">
        <v>0</v>
      </c>
      <c r="O75" s="5" t="inlineStr">
        <is>
          <t>Matéria-prima (óleos e gorduras) [NCM 15159090]</t>
        </is>
      </c>
      <c r="P75" s="17" t="inlineStr"/>
      <c r="Q75" s="17" t="inlineStr"/>
    </row>
    <row r="76">
      <c r="A76" s="7" t="n">
        <v>46294</v>
      </c>
      <c r="B76" s="5" t="inlineStr">
        <is>
          <t>JOSE DOMINGOS LINARES LTDA</t>
        </is>
      </c>
      <c r="C76" s="5" t="inlineStr">
        <is>
          <t>03839251000152</t>
        </is>
      </c>
      <c r="D76" s="5" t="n">
        <v>5382</v>
      </c>
      <c r="E76" s="5" t="n">
        <v>1</v>
      </c>
      <c r="F76" s="5" t="inlineStr">
        <is>
          <t>RÓTULOS FLEXO DIGITAL - 13 X 7,5 CM</t>
        </is>
      </c>
      <c r="G76" s="5" t="inlineStr">
        <is>
          <t>48211000</t>
        </is>
      </c>
      <c r="H76" s="5" t="inlineStr">
        <is>
          <t>5949</t>
        </is>
      </c>
      <c r="I76" s="5" t="inlineStr">
        <is>
          <t>1949</t>
        </is>
      </c>
      <c r="J76" s="6" t="n">
        <v>1893</v>
      </c>
      <c r="K76" s="6" t="n">
        <v>0</v>
      </c>
      <c r="L76" s="6" t="n">
        <v>0</v>
      </c>
      <c r="M76" s="6" t="n">
        <v>0</v>
      </c>
      <c r="N76" s="6" t="n">
        <v>0</v>
      </c>
      <c r="O76" s="5" t="inlineStr">
        <is>
          <t>Embalagem (rótulo/etiqueta) - mas CFOP 5949 (outras saídas: amostra/brinde/remessa) [CFOP 5949]</t>
        </is>
      </c>
      <c r="P76" s="17" t="inlineStr"/>
      <c r="Q76" s="17" t="inlineStr"/>
    </row>
    <row r="77">
      <c r="A77" s="7" t="n">
        <v>46294</v>
      </c>
      <c r="B77" s="5" t="inlineStr">
        <is>
          <t>Mix Cosmeticos Ltda</t>
        </is>
      </c>
      <c r="C77" s="5" t="inlineStr">
        <is>
          <t>27697083000176</t>
        </is>
      </c>
      <c r="D77" s="5" t="n">
        <v>14856</v>
      </c>
      <c r="E77" s="5" t="n">
        <v>1</v>
      </c>
      <c r="F77" s="5" t="inlineStr">
        <is>
          <t>Frasco Impresso Ox 30v 900ml - Eternize</t>
        </is>
      </c>
      <c r="G77" s="5" t="inlineStr">
        <is>
          <t>39233090</t>
        </is>
      </c>
      <c r="H77" s="5" t="inlineStr">
        <is>
          <t>6901</t>
        </is>
      </c>
      <c r="I77" s="5" t="inlineStr">
        <is>
          <t>2901</t>
        </is>
      </c>
      <c r="J77" s="6" t="n">
        <v>600</v>
      </c>
      <c r="K77" s="6" t="n">
        <v>0</v>
      </c>
      <c r="L77" s="6" t="n">
        <v>0</v>
      </c>
      <c r="M77" s="6" t="n">
        <v>0</v>
      </c>
      <c r="N77" s="6" t="n">
        <v>0</v>
      </c>
      <c r="O77" s="5" t="inlineStr">
        <is>
          <t>Remessa para industrialização por encomenda (insumo do cliente) [CFOP 6901]</t>
        </is>
      </c>
      <c r="P77" s="17" t="inlineStr"/>
      <c r="Q77" s="17" t="inlineStr"/>
    </row>
    <row r="78">
      <c r="A78" s="7" t="n">
        <v>46294</v>
      </c>
      <c r="B78" s="5" t="inlineStr">
        <is>
          <t>Mix Perfumaria</t>
        </is>
      </c>
      <c r="C78" s="5" t="inlineStr">
        <is>
          <t>06237330000181</t>
        </is>
      </c>
      <c r="D78" s="5" t="n">
        <v>56004</v>
      </c>
      <c r="E78" s="5" t="n">
        <v>1</v>
      </c>
      <c r="F78" s="5" t="inlineStr">
        <is>
          <t>Frasco Impresso Ox 30v 900ml - Eternize</t>
        </is>
      </c>
      <c r="G78" s="5" t="inlineStr">
        <is>
          <t>39233090</t>
        </is>
      </c>
      <c r="H78" s="5" t="inlineStr">
        <is>
          <t>5901</t>
        </is>
      </c>
      <c r="I78" s="5" t="inlineStr">
        <is>
          <t>1901</t>
        </is>
      </c>
      <c r="J78" s="6" t="n">
        <v>300</v>
      </c>
      <c r="K78" s="6" t="n">
        <v>0</v>
      </c>
      <c r="L78" s="6" t="n">
        <v>0</v>
      </c>
      <c r="M78" s="6" t="n">
        <v>0</v>
      </c>
      <c r="N78" s="6" t="n">
        <v>0</v>
      </c>
      <c r="O78" s="5" t="inlineStr">
        <is>
          <t>Remessa para industrialização por encomenda (insumo do cliente) [CFOP 5901]</t>
        </is>
      </c>
      <c r="P78" s="17" t="inlineStr"/>
      <c r="Q78" s="17" t="inlineStr"/>
    </row>
    <row r="79">
      <c r="A79" s="7" t="n">
        <v>46294</v>
      </c>
      <c r="B79" s="5" t="inlineStr">
        <is>
          <t>PROVITAL DO BRASIL COM. DE INSUMOS PARA COSMETICOS LTDA</t>
        </is>
      </c>
      <c r="C79" s="5" t="inlineStr">
        <is>
          <t>11340087000162</t>
        </is>
      </c>
      <c r="D79" s="5" t="n">
        <v>42285</v>
      </c>
      <c r="E79" s="5" t="n">
        <v>1</v>
      </c>
      <c r="F79" s="5" t="inlineStr">
        <is>
          <t>KERANUTRI</t>
        </is>
      </c>
      <c r="G79" s="5" t="inlineStr">
        <is>
          <t>38249989</t>
        </is>
      </c>
      <c r="H79" s="5" t="inlineStr">
        <is>
          <t>6102</t>
        </is>
      </c>
      <c r="I79" s="5" t="inlineStr">
        <is>
          <t>2101</t>
        </is>
      </c>
      <c r="J79" s="6" t="n">
        <v>4278.84</v>
      </c>
      <c r="K79" s="6" t="n">
        <v>160.71</v>
      </c>
      <c r="L79" s="6" t="n">
        <v>160.71</v>
      </c>
      <c r="M79" s="6" t="n">
        <v>261.15</v>
      </c>
      <c r="N79" s="6" t="n">
        <v>261.15</v>
      </c>
      <c r="O79" s="5" t="inlineStr">
        <is>
          <t>Insumo (classificação do SPED anterior) [SPED anterior: CFOP 2101]</t>
        </is>
      </c>
      <c r="P79" s="17" t="inlineStr"/>
      <c r="Q79" s="17" t="inlineStr"/>
    </row>
    <row r="80">
      <c r="A80" s="7" t="n">
        <v>46295</v>
      </c>
      <c r="B80" s="5" t="inlineStr">
        <is>
          <t>ALLOXY ESPECIALIDADES QUIMICAS LTDA</t>
        </is>
      </c>
      <c r="C80" s="5" t="inlineStr">
        <is>
          <t>16987597000140</t>
        </is>
      </c>
      <c r="D80" s="5" t="n">
        <v>38175</v>
      </c>
      <c r="E80" s="5" t="n">
        <v>1</v>
      </c>
      <c r="F80" s="5" t="inlineStr">
        <is>
          <t>IX 351 IBC</t>
        </is>
      </c>
      <c r="G80" s="5" t="inlineStr">
        <is>
          <t>28470000</t>
        </is>
      </c>
      <c r="H80" s="5" t="inlineStr">
        <is>
          <t>5101</t>
        </is>
      </c>
      <c r="I80" s="5" t="inlineStr">
        <is>
          <t>1101</t>
        </is>
      </c>
      <c r="J80" s="6" t="n">
        <v>5593.5</v>
      </c>
      <c r="K80" s="6" t="n">
        <v>671.22</v>
      </c>
      <c r="L80" s="6" t="n">
        <v>671.22</v>
      </c>
      <c r="M80" s="6" t="n">
        <v>0</v>
      </c>
      <c r="N80" s="6" t="n">
        <v>0</v>
      </c>
      <c r="O80" s="5" t="inlineStr">
        <is>
          <t>Insumo (classificação do SPED anterior) [SPED anterior: CFOP 1101]</t>
        </is>
      </c>
      <c r="P80" s="17" t="inlineStr"/>
      <c r="Q80" s="17" t="inlineStr"/>
    </row>
    <row r="81">
      <c r="A81" s="7" t="n">
        <v>46295</v>
      </c>
      <c r="B81" s="5" t="inlineStr">
        <is>
          <t>MERCKPAR COMERCIAL LTDA</t>
        </is>
      </c>
      <c r="C81" s="5" t="inlineStr">
        <is>
          <t>63460684000124</t>
        </is>
      </c>
      <c r="D81" s="5" t="n">
        <v>42</v>
      </c>
      <c r="E81" s="5" t="n">
        <v>1</v>
      </c>
      <c r="F81" s="5" t="inlineStr">
        <is>
          <t>SULFITO DE SODIO ANIDRO PA 1000g REATEC</t>
        </is>
      </c>
      <c r="G81" s="5" t="inlineStr">
        <is>
          <t>28321010</t>
        </is>
      </c>
      <c r="H81" s="5" t="inlineStr">
        <is>
          <t>5102</t>
        </is>
      </c>
      <c r="I81" s="5" t="inlineStr">
        <is>
          <t>1101</t>
        </is>
      </c>
      <c r="J81" s="6" t="n">
        <v>1180</v>
      </c>
      <c r="K81" s="6" t="n">
        <v>0</v>
      </c>
      <c r="L81" s="6" t="n">
        <v>0</v>
      </c>
      <c r="M81" s="6" t="n">
        <v>0</v>
      </c>
      <c r="N81" s="6" t="n">
        <v>0</v>
      </c>
      <c r="O81" s="5" t="inlineStr">
        <is>
          <t>Matéria-prima (químico inorgânico) [NCM 28321010]</t>
        </is>
      </c>
      <c r="P81" s="17" t="inlineStr"/>
      <c r="Q81" s="17" t="inlineStr"/>
    </row>
    <row r="82">
      <c r="A82" s="7" t="n">
        <v>46295</v>
      </c>
      <c r="B82" s="5" t="inlineStr">
        <is>
          <t>Supermercado Boza Ltda</t>
        </is>
      </c>
      <c r="C82" s="5" t="inlineStr">
        <is>
          <t>73419905000174</t>
        </is>
      </c>
      <c r="D82" s="5" t="n">
        <v>97145</v>
      </c>
      <c r="E82" s="5" t="n">
        <v>1</v>
      </c>
      <c r="F82" s="5" t="inlineStr">
        <is>
          <t>Cha Mate Mandiervas Natural Cx 40g</t>
        </is>
      </c>
      <c r="G82" s="5" t="inlineStr">
        <is>
          <t>09030090</t>
        </is>
      </c>
      <c r="H82" s="5" t="inlineStr">
        <is>
          <t>5102</t>
        </is>
      </c>
      <c r="I82" s="5" t="inlineStr">
        <is>
          <t>1556</t>
        </is>
      </c>
      <c r="J82" s="6" t="n">
        <v>24.16</v>
      </c>
      <c r="K82" s="6" t="n">
        <v>0</v>
      </c>
      <c r="L82" s="6" t="n">
        <v>0</v>
      </c>
      <c r="M82" s="6" t="n">
        <v>0</v>
      </c>
      <c r="N82" s="6" t="n">
        <v>0</v>
      </c>
      <c r="O82" s="5" t="inlineStr">
        <is>
          <t>Uso e consumo (classificação do SPED anterior) [SPED anterior: CFOP 1556]</t>
        </is>
      </c>
      <c r="P82" s="17" t="inlineStr"/>
      <c r="Q82" s="17" t="inlineStr"/>
    </row>
    <row r="83">
      <c r="A83" s="7" t="n">
        <v>46295</v>
      </c>
      <c r="B83" s="5" t="inlineStr">
        <is>
          <t>Supermercado Boza Ltda</t>
        </is>
      </c>
      <c r="C83" s="5" t="inlineStr">
        <is>
          <t>73419905000174</t>
        </is>
      </c>
      <c r="D83" s="5" t="n">
        <v>97145</v>
      </c>
      <c r="E83" s="5" t="n">
        <v>2</v>
      </c>
      <c r="F83" s="5" t="inlineStr">
        <is>
          <t>Filtro Papel Cafe Brigitta 103 C/30un</t>
        </is>
      </c>
      <c r="G83" s="5" t="inlineStr">
        <is>
          <t>48232099</t>
        </is>
      </c>
      <c r="H83" s="5" t="inlineStr">
        <is>
          <t>5102</t>
        </is>
      </c>
      <c r="I83" s="5" t="inlineStr">
        <is>
          <t>1556</t>
        </is>
      </c>
      <c r="J83" s="6" t="n">
        <v>27.67</v>
      </c>
      <c r="K83" s="6" t="n">
        <v>5.4</v>
      </c>
      <c r="L83" s="6" t="n">
        <v>0</v>
      </c>
      <c r="M83" s="6" t="n">
        <v>0</v>
      </c>
      <c r="N83" s="6" t="n">
        <v>0</v>
      </c>
      <c r="O83" s="5" t="inlineStr">
        <is>
          <t>Uso e consumo (classificação do SPED anterior) [SPED anterior: CFOP 1556]</t>
        </is>
      </c>
      <c r="P83" s="17" t="inlineStr"/>
      <c r="Q83" s="17" t="inlineStr"/>
    </row>
    <row r="84">
      <c r="A84" s="7" t="n">
        <v>46295</v>
      </c>
      <c r="B84" s="5" t="inlineStr">
        <is>
          <t>Supermercado Boza Ltda</t>
        </is>
      </c>
      <c r="C84" s="5" t="inlineStr">
        <is>
          <t>73419905000174</t>
        </is>
      </c>
      <c r="D84" s="5" t="n">
        <v>97145</v>
      </c>
      <c r="E84" s="5" t="n">
        <v>3</v>
      </c>
      <c r="F84" s="5" t="inlineStr">
        <is>
          <t>Cafe 3 Coracoes Extra Forte Vacuo 500g</t>
        </is>
      </c>
      <c r="G84" s="5" t="inlineStr">
        <is>
          <t>09012100</t>
        </is>
      </c>
      <c r="H84" s="5" t="inlineStr">
        <is>
          <t>5102</t>
        </is>
      </c>
      <c r="I84" s="5" t="inlineStr">
        <is>
          <t>1556</t>
        </is>
      </c>
      <c r="J84" s="6" t="n">
        <v>307</v>
      </c>
      <c r="K84" s="6" t="n">
        <v>0</v>
      </c>
      <c r="L84" s="6" t="n">
        <v>0</v>
      </c>
      <c r="M84" s="6" t="n">
        <v>0</v>
      </c>
      <c r="N84" s="6" t="n">
        <v>0</v>
      </c>
      <c r="O84" s="5" t="inlineStr">
        <is>
          <t>Uso e consumo (classificação do SPED anterior) [SPED anterior: CFOP 1556]</t>
        </is>
      </c>
      <c r="P84" s="17" t="inlineStr"/>
      <c r="Q84" s="17" t="inlineStr"/>
    </row>
    <row r="85">
      <c r="A85" s="7" t="n">
        <v>46295</v>
      </c>
      <c r="B85" s="5" t="inlineStr">
        <is>
          <t>Supermercado Boza Ltda</t>
        </is>
      </c>
      <c r="C85" s="5" t="inlineStr">
        <is>
          <t>73419905000174</t>
        </is>
      </c>
      <c r="D85" s="5" t="n">
        <v>97145</v>
      </c>
      <c r="E85" s="5" t="n">
        <v>4</v>
      </c>
      <c r="F85" s="5" t="inlineStr">
        <is>
          <t>Acucar Alto Alegre Refinado 1kg</t>
        </is>
      </c>
      <c r="G85" s="5" t="inlineStr">
        <is>
          <t>17019900</t>
        </is>
      </c>
      <c r="H85" s="5" t="inlineStr">
        <is>
          <t>5102</t>
        </is>
      </c>
      <c r="I85" s="5" t="inlineStr">
        <is>
          <t>1556</t>
        </is>
      </c>
      <c r="J85" s="6" t="n">
        <v>30.94</v>
      </c>
      <c r="K85" s="6" t="n">
        <v>0</v>
      </c>
      <c r="L85" s="6" t="n">
        <v>0</v>
      </c>
      <c r="M85" s="6" t="n">
        <v>0</v>
      </c>
      <c r="N85" s="6" t="n">
        <v>0</v>
      </c>
      <c r="O85" s="5" t="inlineStr">
        <is>
          <t>Uso e consumo (classificação do SPED anterior) [SPED anterior: CFOP 1556]</t>
        </is>
      </c>
      <c r="P85" s="17" t="inlineStr"/>
      <c r="Q85" s="17" t="inlineStr"/>
    </row>
    <row r="86">
      <c r="A86" s="8" t="inlineStr">
        <is>
          <t>Total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9">
        <f>SUM(J5:J85)</f>
        <v/>
      </c>
      <c r="K86" s="9">
        <f>SUM(K5:K85)</f>
        <v/>
      </c>
      <c r="L86" s="9">
        <f>SUM(L5:L85)</f>
        <v/>
      </c>
      <c r="M86" s="9">
        <f>SUM(M5:M85)</f>
        <v/>
      </c>
      <c r="N86" s="9">
        <f>SUM(N5:N85)</f>
        <v/>
      </c>
      <c r="O86" s="8" t="inlineStr"/>
      <c r="P86" s="8" t="inlineStr"/>
      <c r="Q86" s="8" t="inlineStr"/>
    </row>
  </sheetData>
  <autoFilter ref="A4:Q85"/>
  <dataValidations count="1">
    <dataValidation sqref="P5:P8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6" customWidth="1" min="3" max="3"/>
    <col width="10" customWidth="1" min="4" max="4"/>
    <col width="6" customWidth="1" min="5" max="5"/>
    <col width="8" customWidth="1" min="6" max="6"/>
    <col width="10" customWidth="1" min="7" max="7"/>
    <col width="11" customWidth="1" min="8" max="8"/>
    <col width="11" customWidth="1" min="9" max="9"/>
    <col width="6" customWidth="1" min="10" max="10"/>
    <col width="10" customWidth="1" min="11" max="11"/>
    <col width="10" customWidth="1" min="12" max="12"/>
    <col width="30" customWidth="1" min="13" max="13"/>
    <col width="60" customWidth="1" min="14" max="14"/>
  </cols>
  <sheetData>
    <row r="1">
      <c r="A1" s="1" t="inlineStr">
        <is>
          <t>CT-e em que a COSMETICI é tomadora (crédito de ICMS do frete)</t>
        </is>
      </c>
    </row>
    <row r="3">
      <c r="A3" s="4" t="inlineStr">
        <is>
          <t>Emissão</t>
        </is>
      </c>
      <c r="B3" s="4" t="inlineStr">
        <is>
          <t>Transportadora</t>
        </is>
      </c>
      <c r="C3" s="4" t="inlineStr">
        <is>
          <t>CNPJ</t>
        </is>
      </c>
      <c r="D3" s="4" t="inlineStr">
        <is>
          <t>CT-e</t>
        </is>
      </c>
      <c r="E3" s="4" t="inlineStr">
        <is>
          <t>CFOP</t>
        </is>
      </c>
      <c r="F3" s="4" t="inlineStr">
        <is>
          <t>CFOP entrada</t>
        </is>
      </c>
      <c r="G3" s="4" t="inlineStr">
        <is>
          <t>Origem-Destino</t>
        </is>
      </c>
      <c r="H3" s="4" t="inlineStr">
        <is>
          <t>Valor</t>
        </is>
      </c>
      <c r="I3" s="4" t="inlineStr">
        <is>
          <t>Base</t>
        </is>
      </c>
      <c r="J3" s="4" t="inlineStr">
        <is>
          <t>%</t>
        </is>
      </c>
      <c r="K3" s="4" t="inlineStr">
        <is>
          <t>ICMS</t>
        </is>
      </c>
      <c r="L3" s="4" t="inlineStr">
        <is>
          <t>Crédito</t>
        </is>
      </c>
      <c r="M3" s="4" t="inlineStr">
        <is>
          <t>NF-e transportada</t>
        </is>
      </c>
      <c r="N3" s="4" t="inlineStr">
        <is>
          <t>Análise</t>
        </is>
      </c>
    </row>
    <row r="4">
      <c r="A4" s="7" t="n">
        <v>46269</v>
      </c>
      <c r="B4" s="5" t="inlineStr">
        <is>
          <t>CAXIAS DO SUL - EXPRESSO SAO MIGUEL S/A</t>
        </is>
      </c>
      <c r="C4" s="5" t="inlineStr">
        <is>
          <t>00428307000600</t>
        </is>
      </c>
      <c r="D4" s="5" t="n">
        <v>5597996</v>
      </c>
      <c r="E4" s="5" t="inlineStr">
        <is>
          <t>6352</t>
        </is>
      </c>
      <c r="F4" s="5" t="inlineStr">
        <is>
          <t>2352</t>
        </is>
      </c>
      <c r="G4" s="5" t="inlineStr">
        <is>
          <t>RS-PR</t>
        </is>
      </c>
      <c r="H4" s="6" t="n">
        <v>301.49</v>
      </c>
      <c r="I4" s="6" t="n">
        <v>301.49</v>
      </c>
      <c r="J4" s="5" t="n">
        <v>12</v>
      </c>
      <c r="K4" s="6" t="n">
        <v>36.18</v>
      </c>
      <c r="L4" s="6" t="n">
        <v>0</v>
      </c>
      <c r="M4" s="5" t="inlineStr">
        <is>
          <t>NF 2564 (uso)</t>
        </is>
      </c>
      <c r="N4" s="5" t="inlineStr">
        <is>
          <t>Frete de compra de uso: sem crédito - o crédito do frete segue a mercadoria (uso e consumo/outras não creditam - LC 87/96 art. 33, I). ICMS R$ 36.18 não aproveitado</t>
        </is>
      </c>
    </row>
    <row r="5">
      <c r="A5" s="7" t="n">
        <v>46283</v>
      </c>
      <c r="B5" s="5" t="inlineStr">
        <is>
          <t>TRANS TOMAZ TRANSPORTES RODOV DE CARGAS EIREL</t>
        </is>
      </c>
      <c r="C5" s="5" t="inlineStr">
        <is>
          <t>03867083000290</t>
        </is>
      </c>
      <c r="D5" s="5" t="n">
        <v>25709</v>
      </c>
      <c r="E5" s="5" t="inlineStr">
        <is>
          <t>6353</t>
        </is>
      </c>
      <c r="F5" s="5" t="inlineStr">
        <is>
          <t>2353</t>
        </is>
      </c>
      <c r="G5" s="5" t="inlineStr">
        <is>
          <t>SP-PR</t>
        </is>
      </c>
      <c r="H5" s="6" t="n">
        <v>116.03</v>
      </c>
      <c r="I5" s="6" t="n">
        <v>116.03</v>
      </c>
      <c r="J5" s="5" t="n">
        <v>12</v>
      </c>
      <c r="K5" s="6" t="n">
        <v>13.92</v>
      </c>
      <c r="L5" s="6" t="n">
        <v>13.92</v>
      </c>
      <c r="M5" s="5" t="inlineStr">
        <is>
          <t>NF 30338 (insumo)</t>
        </is>
      </c>
      <c r="N5" s="5" t="inlineStr">
        <is>
          <t>Frete de compra de insumo</t>
        </is>
      </c>
    </row>
    <row r="6">
      <c r="A6" s="7" t="n">
        <v>46287</v>
      </c>
      <c r="B6" s="5" t="inlineStr">
        <is>
          <t>TRANS TOMAZ TRANSPORTES RODOV DE CARGAS EIREL</t>
        </is>
      </c>
      <c r="C6" s="5" t="inlineStr">
        <is>
          <t>03867083000290</t>
        </is>
      </c>
      <c r="D6" s="5" t="n">
        <v>25910</v>
      </c>
      <c r="E6" s="5" t="inlineStr">
        <is>
          <t>6353</t>
        </is>
      </c>
      <c r="F6" s="5" t="inlineStr">
        <is>
          <t>2353</t>
        </is>
      </c>
      <c r="G6" s="5" t="inlineStr">
        <is>
          <t>SP-PR</t>
        </is>
      </c>
      <c r="H6" s="6" t="n">
        <v>812.3</v>
      </c>
      <c r="I6" s="6" t="n">
        <v>812.3</v>
      </c>
      <c r="J6" s="5" t="n">
        <v>12</v>
      </c>
      <c r="K6" s="6" t="n">
        <v>97.48</v>
      </c>
      <c r="L6" s="6" t="n">
        <v>97.48</v>
      </c>
      <c r="M6" s="5" t="inlineStr">
        <is>
          <t>NF 117690 (insumo)</t>
        </is>
      </c>
      <c r="N6" s="5" t="inlineStr">
        <is>
          <t>Frete de compra de insumo</t>
        </is>
      </c>
    </row>
    <row r="7">
      <c r="A7" s="7" t="n">
        <v>46290</v>
      </c>
      <c r="B7" s="5" t="inlineStr">
        <is>
          <t>TRANS TOMAZ TRANSPORTES RODOV DE CARGAS EIREL</t>
        </is>
      </c>
      <c r="C7" s="5" t="inlineStr">
        <is>
          <t>03867083000290</t>
        </is>
      </c>
      <c r="D7" s="5" t="n">
        <v>26411</v>
      </c>
      <c r="E7" s="5" t="inlineStr">
        <is>
          <t>6353</t>
        </is>
      </c>
      <c r="F7" s="5" t="inlineStr">
        <is>
          <t>2353</t>
        </is>
      </c>
      <c r="G7" s="5" t="inlineStr">
        <is>
          <t>SP-PR</t>
        </is>
      </c>
      <c r="H7" s="6" t="n">
        <v>126.02</v>
      </c>
      <c r="I7" s="6" t="n">
        <v>126.02</v>
      </c>
      <c r="J7" s="5" t="n">
        <v>12</v>
      </c>
      <c r="K7" s="6" t="n">
        <v>15.12</v>
      </c>
      <c r="L7" s="6" t="n">
        <v>15.12</v>
      </c>
      <c r="M7" s="5" t="inlineStr">
        <is>
          <t>NF 141811 (insumo)</t>
        </is>
      </c>
      <c r="N7" s="5" t="inlineStr">
        <is>
          <t>Frete de compra de insumo</t>
        </is>
      </c>
    </row>
    <row r="8">
      <c r="A8" s="7" t="n">
        <v>46295</v>
      </c>
      <c r="B8" s="5" t="inlineStr">
        <is>
          <t>TRANS TOMAZ TRANSPORTES RODOV DE CARGAS EIREL</t>
        </is>
      </c>
      <c r="C8" s="5" t="inlineStr">
        <is>
          <t>03867083000290</t>
        </is>
      </c>
      <c r="D8" s="5" t="n">
        <v>26730</v>
      </c>
      <c r="E8" s="5" t="inlineStr">
        <is>
          <t>6353</t>
        </is>
      </c>
      <c r="F8" s="5" t="inlineStr">
        <is>
          <t>2353</t>
        </is>
      </c>
      <c r="G8" s="5" t="inlineStr">
        <is>
          <t>SP-PR</t>
        </is>
      </c>
      <c r="H8" s="6" t="n">
        <v>188.49</v>
      </c>
      <c r="I8" s="6" t="n">
        <v>188.49</v>
      </c>
      <c r="J8" s="5" t="n">
        <v>12</v>
      </c>
      <c r="K8" s="6" t="n">
        <v>22.62</v>
      </c>
      <c r="L8" s="6" t="n">
        <v>22.62</v>
      </c>
      <c r="M8" s="5" t="inlineStr">
        <is>
          <t>NF 19303 (insumo)</t>
        </is>
      </c>
      <c r="N8" s="5" t="inlineStr">
        <is>
          <t>Frete de compra de insumo</t>
        </is>
      </c>
    </row>
    <row r="9">
      <c r="A9" s="8" t="inlineStr">
        <is>
          <t>Total</t>
        </is>
      </c>
      <c r="B9" s="8" t="inlineStr"/>
      <c r="C9" s="8" t="inlineStr"/>
      <c r="D9" s="8" t="inlineStr"/>
      <c r="E9" s="8" t="inlineStr"/>
      <c r="F9" s="8" t="inlineStr"/>
      <c r="G9" s="8" t="inlineStr"/>
      <c r="H9" s="9">
        <f>SUM(H4:H8)</f>
        <v/>
      </c>
      <c r="I9" s="9">
        <f>SUM(I4:I8)</f>
        <v/>
      </c>
      <c r="J9" s="9">
        <f>SUM(J4:J8)</f>
        <v/>
      </c>
      <c r="K9" s="9">
        <f>SUM(K4:K8)</f>
        <v/>
      </c>
      <c r="L9" s="9">
        <f>SUM(L4:L8)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80" customWidth="1" min="4" max="4"/>
    <col width="12" customWidth="1" min="5" max="5"/>
    <col width="11" customWidth="1" min="6" max="6"/>
    <col width="30" customWidth="1" min="7" max="7"/>
  </cols>
  <sheetData>
    <row r="1">
      <c r="A1" s="1" t="inlineStr">
        <is>
          <t>Divergências encontradas na conferência</t>
        </is>
      </c>
    </row>
    <row r="2">
      <c r="A2" s="2" t="inlineStr">
        <is>
          <t>ALTA = corrigir antes de fechar; MÉDIA = conferir; BAIXA = informativo.</t>
        </is>
      </c>
    </row>
    <row r="4">
      <c r="A4" s="4" t="inlineStr">
        <is>
          <t>Gravidade</t>
        </is>
      </c>
      <c r="B4" s="4" t="inlineStr">
        <is>
          <t>Tipo</t>
        </is>
      </c>
      <c r="C4" s="4" t="inlineStr">
        <is>
          <t>Documento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Resolvido?</t>
        </is>
      </c>
      <c r="G4" s="4" t="inlineStr">
        <is>
          <t>Observação</t>
        </is>
      </c>
    </row>
    <row r="5">
      <c r="A5" s="13" t="inlineStr">
        <is>
          <t>ALTA</t>
        </is>
      </c>
      <c r="B5" s="13" t="inlineStr">
        <is>
          <t>Contribuinte como consumidor final</t>
        </is>
      </c>
      <c r="C5" s="13" t="inlineStr">
        <is>
          <t>GULA COSMETICOS LTDA (30415972000108, IE 9084324601)</t>
        </is>
      </c>
      <c r="D5" s="18" t="inlineStr">
        <is>
          <t>16 nota(s) com indIEDest=9/indFinal=1 (NF 8966, 8967, 8968, 8969, 8978, 8980, 8981, 8982, 9003, 9006, 9009, 9011, 9013, 9014, 9018, 9019; CFOP 5101, 5102, 6102), sem ICMS-ST, ICMS cheio e IPI na base do ICMS; nas 1 nota(s) do mês como contribuinte houve ST de R$ 865.16. Se o cliente revende, a ST não foi retida - confirmar o cadastro/finalidade com o cliente</t>
        </is>
      </c>
      <c r="E5" s="25" t="n">
        <v>35221.15</v>
      </c>
      <c r="F5" s="17" t="inlineStr"/>
      <c r="G5" s="17" t="inlineStr"/>
    </row>
    <row r="6">
      <c r="A6" s="13" t="inlineStr">
        <is>
          <t>ALTA</t>
        </is>
      </c>
      <c r="B6" s="13" t="inlineStr">
        <is>
          <t>Destinatário x UF</t>
        </is>
      </c>
      <c r="C6" s="13" t="inlineStr">
        <is>
          <t>GULA COSMETICOS LTDA (30415972000108)</t>
        </is>
      </c>
      <c r="D6" s="18" t="inlineStr">
        <is>
          <t>Mesmo CNPJ com endereço em UFs diferentes no mês: PR: NF 8955, 8968, 8969, 8978, 8980, 8981, 8982, 9003, 9006, 9009, 9011, 9013, 9014, 9018, 9019; SP: NF 8966, 8967 - CFOP 6xxx e DIFAL dependem da UF; conferir o cadastro</t>
        </is>
      </c>
      <c r="E6" s="25" t="n"/>
      <c r="F6" s="17" t="inlineStr"/>
      <c r="G6" s="17" t="inlineStr"/>
    </row>
    <row r="7">
      <c r="A7" s="13" t="inlineStr">
        <is>
          <t>ALTA</t>
        </is>
      </c>
      <c r="B7" s="13" t="inlineStr">
        <is>
          <t>Industrialização x retorno</t>
        </is>
      </c>
      <c r="C7" s="13" t="inlineStr">
        <is>
          <t>NF 8989/1 21/09 MIX PERFUMARIA LTDA</t>
        </is>
      </c>
      <c r="D7" s="18" t="inlineStr">
        <is>
          <t>Item 1 (FRASCO IMPRESSO OX 30V 900ML MIX ETERNIZE) é insumo do cliente (CST 41, PIS 49) com CFOP 5124 de industrialização - o mesmo item foi devolvido também na NF 8993 (5902). Retorno de insumo é 5902/6902; como está, R$ 600.00 entra no acumulador de industrialização e na base do PIS/COFINS e do IRPJ/CSLL</t>
        </is>
      </c>
      <c r="E7" s="25" t="n">
        <v>600</v>
      </c>
      <c r="F7" s="17" t="inlineStr"/>
      <c r="G7" s="17" t="inlineStr"/>
    </row>
    <row r="8">
      <c r="A8" s="13" t="inlineStr">
        <is>
          <t>ALTA</t>
        </is>
      </c>
      <c r="B8" s="13" t="inlineStr">
        <is>
          <t>Industrialização x retorno</t>
        </is>
      </c>
      <c r="C8" s="13" t="inlineStr">
        <is>
          <t>NF 8999/1 22/09 MIX COSMETICOS LTDA</t>
        </is>
      </c>
      <c r="D8" s="18" t="inlineStr">
        <is>
          <t>Item 1 (FRASCO IMPRESSO OX 20V 900ML MIX ETERNIZE) é insumo do cliente (CST 41, PIS 49) com CFOP 6124 de industrialização - o mesmo item foi devolvido também na NF 9005 (6902). Retorno de insumo é 5902/6902; como está, R$ 948.00 entra no acumulador de industrialização e na base do PIS/COFINS e do IRPJ/CSLL</t>
        </is>
      </c>
      <c r="E8" s="25" t="n">
        <v>948</v>
      </c>
      <c r="F8" s="17" t="inlineStr"/>
      <c r="G8" s="17" t="inlineStr"/>
    </row>
    <row r="9">
      <c r="A9" s="13" t="inlineStr">
        <is>
          <t>ALTA</t>
        </is>
      </c>
      <c r="B9" s="13" t="inlineStr">
        <is>
          <t>Industrialização x retorno</t>
        </is>
      </c>
      <c r="C9" s="13" t="inlineStr">
        <is>
          <t>NF 9000/1 22/09 MIX PERFUMARIA LTDA</t>
        </is>
      </c>
      <c r="D9" s="18" t="inlineStr">
        <is>
          <t>Item 1 (FRASCO IMPRESSO OX 20V 900ML MIX ETERNIZE) é insumo do cliente (CST 41, PIS 49) com CFOP 5124 de industrialização - o mesmo item foi devolvido também na NF 9002 (5902). Retorno de insumo é 5902/6902; como está, R$ 556.50 entra no acumulador de industrialização e na base do PIS/COFINS e do IRPJ/CSLL</t>
        </is>
      </c>
      <c r="E9" s="25" t="n">
        <v>556.5</v>
      </c>
      <c r="F9" s="17" t="inlineStr"/>
      <c r="G9" s="17" t="inlineStr"/>
    </row>
    <row r="10">
      <c r="A10" s="13" t="inlineStr">
        <is>
          <t>ALTA</t>
        </is>
      </c>
      <c r="B10" s="13" t="inlineStr">
        <is>
          <t>Industrialização x retorno</t>
        </is>
      </c>
      <c r="C10" s="13" t="inlineStr">
        <is>
          <t>NF 9020/1 29/09 MIX COSMETICOS LTDA</t>
        </is>
      </c>
      <c r="D10" s="18" t="inlineStr">
        <is>
          <t>Item 1 (FRASCO IMPRESSO OX 30V 900ML MIX ETERNIZE) é insumo do cliente (CST 41, PIS 49) com CFOP 6124 de industrialização - o mesmo item foi devolvido também na NF 9026 (6902). Retorno de insumo é 5902/6902; como está, R$ 600.00 entra no acumulador de industrialização e na base do PIS/COFINS e do IRPJ/CSLL</t>
        </is>
      </c>
      <c r="E10" s="25" t="n">
        <v>600</v>
      </c>
      <c r="F10" s="17" t="inlineStr"/>
      <c r="G10" s="17" t="inlineStr"/>
    </row>
    <row r="11">
      <c r="A11" s="13" t="inlineStr">
        <is>
          <t>ALTA</t>
        </is>
      </c>
      <c r="B11" s="13" t="inlineStr">
        <is>
          <t>Industrialização x retorno</t>
        </is>
      </c>
      <c r="C11" s="13" t="inlineStr">
        <is>
          <t>NF 9021/1 29/09 MIX PERFUMARIA LTDA</t>
        </is>
      </c>
      <c r="D11" s="18" t="inlineStr">
        <is>
          <t>Item 1 (FRASCO IMPRESSO OX 30V 900ML MIX ETERNIZE) é insumo do cliente (CST 41, PIS 49) com CFOP 5124 de industrialização - o mesmo item foi devolvido também na NF 9024 (5902). Retorno de insumo é 5902/6902; como está, R$ 300.00 entra no acumulador de industrialização e na base do PIS/COFINS e do IRPJ/CSLL</t>
        </is>
      </c>
      <c r="E11" s="25" t="n">
        <v>300</v>
      </c>
      <c r="F11" s="17" t="inlineStr"/>
      <c r="G11" s="17" t="inlineStr"/>
    </row>
    <row r="12">
      <c r="A12" s="13" t="inlineStr">
        <is>
          <t>ALTA</t>
        </is>
      </c>
      <c r="B12" s="13" t="inlineStr">
        <is>
          <t>XML x Registro ERP</t>
        </is>
      </c>
      <c r="C12" s="13" t="inlineStr">
        <is>
          <t>NF 8966/1 10/09 GULA COSMETICOS LTDA</t>
        </is>
      </c>
      <c r="D12" s="18" t="inlineStr">
        <is>
          <t>UF no XML SP x ERP PR</t>
        </is>
      </c>
      <c r="E12" s="25" t="n"/>
      <c r="F12" s="17" t="inlineStr"/>
      <c r="G12" s="17" t="inlineStr"/>
    </row>
    <row r="13">
      <c r="A13" s="13" t="inlineStr">
        <is>
          <t>ALTA</t>
        </is>
      </c>
      <c r="B13" s="13" t="inlineStr">
        <is>
          <t>XML x Registro ERP</t>
        </is>
      </c>
      <c r="C13" s="13" t="inlineStr">
        <is>
          <t>NF 8967/1 11/09 GULA COSMETICOS LTDA</t>
        </is>
      </c>
      <c r="D13" s="18" t="inlineStr">
        <is>
          <t>UF no XML SP x ERP PR</t>
        </is>
      </c>
      <c r="E13" s="25" t="n"/>
      <c r="F13" s="17" t="inlineStr"/>
      <c r="G13" s="17" t="inlineStr"/>
    </row>
    <row r="14">
      <c r="A14" s="19" t="inlineStr">
        <is>
          <t>MÉDIA</t>
        </is>
      </c>
      <c r="B14" s="19" t="inlineStr">
        <is>
          <t>CFOP revenda x produção</t>
        </is>
      </c>
      <c r="C14" s="19" t="inlineStr">
        <is>
          <t>NF 8967/1 11/09 GULA COSMETICOS LTDA</t>
        </is>
      </c>
      <c r="D14" s="20" t="inlineStr">
        <is>
          <t>1 item(ns) com CFOP 6102 (mercadoria de terceiros) e IPI destacado - produto fabricado pela COSMETICI sai com 5101/6101 (ou 5401 com ST). Conferir CFOP e natureza "VENDA DE MERCADORIAS"</t>
        </is>
      </c>
      <c r="E14" s="24" t="n">
        <v>370.33</v>
      </c>
      <c r="F14" s="17" t="inlineStr"/>
      <c r="G14" s="17" t="inlineStr"/>
    </row>
    <row r="15">
      <c r="A15" s="19" t="inlineStr">
        <is>
          <t>MÉDIA</t>
        </is>
      </c>
      <c r="B15" s="19" t="inlineStr">
        <is>
          <t>CFOP revenda x produção</t>
        </is>
      </c>
      <c r="C15" s="19" t="inlineStr">
        <is>
          <t>NF 8969/1 14/09 GULA COSMETICOS LTDA</t>
        </is>
      </c>
      <c r="D15" s="20" t="inlineStr">
        <is>
          <t>2 item(ns) com CFOP 5102 (mercadoria de terceiros) e IPI destacado - produto fabricado pela COSMETICI sai com 5101/6101 (ou 5401 com ST). Conferir CFOP e natureza "VENDA DE MERCADORIAS"</t>
        </is>
      </c>
      <c r="E15" s="24" t="n">
        <v>811.99</v>
      </c>
      <c r="F15" s="17" t="inlineStr"/>
      <c r="G15" s="17" t="inlineStr"/>
    </row>
    <row r="16">
      <c r="A16" s="19" t="inlineStr">
        <is>
          <t>MÉDIA</t>
        </is>
      </c>
      <c r="B16" s="19" t="inlineStr">
        <is>
          <t>CFOP revenda x produção</t>
        </is>
      </c>
      <c r="C16" s="19" t="inlineStr">
        <is>
          <t>NF 8978/1 16/09 GULA COSMETICOS LTDA</t>
        </is>
      </c>
      <c r="D16" s="20" t="inlineStr">
        <is>
          <t>9 item(ns) com CFOP 5102 (mercadoria de terceiros) e IPI destacado - produto fabricado pela COSMETICI sai com 5101/6101 (ou 5401 com ST). Conferir CFOP e natureza "VENDA DE MERCADORIAS"</t>
        </is>
      </c>
      <c r="E16" s="24" t="n">
        <v>1698.59</v>
      </c>
      <c r="F16" s="17" t="inlineStr"/>
      <c r="G16" s="17" t="inlineStr"/>
    </row>
    <row r="17">
      <c r="A17" s="19" t="inlineStr">
        <is>
          <t>MÉDIA</t>
        </is>
      </c>
      <c r="B17" s="19" t="inlineStr">
        <is>
          <t>CFOP revenda x produção</t>
        </is>
      </c>
      <c r="C17" s="19" t="inlineStr">
        <is>
          <t>NF 8980/1 17/09 GULA COSMETICOS LTDA</t>
        </is>
      </c>
      <c r="D17" s="20" t="inlineStr">
        <is>
          <t>19 item(ns) com CFOP 5102 (mercadoria de terceiros) e IPI destacado - produto fabricado pela COSMETICI sai com 5101/6101 (ou 5401 com ST). Conferir CFOP e natureza "VENDA DE MERCADORIAS"</t>
        </is>
      </c>
      <c r="E17" s="24" t="n">
        <v>11620.79</v>
      </c>
      <c r="F17" s="17" t="inlineStr"/>
      <c r="G17" s="17" t="inlineStr"/>
    </row>
    <row r="18">
      <c r="A18" s="19" t="inlineStr">
        <is>
          <t>MÉDIA</t>
        </is>
      </c>
      <c r="B18" s="19" t="inlineStr">
        <is>
          <t>CFOP revenda x produção</t>
        </is>
      </c>
      <c r="C18" s="19" t="inlineStr">
        <is>
          <t>NF 8981/1 17/09 GULA COSMETICOS LTDA</t>
        </is>
      </c>
      <c r="D18" s="20" t="inlineStr">
        <is>
          <t>1 item(ns) com CFOP 5102 (mercadoria de terceiros) e IPI destacado - produto fabricado pela COSMETICI sai com 5101/6101 (ou 5401 com ST). Conferir CFOP e natureza "VENDA DE MERCADORIAS"</t>
        </is>
      </c>
      <c r="E18" s="24" t="n">
        <v>1691.57</v>
      </c>
      <c r="F18" s="17" t="inlineStr"/>
      <c r="G18" s="17" t="inlineStr"/>
    </row>
    <row r="19">
      <c r="A19" s="19" t="inlineStr">
        <is>
          <t>MÉDIA</t>
        </is>
      </c>
      <c r="B19" s="19" t="inlineStr">
        <is>
          <t>CFOP revenda x produção</t>
        </is>
      </c>
      <c r="C19" s="19" t="inlineStr">
        <is>
          <t>NF 8982/1 18/09 GULA COSMETICOS LTDA</t>
        </is>
      </c>
      <c r="D19" s="20" t="inlineStr">
        <is>
          <t>1 item(ns) com CFOP 5102 (mercadoria de terceiros) e IPI destacado - produto fabricado pela COSMETICI sai com 5101/6101 (ou 5401 com ST). Conferir CFOP e natureza "VENDA DE MERCADORIAS"</t>
        </is>
      </c>
      <c r="E19" s="24" t="n">
        <v>6901.45</v>
      </c>
      <c r="F19" s="17" t="inlineStr"/>
      <c r="G19" s="17" t="inlineStr"/>
    </row>
    <row r="20">
      <c r="A20" s="19" t="inlineStr">
        <is>
          <t>MÉDIA</t>
        </is>
      </c>
      <c r="B20" s="19" t="inlineStr">
        <is>
          <t>CFOP revenda x produção</t>
        </is>
      </c>
      <c r="C20" s="19" t="inlineStr">
        <is>
          <t>NF 9003/1 23/09 GULA COSMETICOS LTDA</t>
        </is>
      </c>
      <c r="D20" s="20" t="inlineStr">
        <is>
          <t>4 item(ns) com CFOP 5102 (mercadoria de terceiros) e IPI destacado - produto fabricado pela COSMETICI sai com 5101/6101 (ou 5401 com ST). Conferir CFOP e natureza "VENDA DE MERCADORIAS"</t>
        </is>
      </c>
      <c r="E20" s="24" t="n">
        <v>156.77</v>
      </c>
      <c r="F20" s="17" t="inlineStr"/>
      <c r="G20" s="17" t="inlineStr"/>
    </row>
    <row r="21">
      <c r="A21" s="19" t="inlineStr">
        <is>
          <t>MÉDIA</t>
        </is>
      </c>
      <c r="B21" s="19" t="inlineStr">
        <is>
          <t>CFOP revenda x produção</t>
        </is>
      </c>
      <c r="C21" s="19" t="inlineStr">
        <is>
          <t>NF 9006/1 23/09 GULA COSMETICOS LTDA</t>
        </is>
      </c>
      <c r="D21" s="20" t="inlineStr">
        <is>
          <t>1 item(ns) com CFOP 5102 (mercadoria de terceiros) e IPI destacado - produto fabricado pela COSMETICI sai com 5101/6101 (ou 5401 com ST). Conferir CFOP e natureza "VENDA DE MERCADORIAS"</t>
        </is>
      </c>
      <c r="E21" s="24" t="n">
        <v>302.73</v>
      </c>
      <c r="F21" s="17" t="inlineStr"/>
      <c r="G21" s="17" t="inlineStr"/>
    </row>
    <row r="22">
      <c r="A22" s="19" t="inlineStr">
        <is>
          <t>MÉDIA</t>
        </is>
      </c>
      <c r="B22" s="19" t="inlineStr">
        <is>
          <t>CFOP revenda x produção</t>
        </is>
      </c>
      <c r="C22" s="19" t="inlineStr">
        <is>
          <t>NF 9009/1 23/09 GULA COSMETICOS LTDA</t>
        </is>
      </c>
      <c r="D22" s="20" t="inlineStr">
        <is>
          <t>5 item(ns) com CFOP 5102 (mercadoria de terceiros) e IPI destacado - produto fabricado pela COSMETICI sai com 5101/6101 (ou 5401 com ST). Conferir CFOP e natureza "VENDA DE MERCADORIAS"</t>
        </is>
      </c>
      <c r="E22" s="24" t="n">
        <v>1529.47</v>
      </c>
      <c r="F22" s="17" t="inlineStr"/>
      <c r="G22" s="17" t="inlineStr"/>
    </row>
    <row r="23">
      <c r="A23" s="19" t="inlineStr">
        <is>
          <t>MÉDIA</t>
        </is>
      </c>
      <c r="B23" s="19" t="inlineStr">
        <is>
          <t>CFOP revenda x produção</t>
        </is>
      </c>
      <c r="C23" s="19" t="inlineStr">
        <is>
          <t>NF 9013/1 28/09 GULA COSMETICOS LTDA</t>
        </is>
      </c>
      <c r="D23" s="20" t="inlineStr">
        <is>
          <t>2 item(ns) com CFOP 5102 (mercadoria de terceiros) e IPI destacado - produto fabricado pela COSMETICI sai com 5101/6101 (ou 5401 com ST). Conferir CFOP e natureza "VENDA DE MERCADORIAS"</t>
        </is>
      </c>
      <c r="E23" s="24" t="n">
        <v>618.45</v>
      </c>
      <c r="F23" s="17" t="inlineStr"/>
      <c r="G23" s="17" t="inlineStr"/>
    </row>
    <row r="24">
      <c r="A24" s="19" t="inlineStr">
        <is>
          <t>MÉDIA</t>
        </is>
      </c>
      <c r="B24" s="19" t="inlineStr">
        <is>
          <t>CFOP revenda x produção</t>
        </is>
      </c>
      <c r="C24" s="19" t="inlineStr">
        <is>
          <t>NF 9014/1 28/09 GULA COSMETICOS LTDA</t>
        </is>
      </c>
      <c r="D24" s="20" t="inlineStr">
        <is>
          <t>1 item(ns) com CFOP 5102 (mercadoria de terceiros) e IPI destacado - produto fabricado pela COSMETICI sai com 5101/6101 (ou 5401 com ST). Conferir CFOP e natureza "VENDA DE MERCADORIAS"</t>
        </is>
      </c>
      <c r="E24" s="24" t="n">
        <v>148.13</v>
      </c>
      <c r="F24" s="17" t="inlineStr"/>
      <c r="G24" s="17" t="inlineStr"/>
    </row>
    <row r="25">
      <c r="A25" s="19" t="inlineStr">
        <is>
          <t>MÉDIA</t>
        </is>
      </c>
      <c r="B25" s="19" t="inlineStr">
        <is>
          <t>CFOP revenda x produção</t>
        </is>
      </c>
      <c r="C25" s="19" t="inlineStr">
        <is>
          <t>NF 9018/1 29/09 GULA COSMETICOS LTDA</t>
        </is>
      </c>
      <c r="D25" s="20" t="inlineStr">
        <is>
          <t>1 item(ns) com CFOP 5102 (mercadoria de terceiros) e IPI destacado - produto fabricado pela COSMETICI sai com 5101/6101 (ou 5401 com ST). Conferir CFOP e natureza "VENDA DE MERCADORIAS"</t>
        </is>
      </c>
      <c r="E25" s="24" t="n">
        <v>139.49</v>
      </c>
      <c r="F25" s="17" t="inlineStr"/>
      <c r="G25" s="17" t="inlineStr"/>
    </row>
    <row r="26">
      <c r="A26" s="19" t="inlineStr">
        <is>
          <t>MÉDIA</t>
        </is>
      </c>
      <c r="B26" s="19" t="inlineStr">
        <is>
          <t>CFOP revenda x produção</t>
        </is>
      </c>
      <c r="C26" s="19" t="inlineStr">
        <is>
          <t>NF 9019/1 29/09 GULA COSMETICOS LTDA</t>
        </is>
      </c>
      <c r="D26" s="20" t="inlineStr">
        <is>
          <t>41 item(ns) com CFOP 5102 (mercadoria de terceiros) e IPI destacado - produto fabricado pela COSMETICI sai com 5101/6101 (ou 5401 com ST). Conferir CFOP e natureza "VENDA DE MERCADORIAS"</t>
        </is>
      </c>
      <c r="E26" s="24" t="n">
        <v>6020.39</v>
      </c>
      <c r="F26" s="17" t="inlineStr"/>
      <c r="G26" s="17" t="inlineStr"/>
    </row>
    <row r="27">
      <c r="A27" s="19" t="inlineStr">
        <is>
          <t>MÉDIA</t>
        </is>
      </c>
      <c r="B27" s="19" t="inlineStr">
        <is>
          <t>CT-e sem crédito</t>
        </is>
      </c>
      <c r="C27" s="19" t="inlineStr">
        <is>
          <t>CT-e 5597996 CAXIAS DO SUL - EXPRESSO SAO MIGUEL S/A</t>
        </is>
      </c>
      <c r="D27" s="20" t="inlineStr">
        <is>
          <t>Frete de compra de uso: sem crédito - o crédito do frete segue a mercadoria (uso e consumo/outras não creditam - LC 87/96 art. 33, I). ICMS R$ 36.18 não aproveitado</t>
        </is>
      </c>
      <c r="E27" s="24" t="n">
        <v>36.18</v>
      </c>
      <c r="F27" s="17" t="inlineStr"/>
      <c r="G27" s="17" t="inlineStr"/>
    </row>
    <row r="28">
      <c r="A28" s="19" t="inlineStr">
        <is>
          <t>MÉDIA</t>
        </is>
      </c>
      <c r="B28" s="19" t="inlineStr">
        <is>
          <t>Diferimento 5124</t>
        </is>
      </c>
      <c r="C28" s="19" t="inlineStr">
        <is>
          <t>NF 8939/1 02/09 CANDIDO COMERCIO DE COSMETICOS - EIRELI</t>
        </is>
      </c>
      <c r="D28" s="20" t="inlineStr">
        <is>
          <t>5124 para PR com CST 00 (ICMS R$ 108.44) enquanto 35 itens 5124 do mês saíram com diferimento (CST 51). Conferir se o diferimento se aplica a este cliente</t>
        </is>
      </c>
      <c r="E28" s="24" t="n">
        <v>108.44</v>
      </c>
      <c r="F28" s="17" t="inlineStr"/>
      <c r="G28" s="17" t="inlineStr"/>
    </row>
    <row r="29">
      <c r="A29" s="19" t="inlineStr">
        <is>
          <t>MÉDIA</t>
        </is>
      </c>
      <c r="B29" s="19" t="inlineStr">
        <is>
          <t>Fornecedor sem histórico</t>
        </is>
      </c>
      <c r="C29" s="19" t="inlineStr">
        <is>
          <t>ALTEC IND.COM.IMP.E EXP.LTDA. (67598292000187)</t>
        </is>
      </c>
      <c r="D29" s="20" t="inlineStr">
        <is>
          <t>Natureza definida pelo NCM (sem histórico no SPED) - confirmar insumo (1101/2101) x uso e consumo (1556/2556)</t>
        </is>
      </c>
      <c r="E29" s="24" t="n"/>
      <c r="F29" s="17" t="inlineStr"/>
      <c r="G29" s="17" t="inlineStr"/>
    </row>
    <row r="30">
      <c r="A30" s="19" t="inlineStr">
        <is>
          <t>MÉDIA</t>
        </is>
      </c>
      <c r="B30" s="19" t="inlineStr">
        <is>
          <t>Fornecedor sem histórico</t>
        </is>
      </c>
      <c r="C30" s="19" t="inlineStr">
        <is>
          <t>BISPHARMA EMBALAGENS LTDA (59610485000188)</t>
        </is>
      </c>
      <c r="D30" s="20" t="inlineStr">
        <is>
          <t>Natureza definida pelo NCM (sem histórico no SPED) - confirmar insumo (1101/2101) x uso e consumo (1556/2556)</t>
        </is>
      </c>
      <c r="E30" s="24" t="n"/>
      <c r="F30" s="17" t="inlineStr"/>
      <c r="G30" s="17" t="inlineStr"/>
    </row>
    <row r="31">
      <c r="A31" s="19" t="inlineStr">
        <is>
          <t>MÉDIA</t>
        </is>
      </c>
      <c r="B31" s="19" t="inlineStr">
        <is>
          <t>Fornecedor sem histórico</t>
        </is>
      </c>
      <c r="C31" s="19" t="inlineStr">
        <is>
          <t>CHEMYUNION LTDA (58309709000820)</t>
        </is>
      </c>
      <c r="D31" s="20" t="inlineStr">
        <is>
          <t>Natureza definida pelo NCM (sem histórico no SPED) - confirmar insumo (1101/2101) x uso e consumo (1556/2556)</t>
        </is>
      </c>
      <c r="E31" s="24" t="n"/>
      <c r="F31" s="17" t="inlineStr"/>
      <c r="G31" s="17" t="inlineStr"/>
    </row>
    <row r="32">
      <c r="A32" s="19" t="inlineStr">
        <is>
          <t>MÉDIA</t>
        </is>
      </c>
      <c r="B32" s="19" t="inlineStr">
        <is>
          <t>Fornecedor sem histórico</t>
        </is>
      </c>
      <c r="C32" s="19" t="inlineStr">
        <is>
          <t>ELLOLIMP COMERCIO DE PRODUTOS DE HIGIENE E LIMPEZA LTDA (49547438000183)</t>
        </is>
      </c>
      <c r="D32" s="20" t="inlineStr">
        <is>
          <t>Natureza definida pelo NCM (sem histórico no SPED) - confirmar insumo (1101/2101) x uso e consumo (1556/2556)</t>
        </is>
      </c>
      <c r="E32" s="24" t="n"/>
      <c r="F32" s="17" t="inlineStr"/>
      <c r="G32" s="17" t="inlineStr"/>
    </row>
    <row r="33">
      <c r="A33" s="19" t="inlineStr">
        <is>
          <t>MÉDIA</t>
        </is>
      </c>
      <c r="B33" s="19" t="inlineStr">
        <is>
          <t>Fornecedor sem histórico</t>
        </is>
      </c>
      <c r="C33" s="19" t="inlineStr">
        <is>
          <t>Lunaflexo Tecnologia Adesiva Eireli (06015875000143)</t>
        </is>
      </c>
      <c r="D33" s="20" t="inlineStr">
        <is>
          <t>Natureza definida pelo NCM (sem histórico no SPED) - confirmar insumo (1101/2101) x uso e consumo (1556/2556)</t>
        </is>
      </c>
      <c r="E33" s="24" t="n"/>
      <c r="F33" s="17" t="inlineStr"/>
      <c r="G33" s="17" t="inlineStr"/>
    </row>
    <row r="34">
      <c r="A34" s="19" t="inlineStr">
        <is>
          <t>MÉDIA</t>
        </is>
      </c>
      <c r="B34" s="19" t="inlineStr">
        <is>
          <t>Fornecedor sem histórico</t>
        </is>
      </c>
      <c r="C34" s="19" t="inlineStr">
        <is>
          <t>NewProv - Produtos para Laboratório Ltda (73636391000109)</t>
        </is>
      </c>
      <c r="D34" s="20" t="inlineStr">
        <is>
          <t>Natureza definida pelo NCM (sem histórico no SPED) - confirmar insumo (1101/2101) x uso e consumo (1556/2556)</t>
        </is>
      </c>
      <c r="E34" s="24" t="n"/>
      <c r="F34" s="17" t="inlineStr"/>
      <c r="G34" s="17" t="inlineStr"/>
    </row>
    <row r="35">
      <c r="A35" s="19" t="inlineStr">
        <is>
          <t>MÉDIA</t>
        </is>
      </c>
      <c r="B35" s="19" t="inlineStr">
        <is>
          <t>Fornecedor sem histórico</t>
        </is>
      </c>
      <c r="C35" s="19" t="inlineStr">
        <is>
          <t>SCENTEC ESSENCIAS E FRAGRANCIAS LTDA (62514971000107)</t>
        </is>
      </c>
      <c r="D35" s="20" t="inlineStr">
        <is>
          <t>Natureza definida pelo NCM (sem histórico no SPED) - confirmar insumo (1101/2101) x uso e consumo (1556/2556)</t>
        </is>
      </c>
      <c r="E35" s="24" t="n"/>
      <c r="F35" s="17" t="inlineStr"/>
      <c r="G35" s="17" t="inlineStr"/>
    </row>
    <row r="36">
      <c r="A36" s="19" t="inlineStr">
        <is>
          <t>MÉDIA</t>
        </is>
      </c>
      <c r="B36" s="19" t="inlineStr">
        <is>
          <t>Industrialização sem insumo</t>
        </is>
      </c>
      <c r="C36" s="19" t="inlineStr">
        <is>
          <t>NF 8939/1 02/09 CANDIDO COMERCIO DE COSMETICOS - EIRELI</t>
        </is>
      </c>
      <c r="D36" s="20" t="inlineStr">
        <is>
          <t>CFOP 5124 sem nota de remessa citada, sem retorno 5902/6902 e sem remessa recebida do cliente no mês. Confirmar o insumo enviado pelo encomendante; se não houve, é venda (5101/6101): PIS/COFINS monofásico 2,2%/10,3% em vez de 0,65%/3% (diferença ~R$ 39.61) e IPI tributado</t>
        </is>
      </c>
      <c r="E36" s="24" t="n">
        <v>556.05</v>
      </c>
      <c r="F36" s="17" t="inlineStr"/>
      <c r="G36" s="17" t="inlineStr"/>
    </row>
    <row r="37">
      <c r="A37" s="19" t="inlineStr">
        <is>
          <t>MÉDIA</t>
        </is>
      </c>
      <c r="B37" s="19" t="inlineStr">
        <is>
          <t>Industrialização sem insumo</t>
        </is>
      </c>
      <c r="C37" s="19" t="inlineStr">
        <is>
          <t>NF 8979/1 17/09 BARBARA KAROLAINY DE SOUZA SILVA</t>
        </is>
      </c>
      <c r="D37" s="20" t="inlineStr">
        <is>
          <t>CFOP 6124 sem nota de remessa citada, sem retorno 5902/6902 e sem remessa recebida do cliente no mês. Confirmar o insumo enviado pelo encomendante; se não houve, é venda (5101/6101): PIS/COFINS monofásico 2,2%/10,3% em vez de 0,65%/3% (diferença ~R$ 337.29) e IPI tributado</t>
        </is>
      </c>
      <c r="E37" s="24" t="n">
        <v>4098</v>
      </c>
      <c r="F37" s="17" t="inlineStr"/>
      <c r="G37" s="17" t="inlineStr"/>
    </row>
    <row r="38">
      <c r="A38" s="19" t="inlineStr">
        <is>
          <t>MÉDIA</t>
        </is>
      </c>
      <c r="B38" s="19" t="inlineStr">
        <is>
          <t>NFS-e retenções</t>
        </is>
      </c>
      <c r="C38" s="19" t="inlineStr">
        <is>
          <t>NFS-e 18 01/09/2026 GENESIS ALIANCA</t>
        </is>
      </c>
      <c r="D38" s="20" t="inlineStr">
        <is>
          <t>Serviço 0401 (medicina) de R$ 728.14, prestador fora do Simples: reter IRRF 1.5% R$ 10.92 + PIS/COFINS/CSLL 4,65% R$ 33.86 = R$ 44.78; descontado na nota R$ 10.92 (diferença R$ 33.86). Conferir pagamento e DARF 1708/5952</t>
        </is>
      </c>
      <c r="E38" s="24" t="n">
        <v>33.86</v>
      </c>
      <c r="F38" s="17" t="inlineStr"/>
      <c r="G38" s="17" t="inlineStr"/>
    </row>
    <row r="39">
      <c r="A39" s="19" t="inlineStr">
        <is>
          <t>MÉDIA</t>
        </is>
      </c>
      <c r="B39" s="19" t="inlineStr">
        <is>
          <t>Produto com tratamento diferente</t>
        </is>
      </c>
      <c r="C39" s="19" t="inlineStr">
        <is>
          <t>NEUTRALIZANTE ALL NATURE - 500ML (cód. 51)</t>
        </is>
      </c>
      <c r="D39" s="20" t="inlineStr">
        <is>
          <t>Mesmo produto vendido no mês com NCM/IPI diferentes: NCM 33059000 IPI CST 51 0% (NF 8966); NCM 33059000 IPI CST 50 14.3% (NF 8980) - conferir o cadastro do produto (IPI a menor se a alíquota correta for a maior)</t>
        </is>
      </c>
      <c r="E39" s="24" t="n"/>
      <c r="F39" s="17" t="inlineStr"/>
      <c r="G39" s="17" t="inlineStr"/>
    </row>
    <row r="40">
      <c r="A40" s="5" t="inlineStr">
        <is>
          <t>BAIXA</t>
        </is>
      </c>
      <c r="B40" s="5" t="inlineStr">
        <is>
          <t>Carta de correção</t>
        </is>
      </c>
      <c r="C40" s="5" t="inlineStr">
        <is>
          <t>NF 786/1 02/09 YAHWEH PRINT BRASIL LTDA</t>
        </is>
      </c>
      <c r="D40" s="21" t="inlineStr">
        <is>
          <t>VOLUMES: 4 CAIXAS</t>
        </is>
      </c>
      <c r="E40" s="6" t="n"/>
      <c r="F40" s="17" t="inlineStr"/>
      <c r="G40" s="17" t="inlineStr"/>
    </row>
    <row r="41">
      <c r="A41" s="5" t="inlineStr">
        <is>
          <t>BAIXA</t>
        </is>
      </c>
      <c r="B41" s="5" t="inlineStr">
        <is>
          <t>Carta de correção</t>
        </is>
      </c>
      <c r="C41" s="5" t="inlineStr">
        <is>
          <t>NF 786/1 02/09 YAHWEH PRINT BRASIL LTDA</t>
        </is>
      </c>
      <c r="D41" s="21" t="inlineStr"/>
      <c r="E41" s="6" t="n"/>
      <c r="F41" s="17" t="inlineStr"/>
      <c r="G41" s="17" t="inlineStr"/>
    </row>
    <row r="42">
      <c r="A42" s="5" t="inlineStr">
        <is>
          <t>BAIXA</t>
        </is>
      </c>
      <c r="B42" s="5" t="inlineStr">
        <is>
          <t>Carta de correção</t>
        </is>
      </c>
      <c r="C42" s="5" t="inlineStr">
        <is>
          <t>NF 8992/1 21/09 MIX PERFUMARIA LTDA</t>
        </is>
      </c>
      <c r="D42" s="21" t="inlineStr">
        <is>
          <t>INDUSTRIALIZACAO EFETUADA COM INSUMOS ENVIADOS NAS NFs 55874 de 21-09-2026</t>
        </is>
      </c>
      <c r="E42" s="6" t="n"/>
      <c r="F42" s="17" t="inlineStr"/>
      <c r="G42" s="17" t="inlineStr"/>
    </row>
    <row r="43">
      <c r="A43" s="5" t="inlineStr">
        <is>
          <t>BAIXA</t>
        </is>
      </c>
      <c r="B43" s="5" t="inlineStr">
        <is>
          <t>Carta de correção</t>
        </is>
      </c>
      <c r="C43" s="5" t="inlineStr">
        <is>
          <t>NF 8992/1 21/09 MIX PERFUMARIA LTDA</t>
        </is>
      </c>
      <c r="D43" s="21" t="inlineStr"/>
      <c r="E43" s="6" t="n"/>
      <c r="F43" s="17" t="inlineStr"/>
      <c r="G43" s="17" t="inlineStr"/>
    </row>
    <row r="44">
      <c r="A44" s="5" t="inlineStr">
        <is>
          <t>BAIXA</t>
        </is>
      </c>
      <c r="B44" s="5" t="inlineStr">
        <is>
          <t>Carta de correção</t>
        </is>
      </c>
      <c r="C44" s="5" t="inlineStr">
        <is>
          <t>NF 8993/1 21/09 MIX PERFUMARIA LTDA</t>
        </is>
      </c>
      <c r="D44" s="21" t="inlineStr">
        <is>
          <t>RETORNO SIMBOLICO DOS INSUMOS ENVIADOS NA NFE: 55874; INDUSTRIALIZACAO EFETUADA NA NFE 8992</t>
        </is>
      </c>
      <c r="E44" s="6" t="n"/>
      <c r="F44" s="17" t="inlineStr"/>
      <c r="G44" s="17" t="inlineStr"/>
    </row>
    <row r="45">
      <c r="A45" s="5" t="inlineStr">
        <is>
          <t>BAIXA</t>
        </is>
      </c>
      <c r="B45" s="5" t="inlineStr">
        <is>
          <t>Carta de correção</t>
        </is>
      </c>
      <c r="C45" s="5" t="inlineStr">
        <is>
          <t>NF 8993/1 21/09 MIX PERFUMARIA LTDA</t>
        </is>
      </c>
      <c r="D45" s="21" t="inlineStr"/>
      <c r="E45" s="6" t="n"/>
      <c r="F45" s="17" t="inlineStr"/>
      <c r="G45" s="17" t="inlineStr"/>
    </row>
    <row r="46">
      <c r="A46" s="5" t="inlineStr">
        <is>
          <t>BAIXA</t>
        </is>
      </c>
      <c r="B46" s="5" t="inlineStr">
        <is>
          <t>Carta de correção</t>
        </is>
      </c>
      <c r="C46" s="5" t="inlineStr">
        <is>
          <t>NF 9001/1 22/09 MIX PERFUMARIA LTDA</t>
        </is>
      </c>
      <c r="D46" s="21" t="inlineStr">
        <is>
          <t>INSDUSTRIALIZACAO EFETUADA COM INSUMOS ENVIADOS NA NFE 55913 de 23-09-2026</t>
        </is>
      </c>
      <c r="E46" s="6" t="n"/>
      <c r="F46" s="17" t="inlineStr"/>
      <c r="G46" s="17" t="inlineStr"/>
    </row>
    <row r="47">
      <c r="A47" s="5" t="inlineStr">
        <is>
          <t>BAIXA</t>
        </is>
      </c>
      <c r="B47" s="5" t="inlineStr">
        <is>
          <t>Carta de correção</t>
        </is>
      </c>
      <c r="C47" s="5" t="inlineStr">
        <is>
          <t>NF 9001/1 22/09 MIX PERFUMARIA LTDA</t>
        </is>
      </c>
      <c r="D47" s="21" t="inlineStr"/>
      <c r="E47" s="6" t="n"/>
      <c r="F47" s="17" t="inlineStr"/>
      <c r="G47" s="17" t="inlineStr"/>
    </row>
    <row r="48">
      <c r="A48" s="5" t="inlineStr">
        <is>
          <t>BAIXA</t>
        </is>
      </c>
      <c r="B48" s="5" t="inlineStr">
        <is>
          <t>Carta de correção</t>
        </is>
      </c>
      <c r="C48" s="5" t="inlineStr">
        <is>
          <t>NF 9002/1 22/09 MIX PERFUMARIA LTDA</t>
        </is>
      </c>
      <c r="D48" s="21" t="inlineStr">
        <is>
          <t>RETORNO SIMBOLICO DOS INSUMOS ENVIADOS NA NFE 55913 DE 23-09-26 ; INDUSTRIALIZACAO EFETUADA NA NFE 9001</t>
        </is>
      </c>
      <c r="E48" s="6" t="n"/>
      <c r="F48" s="17" t="inlineStr"/>
      <c r="G48" s="17" t="inlineStr"/>
    </row>
    <row r="49">
      <c r="A49" s="5" t="inlineStr">
        <is>
          <t>BAIXA</t>
        </is>
      </c>
      <c r="B49" s="5" t="inlineStr">
        <is>
          <t>Carta de correção</t>
        </is>
      </c>
      <c r="C49" s="5" t="inlineStr">
        <is>
          <t>NF 9002/1 22/09 MIX PERFUMARIA LTDA</t>
        </is>
      </c>
      <c r="D49" s="21" t="inlineStr"/>
      <c r="E49" s="6" t="n"/>
      <c r="F49" s="17" t="inlineStr"/>
      <c r="G49" s="17" t="inlineStr"/>
    </row>
    <row r="50">
      <c r="A50" s="5" t="inlineStr">
        <is>
          <t>BAIXA</t>
        </is>
      </c>
      <c r="B50" s="5" t="inlineStr">
        <is>
          <t>Carta de correção</t>
        </is>
      </c>
      <c r="C50" s="5" t="inlineStr">
        <is>
          <t>NF 9004/1 23/09 MIX COSMETICOS LTDA</t>
        </is>
      </c>
      <c r="D50" s="21" t="inlineStr">
        <is>
          <t>INSDUSTRIALIZACAO EFETUADA COM INSUMOS ENVIADOS NA NFE 14838 de 23-09-2026|</t>
        </is>
      </c>
      <c r="E50" s="6" t="n"/>
      <c r="F50" s="17" t="inlineStr"/>
      <c r="G50" s="17" t="inlineStr"/>
    </row>
    <row r="51">
      <c r="A51" s="5" t="inlineStr">
        <is>
          <t>BAIXA</t>
        </is>
      </c>
      <c r="B51" s="5" t="inlineStr">
        <is>
          <t>Carta de correção</t>
        </is>
      </c>
      <c r="C51" s="5" t="inlineStr">
        <is>
          <t>NF 9004/1 23/09 MIX COSMETICOS LTDA</t>
        </is>
      </c>
      <c r="D51" s="21" t="inlineStr"/>
      <c r="E51" s="6" t="n"/>
      <c r="F51" s="17" t="inlineStr"/>
      <c r="G51" s="17" t="inlineStr"/>
    </row>
    <row r="52">
      <c r="A52" s="5" t="inlineStr">
        <is>
          <t>BAIXA</t>
        </is>
      </c>
      <c r="B52" s="5" t="inlineStr">
        <is>
          <t>Carta de correção</t>
        </is>
      </c>
      <c r="C52" s="5" t="inlineStr">
        <is>
          <t>NF 9005/1 23/09 MIX COSMETICOS LTDA</t>
        </is>
      </c>
      <c r="D52" s="21" t="inlineStr">
        <is>
          <t>RETORNO SIMBOLICO DOS INSUMOS ENVIADOS NA NFE 14838 DE 23-09-26 ; INDUSTRIALIZACAO EFETUADA NA NFE 9004|</t>
        </is>
      </c>
      <c r="E52" s="6" t="n"/>
      <c r="F52" s="17" t="inlineStr"/>
      <c r="G52" s="17" t="inlineStr"/>
    </row>
    <row r="53">
      <c r="A53" s="5" t="inlineStr">
        <is>
          <t>BAIXA</t>
        </is>
      </c>
      <c r="B53" s="5" t="inlineStr">
        <is>
          <t>Carta de correção</t>
        </is>
      </c>
      <c r="C53" s="5" t="inlineStr">
        <is>
          <t>NF 9005/1 23/09 MIX COSMETICOS LTDA</t>
        </is>
      </c>
      <c r="D53" s="21" t="inlineStr"/>
      <c r="E53" s="6" t="n"/>
      <c r="F53" s="17" t="inlineStr"/>
      <c r="G53" s="17" t="inlineStr"/>
    </row>
    <row r="54">
      <c r="A54" s="5" t="inlineStr">
        <is>
          <t>BAIXA</t>
        </is>
      </c>
      <c r="B54" s="5" t="inlineStr">
        <is>
          <t>Carta de correção</t>
        </is>
      </c>
      <c r="C54" s="5" t="inlineStr">
        <is>
          <t>NF 9016/1 28/09 LUAN PATRICK LORANDI 02301366057</t>
        </is>
      </c>
      <c r="D54" s="21" t="inlineStr">
        <is>
          <t>PESO BRUTO: 300,000</t>
        </is>
      </c>
      <c r="E54" s="6" t="n"/>
      <c r="F54" s="17" t="inlineStr"/>
      <c r="G54" s="17" t="inlineStr"/>
    </row>
    <row r="55">
      <c r="A55" s="5" t="inlineStr">
        <is>
          <t>BAIXA</t>
        </is>
      </c>
      <c r="B55" s="5" t="inlineStr">
        <is>
          <t>Carta de correção</t>
        </is>
      </c>
      <c r="C55" s="5" t="inlineStr">
        <is>
          <t>NF 9016/1 28/09 LUAN PATRICK LORANDI 02301366057</t>
        </is>
      </c>
      <c r="D55" s="21" t="inlineStr"/>
      <c r="E55" s="6" t="n"/>
      <c r="F55" s="17" t="inlineStr"/>
      <c r="G55" s="17" t="inlineStr"/>
    </row>
    <row r="56">
      <c r="A56" s="5" t="inlineStr">
        <is>
          <t>BAIXA</t>
        </is>
      </c>
      <c r="B56" s="5" t="inlineStr">
        <is>
          <t>Carta de correção</t>
        </is>
      </c>
      <c r="C56" s="5" t="inlineStr">
        <is>
          <t>NF 9031/1 30/09 BB COSMETICOS - EIRELI</t>
        </is>
      </c>
      <c r="D56" s="21" t="inlineStr">
        <is>
          <t>QUANTIDADE CORRETA DE VOLUMES - 5 VOLUMES</t>
        </is>
      </c>
      <c r="E56" s="6" t="n"/>
      <c r="F56" s="17" t="inlineStr"/>
      <c r="G56" s="17" t="inlineStr"/>
    </row>
    <row r="57">
      <c r="A57" s="5" t="inlineStr">
        <is>
          <t>BAIXA</t>
        </is>
      </c>
      <c r="B57" s="5" t="inlineStr">
        <is>
          <t>Carta de correção</t>
        </is>
      </c>
      <c r="C57" s="5" t="inlineStr">
        <is>
          <t>NF 9031/1 30/09 BB COSMETICOS - EIRELI</t>
        </is>
      </c>
      <c r="D57" s="21" t="inlineStr"/>
      <c r="E57" s="6" t="n"/>
      <c r="F57" s="17" t="inlineStr"/>
      <c r="G57" s="17" t="inlineStr"/>
    </row>
    <row r="58">
      <c r="A58" s="5" t="inlineStr">
        <is>
          <t>BAIXA</t>
        </is>
      </c>
      <c r="B58" s="5" t="inlineStr">
        <is>
          <t>Carta de correção</t>
        </is>
      </c>
      <c r="C58" s="5" t="inlineStr">
        <is>
          <t>NF 9035/1 30/09 NUTRABELLA COMERCIAL DE COSMETICOS LTDA</t>
        </is>
      </c>
      <c r="D58" s="21" t="inlineStr">
        <is>
          <t>Entregar:|Rua fl 9 qd 16 lt 01 casa 02, parque das flores |Cep: 74595-261|Goiania - go</t>
        </is>
      </c>
      <c r="E58" s="6" t="n"/>
      <c r="F58" s="17" t="inlineStr"/>
      <c r="G58" s="17" t="inlineStr"/>
    </row>
    <row r="59">
      <c r="A59" s="5" t="inlineStr">
        <is>
          <t>BAIXA</t>
        </is>
      </c>
      <c r="B59" s="5" t="inlineStr">
        <is>
          <t>Carta de correção</t>
        </is>
      </c>
      <c r="C59" s="5" t="inlineStr">
        <is>
          <t>NF 9035/1 30/09 NUTRABELLA COMERCIAL DE COSMETICOS LTDA</t>
        </is>
      </c>
      <c r="D59" s="21" t="inlineStr"/>
      <c r="E59" s="6" t="n"/>
      <c r="F59" s="17" t="inlineStr"/>
      <c r="G59" s="17" t="inlineStr"/>
    </row>
    <row r="60">
      <c r="A60" s="5" t="inlineStr">
        <is>
          <t>BAIXA</t>
        </is>
      </c>
      <c r="B60" s="5" t="inlineStr">
        <is>
          <t>Grupo IPI</t>
        </is>
      </c>
      <c r="C60" s="5" t="inlineStr">
        <is>
          <t>NF 8939/1 02/09 CANDIDO COMERCIO DE COSMETICOS - EIRELI</t>
        </is>
      </c>
      <c r="D60" s="21" t="inlineStr">
        <is>
          <t>2 item(ns) de produto (CFOP 5124) sem grupo de IPI (CST) - conferir o cadastro do produto no ERP</t>
        </is>
      </c>
      <c r="E60" s="6" t="n"/>
      <c r="F60" s="17" t="inlineStr"/>
      <c r="G60" s="17" t="inlineStr"/>
    </row>
    <row r="61">
      <c r="A61" s="5" t="inlineStr">
        <is>
          <t>BAIXA</t>
        </is>
      </c>
      <c r="B61" s="5" t="inlineStr">
        <is>
          <t>Grupo IPI</t>
        </is>
      </c>
      <c r="C61" s="5" t="inlineStr">
        <is>
          <t>NF 8973/1 16/09 JORGE LEAO FERREIRA</t>
        </is>
      </c>
      <c r="D61" s="21" t="inlineStr">
        <is>
          <t>2 item(ns) de produto (CFOP 6124) sem grupo de IPI (CST) - conferir o cadastro do produto no ERP</t>
        </is>
      </c>
      <c r="E61" s="6" t="n"/>
      <c r="F61" s="17" t="inlineStr"/>
      <c r="G61" s="17" t="inlineStr"/>
    </row>
    <row r="62">
      <c r="A62" s="5" t="inlineStr">
        <is>
          <t>BAIXA</t>
        </is>
      </c>
      <c r="B62" s="5" t="inlineStr">
        <is>
          <t>Grupo IPI</t>
        </is>
      </c>
      <c r="C62" s="5" t="inlineStr">
        <is>
          <t>NF 8980/1 17/09 GULA COSMETICOS LTDA</t>
        </is>
      </c>
      <c r="D62" s="21" t="inlineStr">
        <is>
          <t>3 item(ns) de produto (CFOP 5102) sem grupo de IPI (CST) - conferir o cadastro do produto no ERP</t>
        </is>
      </c>
      <c r="E62" s="6" t="n"/>
      <c r="F62" s="17" t="inlineStr"/>
      <c r="G62" s="17" t="inlineStr"/>
    </row>
    <row r="63">
      <c r="A63" s="5" t="inlineStr">
        <is>
          <t>BAIXA</t>
        </is>
      </c>
      <c r="B63" s="5" t="inlineStr">
        <is>
          <t>Industrialização x retorno</t>
        </is>
      </c>
      <c r="C63" s="5" t="inlineStr">
        <is>
          <t>NF 9017/1 28/09 LUAN PATRICK LORANDI 02301366057</t>
        </is>
      </c>
      <c r="D63" s="21" t="inlineStr">
        <is>
          <t>Informações complementares citam a industrialização na NF 9015, que é de FABIANO RODRIGUES AMARAL (CFOP 6101); a do cliente é a NF 9016 - corrigir por CC-e</t>
        </is>
      </c>
      <c r="E63" s="6" t="n"/>
      <c r="F63" s="17" t="inlineStr"/>
      <c r="G63" s="17" t="inlineStr"/>
    </row>
    <row r="64">
      <c r="A64" s="5" t="inlineStr">
        <is>
          <t>BAIXA</t>
        </is>
      </c>
      <c r="B64" s="5" t="inlineStr">
        <is>
          <t>NFS-e retenções</t>
        </is>
      </c>
      <c r="C64" s="5" t="inlineStr">
        <is>
          <t>NFS-e 9227 01/09/2026 PLUS SANTE</t>
        </is>
      </c>
      <c r="D64" s="21" t="inlineStr">
        <is>
          <t>Serviço 0421 (atendimento médico móvel) de R$ 342.30: confirmar se há retenção de IRRF/CSRF; descontado R$ 0.00</t>
        </is>
      </c>
      <c r="E64" s="6" t="n"/>
      <c r="F64" s="17" t="inlineStr"/>
      <c r="G64" s="17" t="inlineStr"/>
    </row>
    <row r="65">
      <c r="A65" s="5" t="inlineStr">
        <is>
          <t>BAIXA</t>
        </is>
      </c>
      <c r="B65" s="5" t="inlineStr">
        <is>
          <t>PIS/COFINS no XML</t>
        </is>
      </c>
      <c r="C65" s="5" t="inlineStr">
        <is>
          <t>35 notas 5124/6124</t>
        </is>
      </c>
      <c r="D65" s="21" t="inlineStr">
        <is>
          <t>O XML informa PIS/COFINS monofásico (CST 02, 2.2%) em R$ 115,057.65 de industrialização (PIS R$ 2,531.30 / COFINS R$ 11,850.96); a apuração usa 0,65%/3% sobre a industrialização, como nos DARFs pagos. Na encomenda de produto monofásico a alíquota concentrada é do encomendante (Lei 11.051/2004, art. 10) - corrigir o cadastro fiscal do ERP (CST 01) e confirmar o entendimento com a contadora</t>
        </is>
      </c>
      <c r="E65" s="6" t="n"/>
      <c r="F65" s="17" t="inlineStr"/>
      <c r="G65" s="17" t="inlineStr"/>
    </row>
    <row r="66">
      <c r="A66" s="5" t="inlineStr">
        <is>
          <t>BAIXA</t>
        </is>
      </c>
      <c r="B66" s="5" t="inlineStr">
        <is>
          <t>Remessa sem retorno</t>
        </is>
      </c>
      <c r="C66" s="5" t="inlineStr">
        <is>
          <t>NF 17187 18/09 ONIXSUL COSMETICOS</t>
        </is>
      </c>
      <c r="D66" s="21" t="inlineStr">
        <is>
          <t>Remessa 5901 recebida e ainda sem retorno citado no mês - fica no estoque de terceiros (controle)</t>
        </is>
      </c>
      <c r="E66" s="6" t="n">
        <v>5700</v>
      </c>
      <c r="F66" s="17" t="inlineStr"/>
      <c r="G66" s="17" t="inlineStr"/>
    </row>
    <row r="67">
      <c r="A67" s="5" t="inlineStr">
        <is>
          <t>BAIXA</t>
        </is>
      </c>
      <c r="B67" s="5" t="inlineStr">
        <is>
          <t>Remessa sem retorno</t>
        </is>
      </c>
      <c r="C67" s="5" t="inlineStr">
        <is>
          <t>NF 4551 21/09 BB COSMETICOS LTDA</t>
        </is>
      </c>
      <c r="D67" s="21" t="inlineStr">
        <is>
          <t>Remessa 5901 recebida e ainda sem retorno citado no mês - fica no estoque de terceiros (controle)</t>
        </is>
      </c>
      <c r="E67" s="6" t="n">
        <v>65</v>
      </c>
      <c r="F67" s="17" t="inlineStr"/>
      <c r="G67" s="17" t="inlineStr"/>
    </row>
    <row r="68">
      <c r="A68" s="5" t="inlineStr">
        <is>
          <t>BAIXA</t>
        </is>
      </c>
      <c r="B68" s="5" t="inlineStr">
        <is>
          <t>Remessa sem retorno</t>
        </is>
      </c>
      <c r="C68" s="5" t="inlineStr">
        <is>
          <t>NF 5027 02/09 JOSE DOMINGOS LINARES LTDA</t>
        </is>
      </c>
      <c r="D68" s="21" t="inlineStr">
        <is>
          <t>Remessa 5923 recebida e ainda sem retorno citado no mês - fica no estoque de terceiros (controle). REFERENTE AO CLIENTE Z.R DISTRIBUIÇÃO, NF_e 4013</t>
        </is>
      </c>
      <c r="E68" s="6" t="n">
        <v>600</v>
      </c>
      <c r="F68" s="17" t="inlineStr"/>
      <c r="G68" s="17" t="inlineStr"/>
    </row>
    <row r="69">
      <c r="A69" s="5" t="inlineStr">
        <is>
          <t>BAIXA</t>
        </is>
      </c>
      <c r="B69" s="5" t="inlineStr">
        <is>
          <t>Remessa sem retorno</t>
        </is>
      </c>
      <c r="C69" s="5" t="inlineStr">
        <is>
          <t>NF 5048 03/09 JOSE DOMINGOS LINARES LTDA</t>
        </is>
      </c>
      <c r="D69" s="21" t="inlineStr">
        <is>
          <t>Remessa 5923 recebida e ainda sem retorno citado no mês - fica no estoque de terceiros (controle). REFERENTE AO CLIENTE, VITTA HAIR, OS - 166471</t>
        </is>
      </c>
      <c r="E69" s="6" t="n">
        <v>1964</v>
      </c>
      <c r="F69" s="17" t="inlineStr"/>
      <c r="G69" s="17" t="inlineStr"/>
    </row>
    <row r="70">
      <c r="A70" s="5" t="inlineStr">
        <is>
          <t>BAIXA</t>
        </is>
      </c>
      <c r="B70" s="5" t="inlineStr">
        <is>
          <t>Remessa sem retorno</t>
        </is>
      </c>
      <c r="C70" s="5" t="inlineStr">
        <is>
          <t>NF 5080 09/09 JOSE DOMINGOS LINARES LTDA</t>
        </is>
      </c>
      <c r="D70" s="21" t="inlineStr">
        <is>
          <t>Remessa 5924 recebida e ainda sem retorno citado no mês - fica no estoque de terceiros (controle). REFERENTE A OS 165919 - ONIXSUL COSMETICOS</t>
        </is>
      </c>
      <c r="E70" s="6" t="n">
        <v>5670</v>
      </c>
      <c r="F70" s="17" t="inlineStr"/>
      <c r="G70" s="17" t="inlineStr"/>
    </row>
    <row r="71">
      <c r="A71" s="5" t="inlineStr">
        <is>
          <t>BAIXA</t>
        </is>
      </c>
      <c r="B71" s="5" t="inlineStr">
        <is>
          <t>Remessa sem retorno</t>
        </is>
      </c>
      <c r="C71" s="5" t="inlineStr">
        <is>
          <t>NF 5133 14/09 JOSE DOMINGOS LINARES LTDA</t>
        </is>
      </c>
      <c r="D71" s="21" t="inlineStr">
        <is>
          <t>Remessa 5924 recebida e ainda sem retorno citado no mês - fica no estoque de terceiros (controle). REFERENTE A OS 167120 - F.B. RIBEIRO E SILVA</t>
        </is>
      </c>
      <c r="E71" s="6" t="n">
        <v>2136</v>
      </c>
      <c r="F71" s="17" t="inlineStr"/>
      <c r="G71" s="17" t="inlineStr"/>
    </row>
    <row r="72">
      <c r="A72" s="5" t="inlineStr">
        <is>
          <t>BAIXA</t>
        </is>
      </c>
      <c r="B72" s="5" t="inlineStr">
        <is>
          <t>Remessa sem retorno</t>
        </is>
      </c>
      <c r="C72" s="5" t="inlineStr">
        <is>
          <t>NF 5162 15/09 JOSE DOMINGOS LINARES LTDA</t>
        </is>
      </c>
      <c r="D72" s="21" t="inlineStr">
        <is>
          <t>Remessa 5923 recebida e ainda sem retorno citado no mês - fica no estoque de terceiros (controle). REFERENTE AO CLIENTE F.B RIBEIRO, OS 167134</t>
        </is>
      </c>
      <c r="E72" s="6" t="n">
        <v>1112</v>
      </c>
      <c r="F72" s="17" t="inlineStr"/>
      <c r="G72" s="17" t="inlineStr"/>
    </row>
    <row r="73">
      <c r="A73" s="5" t="inlineStr">
        <is>
          <t>BAIXA</t>
        </is>
      </c>
      <c r="B73" s="5" t="inlineStr">
        <is>
          <t>Remessa sem retorno</t>
        </is>
      </c>
      <c r="C73" s="5" t="inlineStr">
        <is>
          <t>NF 5170 16/09 JOSE DOMINGOS LINARES LTDA</t>
        </is>
      </c>
      <c r="D73" s="21" t="inlineStr">
        <is>
          <t>Remessa 5924 recebida e ainda sem retorno citado no mês - fica no estoque de terceiros (controle)</t>
        </is>
      </c>
      <c r="E73" s="6" t="n">
        <v>667.2</v>
      </c>
      <c r="F73" s="17" t="inlineStr"/>
      <c r="G73" s="17" t="inlineStr"/>
    </row>
    <row r="74">
      <c r="A74" s="5" t="inlineStr">
        <is>
          <t>BAIXA</t>
        </is>
      </c>
      <c r="B74" s="5" t="inlineStr">
        <is>
          <t>Remessa sem retorno</t>
        </is>
      </c>
      <c r="C74" s="5" t="inlineStr">
        <is>
          <t>NF 5233 21/09 JOSE DOMINGOS LINARES LTDA</t>
        </is>
      </c>
      <c r="D74" s="21" t="inlineStr">
        <is>
          <t>Remessa 5924 recebida e ainda sem retorno citado no mês - fica no estoque de terceiros (controle). REFERENTE AO LCIENTE, BB COSMETICOS, OS- 167541</t>
        </is>
      </c>
      <c r="E74" s="6" t="n">
        <v>2420.01</v>
      </c>
      <c r="F74" s="17" t="inlineStr"/>
      <c r="G74" s="17" t="inlineStr"/>
    </row>
    <row r="75">
      <c r="A75" s="5" t="inlineStr">
        <is>
          <t>BAIXA</t>
        </is>
      </c>
      <c r="B75" s="5" t="inlineStr">
        <is>
          <t>Remessa sem retorno</t>
        </is>
      </c>
      <c r="C75" s="5" t="inlineStr">
        <is>
          <t>NF 5235 21/09 JOSE DOMINGOS LINARES LTDA</t>
        </is>
      </c>
      <c r="D75" s="21" t="inlineStr">
        <is>
          <t>Remessa 5924 recebida e ainda sem retorno citado no mês - fica no estoque de terceiros (controle). REFERENTE A OS 166939 - Z.R. DISTRIBUIÇÃO E COMERCIO</t>
        </is>
      </c>
      <c r="E75" s="6" t="n">
        <v>1760</v>
      </c>
      <c r="F75" s="17" t="inlineStr"/>
      <c r="G75" s="17" t="inlineStr"/>
    </row>
    <row r="76">
      <c r="A76" s="5" t="inlineStr">
        <is>
          <t>BAIXA</t>
        </is>
      </c>
      <c r="B76" s="5" t="inlineStr">
        <is>
          <t>Remessa sem retorno</t>
        </is>
      </c>
      <c r="C76" s="5" t="inlineStr">
        <is>
          <t>NF 8099 14/09 BEPUMP IMPORTACAO E EXPORTACAO LTDA</t>
        </is>
      </c>
      <c r="D76" s="21" t="inlineStr">
        <is>
          <t>Remessa 6924 recebida e ainda sem retorno citado no mês - fica no estoque de terceiros (controle)</t>
        </is>
      </c>
      <c r="E76" s="6" t="n">
        <v>1408.12</v>
      </c>
      <c r="F76" s="17" t="inlineStr"/>
      <c r="G76" s="17" t="inlineStr"/>
    </row>
    <row r="77">
      <c r="A77" s="5" t="inlineStr">
        <is>
          <t>BAIXA</t>
        </is>
      </c>
      <c r="B77" s="5" t="inlineStr">
        <is>
          <t>Remessa sem retorno</t>
        </is>
      </c>
      <c r="C77" s="5" t="inlineStr">
        <is>
          <t>NF 8112 14/09 OUTLET PREMIUM PACK LTDA</t>
        </is>
      </c>
      <c r="D77" s="21" t="inlineStr">
        <is>
          <t>Remessa 6924 recebida e ainda sem retorno citado no mês - fica no estoque de terceiros (controle)</t>
        </is>
      </c>
      <c r="E77" s="6" t="n">
        <v>2462.03</v>
      </c>
      <c r="F77" s="17" t="inlineStr"/>
      <c r="G77" s="17" t="inlineStr"/>
    </row>
    <row r="78">
      <c r="A78" s="5" t="inlineStr">
        <is>
          <t>BAIXA</t>
        </is>
      </c>
      <c r="B78" s="5" t="inlineStr">
        <is>
          <t>XML x Registro ERP</t>
        </is>
      </c>
      <c r="C78" s="5" t="inlineStr">
        <is>
          <t>30 notas de retorno 5902/6902</t>
        </is>
      </c>
      <c r="D78" s="21" t="inlineStr">
        <is>
          <t>O Registro de Saídas do ERP não lista as notas de retorno simbólico (R$ 13,253.13); no livro/SPED elas entram (C100/C190 com CFOP 5902/6902, sem débito) - conferir no Domínio</t>
        </is>
      </c>
      <c r="E78" s="6" t="n">
        <v>13253.13</v>
      </c>
      <c r="F78" s="17" t="inlineStr"/>
      <c r="G78" s="17" t="inlineStr"/>
    </row>
  </sheetData>
  <dataValidations count="1">
    <dataValidation sqref="F5:F78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Pontos para a contadora decidir (não alteram a apuração sem confirmação)</t>
        </is>
      </c>
    </row>
    <row r="3" ht="45" customHeight="1">
      <c r="A3" s="26" t="inlineStr">
        <is>
          <t>1. Vendas de NCM fora da lista monofásica (Lei 10.147/2000, art. 1º, I, b) somam R$ 5,475.65 e estão na base de 2,2%/10,3%, como na planilha de 08/2026: 28470000 (R$ 5,475.65). Se forem tributadas a 0,65%/3%, a diferença é PIS R$ 84.87 e COFINS R$ 399.72 a menor. Confirmar com a contadora.</t>
        </is>
      </c>
    </row>
    <row r="4" ht="60" customHeight="1">
      <c r="A4" s="26" t="inlineStr">
        <is>
          <t>2. Insumo de cliente emitido com CFOP 5124/6124 soma R$ 3,004.50 (aba Divergências, "Industrialização x retorno"). Está na base do PIS/COFINS (0,65%/3% = R$ 19.53 + R$ 90.13) e do IRPJ/CSLL. Se a contadora confirmar que é retorno em duplicidade, tirar da base e pedir ao cliente a regularização (CC-e do CFOP não altera valores - Ajuste SINIEF 01/07; senão, nota de entrada/anulação conforme RICMS/PR).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6" customWidth="1" min="3" max="3"/>
    <col width="11" customWidth="1" min="4" max="4"/>
    <col width="40" customWidth="1" min="5" max="5"/>
    <col width="13" customWidth="1" min="6" max="6"/>
    <col width="47" customWidth="1" min="7" max="7"/>
  </cols>
  <sheetData>
    <row r="1">
      <c r="A1" s="1" t="inlineStr">
        <is>
          <t>Notas canceladas e números inutilizados no mês</t>
        </is>
      </c>
    </row>
    <row r="3">
      <c r="A3" s="4" t="inlineStr">
        <is>
          <t>Tipo</t>
        </is>
      </c>
      <c r="B3" s="4" t="inlineStr">
        <is>
          <t>Número</t>
        </is>
      </c>
      <c r="C3" s="4" t="inlineStr">
        <is>
          <t>Série</t>
        </is>
      </c>
      <c r="D3" s="4" t="inlineStr">
        <is>
          <t>Emissão</t>
        </is>
      </c>
      <c r="E3" s="4" t="inlineStr">
        <is>
          <t>Destinatário/Emitente</t>
        </is>
      </c>
      <c r="F3" s="4" t="inlineStr">
        <is>
          <t>Valor</t>
        </is>
      </c>
      <c r="G3" s="4" t="inlineStr">
        <is>
          <t>Chave</t>
        </is>
      </c>
    </row>
    <row r="4">
      <c r="A4" s="5" t="inlineStr">
        <is>
          <t>Cancelada</t>
        </is>
      </c>
      <c r="B4" s="5" t="n">
        <v>8940</v>
      </c>
      <c r="C4" s="5" t="inlineStr">
        <is>
          <t>1</t>
        </is>
      </c>
      <c r="D4" s="7" t="n">
        <v>46267</v>
      </c>
      <c r="E4" s="5" t="inlineStr">
        <is>
          <t>R&amp;S COMERCIO DE COSMETICOS LTDA</t>
        </is>
      </c>
      <c r="F4" s="6" t="n">
        <v>7368</v>
      </c>
      <c r="G4" s="5" t="inlineStr">
        <is>
          <t>41260933039048000162550010000089401000115920</t>
        </is>
      </c>
    </row>
    <row r="5">
      <c r="A5" s="5" t="inlineStr">
        <is>
          <t>Cancelada</t>
        </is>
      </c>
      <c r="B5" s="5" t="n">
        <v>8952</v>
      </c>
      <c r="C5" s="5" t="inlineStr">
        <is>
          <t>1</t>
        </is>
      </c>
      <c r="D5" s="7" t="n">
        <v>46268</v>
      </c>
      <c r="E5" s="5" t="inlineStr">
        <is>
          <t>GUIDI COSMETICOS LTDA</t>
        </is>
      </c>
      <c r="F5" s="6" t="n">
        <v>6307.1</v>
      </c>
      <c r="G5" s="5" t="inlineStr">
        <is>
          <t>41260933039048000162550010000089521000162996</t>
        </is>
      </c>
    </row>
    <row r="6">
      <c r="A6" s="5" t="inlineStr">
        <is>
          <t>Cancelada (fornecedor)</t>
        </is>
      </c>
      <c r="B6" s="5" t="n">
        <v>794</v>
      </c>
      <c r="C6" s="5" t="inlineStr">
        <is>
          <t>1</t>
        </is>
      </c>
      <c r="D6" s="7" t="n">
        <v>46274</v>
      </c>
      <c r="E6" s="5" t="inlineStr">
        <is>
          <t>YAHWEH PRINT BRASIL LTDA</t>
        </is>
      </c>
      <c r="F6" s="6" t="n">
        <v>4370.44</v>
      </c>
      <c r="G6" s="5" t="inlineStr">
        <is>
          <t>41260952680145000184550010000007941049258979</t>
        </is>
      </c>
    </row>
    <row r="7">
      <c r="A7" s="5" t="inlineStr">
        <is>
          <t>Inutilizada</t>
        </is>
      </c>
      <c r="B7" s="5" t="n">
        <v>8938</v>
      </c>
      <c r="C7" s="5" t="inlineStr">
        <is>
          <t>1</t>
        </is>
      </c>
      <c r="D7" s="5" t="n"/>
      <c r="E7" s="5" t="inlineStr"/>
      <c r="F7" s="5" t="n"/>
      <c r="G7" s="5" t="inlineStr"/>
    </row>
    <row r="8">
      <c r="A8" s="5" t="inlineStr">
        <is>
          <t>Inutilizada</t>
        </is>
      </c>
      <c r="B8" s="5" t="n">
        <v>8948</v>
      </c>
      <c r="C8" s="5" t="inlineStr">
        <is>
          <t>1</t>
        </is>
      </c>
      <c r="D8" s="5" t="n"/>
      <c r="E8" s="5" t="inlineStr"/>
      <c r="F8" s="5" t="n"/>
      <c r="G8" s="5" t="inlineStr"/>
    </row>
    <row r="9">
      <c r="A9" s="5" t="inlineStr">
        <is>
          <t>Inutilizada</t>
        </is>
      </c>
      <c r="B9" s="5" t="n">
        <v>8951</v>
      </c>
      <c r="C9" s="5" t="inlineStr">
        <is>
          <t>1</t>
        </is>
      </c>
      <c r="D9" s="5" t="n"/>
      <c r="E9" s="5" t="inlineStr"/>
      <c r="F9" s="5" t="n"/>
      <c r="G9" s="5" t="inlineStr"/>
    </row>
    <row r="10">
      <c r="A10" s="5" t="inlineStr">
        <is>
          <t>Inutilizada</t>
        </is>
      </c>
      <c r="B10" s="5" t="n">
        <v>8956</v>
      </c>
      <c r="C10" s="5" t="inlineStr">
        <is>
          <t>1</t>
        </is>
      </c>
      <c r="D10" s="5" t="n"/>
      <c r="E10" s="5" t="inlineStr"/>
      <c r="F10" s="5" t="n"/>
      <c r="G10" s="5" t="inlineStr"/>
    </row>
    <row r="11">
      <c r="A11" s="5" t="inlineStr">
        <is>
          <t>Inutilizada</t>
        </is>
      </c>
      <c r="B11" s="5" t="n">
        <v>8965</v>
      </c>
      <c r="C11" s="5" t="inlineStr">
        <is>
          <t>1</t>
        </is>
      </c>
      <c r="D11" s="5" t="n"/>
      <c r="E11" s="5" t="inlineStr"/>
      <c r="F11" s="5" t="n"/>
      <c r="G11" s="5" t="inlineStr"/>
    </row>
    <row r="12">
      <c r="A12" s="5" t="inlineStr">
        <is>
          <t>Inutilizada</t>
        </is>
      </c>
      <c r="B12" s="5" t="n">
        <v>8972</v>
      </c>
      <c r="C12" s="5" t="inlineStr">
        <is>
          <t>1</t>
        </is>
      </c>
      <c r="D12" s="5" t="n"/>
      <c r="E12" s="5" t="inlineStr"/>
      <c r="F12" s="5" t="n"/>
      <c r="G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2026-10-11T18:55:12Z</dcterms:created>
  <dcterms:modified xmlns:dcterms="http://purl.org/dc/terms/" xmlns:xsi="http://www.w3.org/2001/XMLSchema-instance" xsi:type="dcterms:W3CDTF">2026-10-11T18:55:12Z</dcterms:modified>
</cp:coreProperties>
</file>