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aídas por acumulador" sheetId="3" state="visible" r:id="rId3"/>
    <sheet xmlns:r="http://schemas.openxmlformats.org/officeDocument/2006/relationships" name="Notas de saída" sheetId="4" state="visible" r:id="rId4"/>
    <sheet xmlns:r="http://schemas.openxmlformats.org/officeDocument/2006/relationships" name="Itens de saída" sheetId="5" state="visible" r:id="rId5"/>
    <sheet xmlns:r="http://schemas.openxmlformats.org/officeDocument/2006/relationships" name="Entradas e créditos" sheetId="6" state="visible" r:id="rId6"/>
    <sheet xmlns:r="http://schemas.openxmlformats.org/officeDocument/2006/relationships" name="CT-e" sheetId="7" state="visible" r:id="rId7"/>
    <sheet xmlns:r="http://schemas.openxmlformats.org/officeDocument/2006/relationships" name="Divergências" sheetId="8" state="visible" r:id="rId8"/>
    <sheet xmlns:r="http://schemas.openxmlformats.org/officeDocument/2006/relationships" name="Observações" sheetId="9" state="visible" r:id="rId9"/>
    <sheet xmlns:r="http://schemas.openxmlformats.org/officeDocument/2006/relationships" name="Canceladas e inutilizadas" sheetId="10" state="visible" r:id="rId10"/>
  </sheets>
  <definedNames>
    <definedName name="_xlnm._FilterDatabase" localSheetId="3" hidden="1">'Notas de saída'!$A$3:$M$94</definedName>
    <definedName name="_xlnm._FilterDatabase" localSheetId="4" hidden="1">'Itens de saída'!$A$3:$Q$310</definedName>
    <definedName name="_xlnm._FilterDatabase" localSheetId="5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1" fontId="5" fillId="0" borderId="1" pivotButton="0" quotePrefix="0" xfId="0"/>
    <xf numFmtId="0" fontId="5" fillId="3" borderId="1" pivotButton="0" quotePrefix="0" xfId="0"/>
    <xf numFmtId="1" fontId="5" fillId="3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vertical="top" wrapText="1"/>
    </xf>
    <xf numFmtId="0" fontId="5" fillId="5" borderId="1" pivotButton="0" quotePrefix="0" xfId="0"/>
    <xf numFmtId="0" fontId="5" fillId="3" borderId="1" applyAlignment="1" pivotButton="0" quotePrefix="0" xfId="0">
      <alignment vertical="top" wrapText="1"/>
    </xf>
    <xf numFmtId="0" fontId="5" fillId="6" borderId="1" pivotButton="0" quotePrefix="0" xfId="0"/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2097.5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9996.190000000001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0</v>
      </c>
    </row>
    <row r="45">
      <c r="A45" s="5" t="inlineStr">
        <is>
          <t>(-) Créditos NF-e de entrada</t>
        </is>
      </c>
      <c r="B45" s="6" t="n">
        <v>-6172.62</v>
      </c>
    </row>
    <row r="46">
      <c r="A46" s="5" t="inlineStr">
        <is>
          <t>(-) Créditos CT-e</t>
        </is>
      </c>
      <c r="B46" s="6" t="n">
        <v>-149.14</v>
      </c>
    </row>
    <row r="47">
      <c r="A47" s="5" t="inlineStr">
        <is>
          <t>(-) Ajustes a crédito</t>
        </is>
      </c>
      <c r="B47" s="6" t="n">
        <v>-0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1">
      <c r="A51" s="3" t="inlineStr">
        <is>
          <t>ICMS-ST (substituto) por UF de destino</t>
        </is>
      </c>
    </row>
    <row r="52">
      <c r="A52" s="5" t="inlineStr">
        <is>
          <t>ICMS-ST retido - PR</t>
        </is>
      </c>
      <c r="B52" s="6" t="n">
        <v>865.16</v>
      </c>
    </row>
    <row r="53">
      <c r="A53" s="5" t="inlineStr">
        <is>
          <t>(-) ST de devoluções</t>
        </is>
      </c>
      <c r="B53" s="6" t="n">
        <v>-0</v>
      </c>
    </row>
    <row r="54">
      <c r="A54" s="8" t="inlineStr">
        <is>
          <t>ICMS-ST a recolher PR</t>
        </is>
      </c>
      <c r="B54" s="9" t="n">
        <v>865.16</v>
      </c>
    </row>
    <row r="56">
      <c r="A56" s="3" t="inlineStr">
        <is>
          <t>IPI</t>
        </is>
      </c>
    </row>
    <row r="57">
      <c r="A57" s="5" t="inlineStr">
        <is>
          <t>Débitos (saídas)</t>
        </is>
      </c>
      <c r="B57" s="6" t="n">
        <v>4403.24</v>
      </c>
    </row>
    <row r="58">
      <c r="A58" s="5" t="inlineStr">
        <is>
          <t>(-) Créditos (entradas)</t>
        </is>
      </c>
      <c r="B58" s="6" t="n">
        <v>-2305.74</v>
      </c>
    </row>
    <row r="59">
      <c r="A59" s="8" t="inlineStr">
        <is>
          <t>IPI a recolher (negativo = saldo credor)</t>
        </is>
      </c>
      <c r="B59" s="9">
        <f>B57+B58</f>
        <v/>
      </c>
    </row>
    <row r="61">
      <c r="A61" s="3" t="inlineStr">
        <is>
          <t>Conferência dos documentos</t>
        </is>
      </c>
    </row>
    <row r="62">
      <c r="A62" s="5" t="inlineStr">
        <is>
          <t>Notas de saída autorizadas</t>
        </is>
      </c>
      <c r="B62" s="11" t="n">
        <v>91</v>
      </c>
    </row>
    <row r="63">
      <c r="A63" s="5" t="inlineStr">
        <is>
          <t>Notas canceladas (saída e entrada)</t>
        </is>
      </c>
      <c r="B63" s="11" t="n">
        <v>3</v>
      </c>
    </row>
    <row r="64">
      <c r="A64" s="5" t="inlineStr">
        <is>
          <t>Números inutilizados</t>
        </is>
      </c>
      <c r="B64" s="11" t="n">
        <v>6</v>
      </c>
    </row>
    <row r="65">
      <c r="A65" s="5" t="inlineStr">
        <is>
          <t>Notas de entrada</t>
        </is>
      </c>
      <c r="B65" s="11" t="n">
        <v>48</v>
      </c>
    </row>
    <row r="66">
      <c r="A66" s="5" t="inlineStr">
        <is>
          <t>CT-e tomados</t>
        </is>
      </c>
      <c r="B66" s="11" t="n">
        <v>5</v>
      </c>
    </row>
    <row r="67">
      <c r="A67" s="12" t="inlineStr">
        <is>
          <t>Divergências ALTA</t>
        </is>
      </c>
      <c r="B67" s="13" t="n">
        <v>7</v>
      </c>
    </row>
    <row r="68">
      <c r="A68" s="5" t="inlineStr">
        <is>
          <t>Divergências (total)</t>
        </is>
      </c>
      <c r="B68" s="11" t="n">
        <v>73</v>
      </c>
    </row>
    <row r="69">
      <c r="A69" s="5" t="inlineStr">
        <is>
          <t>Observações para a contadora</t>
        </is>
      </c>
      <c r="B69" s="11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40" customWidth="1" min="3" max="3"/>
    <col width="15" customWidth="1" min="4" max="4"/>
    <col width="45" customWidth="1" min="5" max="5"/>
    <col width="14" customWidth="1" min="6" max="6"/>
    <col width="30" customWidth="1" min="7" max="7"/>
  </cols>
  <sheetData>
    <row r="1">
      <c r="A1" s="1" t="inlineStr">
        <is>
          <t>Checklist da conferência automática do mês</t>
        </is>
      </c>
    </row>
    <row r="2">
      <c r="A2" s="2" t="inlineStr">
        <is>
          <t>OK = cruzamento feito sem ocorrência; VERIFICAR = ver a aba Divergências; NÃO EXECUTADO = faltou o arquivo.</t>
        </is>
      </c>
    </row>
    <row r="4">
      <c r="A4" s="4" t="inlineStr">
        <is>
          <t>Área</t>
        </is>
      </c>
      <c r="B4" s="4" t="inlineStr">
        <is>
          <t>Verificação</t>
        </is>
      </c>
      <c r="C4" s="4" t="inlineStr">
        <is>
          <t>Resultado</t>
        </is>
      </c>
      <c r="D4" s="4" t="inlineStr">
        <is>
          <t>Status</t>
        </is>
      </c>
      <c r="E4" s="4" t="inlineStr">
        <is>
          <t>Base legal</t>
        </is>
      </c>
      <c r="F4" s="4" t="inlineStr">
        <is>
          <t>Conferido por</t>
        </is>
      </c>
      <c r="G4" s="4" t="inlineStr">
        <is>
          <t>Observação</t>
        </is>
      </c>
    </row>
    <row r="5">
      <c r="A5" s="14" t="inlineStr">
        <is>
          <t>Saídas</t>
        </is>
      </c>
      <c r="B5" s="15" t="inlineStr">
        <is>
          <t>Numeração sequencial (buraco sem cancelamento/inutilização)</t>
        </is>
      </c>
      <c r="C5" s="15" t="inlineStr">
        <is>
          <t>Nenhuma ocorrência</t>
        </is>
      </c>
      <c r="D5" s="14" t="inlineStr">
        <is>
          <t>OK</t>
        </is>
      </c>
      <c r="E5" s="15" t="inlineStr">
        <is>
          <t>Ajuste SINIEF 07/05</t>
        </is>
      </c>
      <c r="F5" s="16" t="inlineStr"/>
      <c r="G5" s="16" t="inlineStr"/>
    </row>
    <row r="6">
      <c r="A6" s="14" t="inlineStr">
        <is>
          <t>Saídas</t>
        </is>
      </c>
      <c r="B6" s="15" t="inlineStr">
        <is>
          <t>ICMS e IPI recalculados (BC x alíquota) e CST x valor</t>
        </is>
      </c>
      <c r="C6" s="15" t="inlineStr">
        <is>
          <t>Nenhuma ocorrência</t>
        </is>
      </c>
      <c r="D6" s="14" t="inlineStr">
        <is>
          <t>OK</t>
        </is>
      </c>
      <c r="E6" s="15" t="inlineStr">
        <is>
          <t>LC 87/96 art. 13; RIPI art. 190</t>
        </is>
      </c>
      <c r="F6" s="16" t="inlineStr"/>
      <c r="G6" s="16" t="inlineStr"/>
    </row>
    <row r="7">
      <c r="A7" s="12" t="inlineStr">
        <is>
          <t>Saídas</t>
        </is>
      </c>
      <c r="B7" s="17" t="inlineStr">
        <is>
          <t>CFOP x UF do destinatário e alíquota interestadual</t>
        </is>
      </c>
      <c r="C7" s="17" t="inlineStr">
        <is>
          <t>1 ALTA (aba Divergências)</t>
        </is>
      </c>
      <c r="D7" s="12" t="inlineStr">
        <is>
          <t>VERIFICAR</t>
        </is>
      </c>
      <c r="E7" s="17" t="inlineStr">
        <is>
          <t>Res. Senado 22/89 e 13/12</t>
        </is>
      </c>
      <c r="F7" s="16" t="inlineStr"/>
      <c r="G7" s="16" t="inlineStr"/>
    </row>
    <row r="8">
      <c r="A8" s="14" t="inlineStr">
        <is>
          <t>Saídas</t>
        </is>
      </c>
      <c r="B8" s="15" t="inlineStr">
        <is>
          <t>CFOP com/sem ST x ST destacada</t>
        </is>
      </c>
      <c r="C8" s="15" t="inlineStr">
        <is>
          <t>Nenhuma ocorrência</t>
        </is>
      </c>
      <c r="D8" s="14" t="inlineStr">
        <is>
          <t>OK</t>
        </is>
      </c>
      <c r="E8" s="15" t="inlineStr">
        <is>
          <t>RICMS/PR Anexo IX</t>
        </is>
      </c>
      <c r="F8" s="16" t="inlineStr"/>
      <c r="G8" s="16" t="inlineStr"/>
    </row>
    <row r="9">
      <c r="A9" s="12" t="inlineStr">
        <is>
          <t>Saídas</t>
        </is>
      </c>
      <c r="B9" s="17" t="inlineStr">
        <is>
          <t>Contribuinte com IE tratado como consumidor final</t>
        </is>
      </c>
      <c r="C9" s="17" t="inlineStr">
        <is>
          <t>1 ALTA (aba Divergências)</t>
        </is>
      </c>
      <c r="D9" s="12" t="inlineStr">
        <is>
          <t>VERIFICAR</t>
        </is>
      </c>
      <c r="E9" s="17" t="inlineStr">
        <is>
          <t>LC 87/96 art. 6º e RICMS/PR Anexo IX (ST nas saídas para revenda); Ajuste SINIEF 07/05 (indIEDest/indFinal); LC 87/96 art. 13 §2º (IPI fora da base só entre contribuintes)</t>
        </is>
      </c>
      <c r="F9" s="16" t="inlineStr"/>
      <c r="G9" s="16" t="inlineStr"/>
    </row>
    <row r="10">
      <c r="A10" s="18" t="inlineStr">
        <is>
          <t>Saídas</t>
        </is>
      </c>
      <c r="B10" s="19" t="inlineStr">
        <is>
          <t>CFOP de revenda (5102) em produto de fabricação própria</t>
        </is>
      </c>
      <c r="C10" s="19" t="inlineStr">
        <is>
          <t>13 MÉDIA (aba Divergências)</t>
        </is>
      </c>
      <c r="D10" s="18" t="inlineStr">
        <is>
          <t>VERIFICAR</t>
        </is>
      </c>
      <c r="E10" s="19" t="inlineStr">
        <is>
          <t>Tabela CFOP (Ajuste SINIEF 07/01): 5101 produção do estabelecimento, 5102 mercadoria de terceiros; RIPI art. 35</t>
        </is>
      </c>
      <c r="F10" s="16" t="inlineStr"/>
      <c r="G10" s="16" t="inlineStr"/>
    </row>
    <row r="11">
      <c r="A11" s="12" t="inlineStr">
        <is>
          <t>Saídas</t>
        </is>
      </c>
      <c r="B11" s="17" t="inlineStr">
        <is>
          <t>Industrialização 5124/6124 x retorno 5902/6902 x remessa do cliente</t>
        </is>
      </c>
      <c r="C11" s="17" t="inlineStr">
        <is>
          <t>5 ALTA, 2 MÉDIA, 1 BAIXA (aba Divergências)</t>
        </is>
      </c>
      <c r="D11" s="12" t="inlineStr">
        <is>
          <t>VERIFICAR</t>
        </is>
      </c>
      <c r="E11" s="17" t="inlineStr">
        <is>
          <t>RICMS/PR (industrialização por encomenda: 5124 pela industrialização + 5902 retorno simbólico do insumo); Lei 10.147/2000 (5124 fora do monofásico: 0,65%/3%)</t>
        </is>
      </c>
      <c r="F11" s="16" t="inlineStr"/>
      <c r="G11" s="16" t="inlineStr"/>
    </row>
    <row r="12">
      <c r="A12" s="18" t="inlineStr">
        <is>
          <t>Saídas</t>
        </is>
      </c>
      <c r="B12" s="19" t="inlineStr">
        <is>
          <t>Diferimento nas 5124 internas</t>
        </is>
      </c>
      <c r="C12" s="19" t="inlineStr">
        <is>
          <t>1 MÉDIA (aba Divergências)</t>
        </is>
      </c>
      <c r="D12" s="18" t="inlineStr">
        <is>
          <t>VERIFICAR</t>
        </is>
      </c>
      <c r="E12" s="19" t="inlineStr">
        <is>
          <t>RICMS/PR (diferimento)</t>
        </is>
      </c>
      <c r="F12" s="16" t="inlineStr"/>
      <c r="G12" s="16" t="inlineStr"/>
    </row>
    <row r="13">
      <c r="A13" s="5" t="inlineStr">
        <is>
          <t>Saídas</t>
        </is>
      </c>
      <c r="B13" s="20" t="inlineStr">
        <is>
          <t>Grupo de IPI nos produtos</t>
        </is>
      </c>
      <c r="C13" s="20" t="inlineStr">
        <is>
          <t>3 BAIXA (aba Divergências)</t>
        </is>
      </c>
      <c r="D13" s="5" t="inlineStr">
        <is>
          <t>INFORMATIVO</t>
        </is>
      </c>
      <c r="E13" s="20" t="inlineStr">
        <is>
          <t>RIPI/2010 (Decreto 7.212) - grupo IPI obrigatório para produto industrializado (NT 2016.002)</t>
        </is>
      </c>
      <c r="F13" s="16" t="inlineStr"/>
      <c r="G13" s="16" t="inlineStr"/>
    </row>
    <row r="14">
      <c r="A14" s="14" t="inlineStr">
        <is>
          <t>Saídas</t>
        </is>
      </c>
      <c r="B14" s="15" t="inlineStr">
        <is>
          <t>NCM x PIS/COFINS monofásico</t>
        </is>
      </c>
      <c r="C14" s="15" t="inlineStr">
        <is>
          <t>Nenhuma ocorrência</t>
        </is>
      </c>
      <c r="D14" s="14" t="inlineStr">
        <is>
          <t>OK</t>
        </is>
      </c>
      <c r="E14" s="15" t="inlineStr">
        <is>
          <t>Lei 10.147/2000</t>
        </is>
      </c>
      <c r="F14" s="16" t="inlineStr"/>
      <c r="G14" s="16" t="inlineStr"/>
    </row>
    <row r="15">
      <c r="A15" s="18" t="inlineStr">
        <is>
          <t>Entradas</t>
        </is>
      </c>
      <c r="B15" s="19" t="inlineStr">
        <is>
          <t>Fornecedor sem histórico (insumo x uso e consumo)</t>
        </is>
      </c>
      <c r="C15" s="19" t="inlineStr">
        <is>
          <t>11 MÉDIA (aba Divergências)</t>
        </is>
      </c>
      <c r="D15" s="18" t="inlineStr">
        <is>
          <t>VERIFICAR</t>
        </is>
      </c>
      <c r="E15" s="19" t="inlineStr">
        <is>
          <t>LC 87/96 art. 20 e 33, I</t>
        </is>
      </c>
      <c r="F15" s="16" t="inlineStr"/>
      <c r="G15" s="16" t="inlineStr"/>
    </row>
    <row r="16">
      <c r="A16" s="14" t="inlineStr">
        <is>
          <t>Entradas</t>
        </is>
      </c>
      <c r="B16" s="15" t="inlineStr">
        <is>
          <t>Notas desconhecidas/manifestadas</t>
        </is>
      </c>
      <c r="C16" s="15" t="inlineStr">
        <is>
          <t>Nenhuma ocorrência</t>
        </is>
      </c>
      <c r="D16" s="14" t="inlineStr">
        <is>
          <t>OK</t>
        </is>
      </c>
      <c r="E16" s="15" t="inlineStr">
        <is>
          <t>Ajuste SINIEF 07/05</t>
        </is>
      </c>
      <c r="F16" s="16" t="inlineStr"/>
      <c r="G16" s="16" t="inlineStr"/>
    </row>
    <row r="17">
      <c r="A17" s="5" t="inlineStr">
        <is>
          <t>Entradas</t>
        </is>
      </c>
      <c r="B17" s="20" t="inlineStr">
        <is>
          <t>Remessas recebidas sem retorno (estoque de terceiros)</t>
        </is>
      </c>
      <c r="C17" s="20" t="inlineStr">
        <is>
          <t>12 BAIXA (aba Divergências)</t>
        </is>
      </c>
      <c r="D17" s="5" t="inlineStr">
        <is>
          <t>INFORMATIVO</t>
        </is>
      </c>
      <c r="E17" s="20" t="inlineStr">
        <is>
          <t>RICMS/PR (industrialização por encomenda)</t>
        </is>
      </c>
      <c r="F17" s="16" t="inlineStr"/>
      <c r="G17" s="16" t="inlineStr"/>
    </row>
    <row r="18">
      <c r="A18" s="18" t="inlineStr">
        <is>
          <t>CT-e</t>
        </is>
      </c>
      <c r="B18" s="19" t="inlineStr">
        <is>
          <t>Crédito do frete segue a natureza da NF-e transportada</t>
        </is>
      </c>
      <c r="C18" s="19" t="inlineStr">
        <is>
          <t>1 MÉDIA (aba Divergências)</t>
        </is>
      </c>
      <c r="D18" s="18" t="inlineStr">
        <is>
          <t>VERIFICAR</t>
        </is>
      </c>
      <c r="E18" s="19" t="inlineStr">
        <is>
          <t>LC 87/96 art. 20 e 33, I</t>
        </is>
      </c>
      <c r="F18" s="16" t="inlineStr"/>
      <c r="G18" s="16" t="inlineStr"/>
    </row>
    <row r="19">
      <c r="A19" s="18" t="inlineStr">
        <is>
          <t>Serviços</t>
        </is>
      </c>
      <c r="B19" s="19" t="inlineStr">
        <is>
          <t>NFS-e tomadas: retenção de IRRF e PIS/COFINS/CSLL</t>
        </is>
      </c>
      <c r="C19" s="19" t="inlineStr">
        <is>
          <t>1 MÉDIA, 1 BAIXA (aba Divergências)</t>
        </is>
      </c>
      <c r="D19" s="18" t="inlineStr">
        <is>
          <t>VERIFICAR</t>
        </is>
      </c>
      <c r="E19" s="19" t="inlineStr">
        <is>
          <t>Lei 10.833/2003 art. 30 e 31 §3º (dispensa até R$ 10); RIR/2018 art. 714 e 716; IN SRF 459/2004</t>
        </is>
      </c>
      <c r="F19" s="16" t="inlineStr"/>
      <c r="G19" s="16" t="inlineStr"/>
    </row>
    <row r="20">
      <c r="A20" s="16" t="inlineStr">
        <is>
          <t>SPED</t>
        </is>
      </c>
      <c r="B20" s="21" t="inlineStr">
        <is>
          <t>XML x SPED (notas faltando de um lado ou do outro)</t>
        </is>
      </c>
      <c r="C20" s="21" t="inlineStr">
        <is>
          <t>SPED do mês ainda não existe</t>
        </is>
      </c>
      <c r="D20" s="16" t="inlineStr">
        <is>
          <t>NÃO EXECUTADO</t>
        </is>
      </c>
      <c r="E20" s="21" t="inlineStr">
        <is>
          <t>Guia Prático EFD ICMS/IPI</t>
        </is>
      </c>
      <c r="F20" s="16" t="inlineStr"/>
      <c r="G20" s="1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inlineStr">
        <is>
          <t>49</t>
        </is>
      </c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inlineStr">
        <is>
          <t>49</t>
        </is>
      </c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inlineStr">
        <is>
          <t>49</t>
        </is>
      </c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inlineStr">
        <is>
          <t>49</t>
        </is>
      </c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inlineStr">
        <is>
          <t>49</t>
        </is>
      </c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inlineStr">
        <is>
          <t>49</t>
        </is>
      </c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inlineStr">
        <is>
          <t>49</t>
        </is>
      </c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inlineStr">
        <is>
          <t>49</t>
        </is>
      </c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inlineStr">
        <is>
          <t>49</t>
        </is>
      </c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inlineStr">
        <is>
          <t>49</t>
        </is>
      </c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inlineStr">
        <is>
          <t>49</t>
        </is>
      </c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inlineStr">
        <is>
          <t>49</t>
        </is>
      </c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inlineStr">
        <is>
          <t>49</t>
        </is>
      </c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inlineStr">
        <is>
          <t>49</t>
        </is>
      </c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inlineStr">
        <is>
          <t>49</t>
        </is>
      </c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inlineStr">
        <is>
          <t>49</t>
        </is>
      </c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inlineStr">
        <is>
          <t>49</t>
        </is>
      </c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inlineStr">
        <is>
          <t>49</t>
        </is>
      </c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inlineStr">
        <is>
          <t>49</t>
        </is>
      </c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inlineStr">
        <is>
          <t>49</t>
        </is>
      </c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inlineStr">
        <is>
          <t>49</t>
        </is>
      </c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inlineStr">
        <is>
          <t>49</t>
        </is>
      </c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inlineStr">
        <is>
          <t>49</t>
        </is>
      </c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inlineStr">
        <is>
          <t>49</t>
        </is>
      </c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inlineStr">
        <is>
          <t>49</t>
        </is>
      </c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inlineStr">
        <is>
          <t>49</t>
        </is>
      </c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inlineStr">
        <is>
          <t>49</t>
        </is>
      </c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inlineStr">
        <is>
          <t>49</t>
        </is>
      </c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inlineStr">
        <is>
          <t>49</t>
        </is>
      </c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inlineStr">
        <is>
          <t>49</t>
        </is>
      </c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inlineStr">
        <is>
          <t>49</t>
        </is>
      </c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inlineStr">
        <is>
          <t>49</t>
        </is>
      </c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inlineStr">
        <is>
          <t>49</t>
        </is>
      </c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inlineStr">
        <is>
          <t>49</t>
        </is>
      </c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inlineStr">
        <is>
          <t>49</t>
        </is>
      </c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inlineStr">
        <is>
          <t>49</t>
        </is>
      </c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inlineStr">
        <is>
          <t>49</t>
        </is>
      </c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inlineStr">
        <is>
          <t>49</t>
        </is>
      </c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inlineStr">
        <is>
          <t>49</t>
        </is>
      </c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inlineStr">
        <is>
          <t>49</t>
        </is>
      </c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inlineStr">
        <is>
          <t>49</t>
        </is>
      </c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inlineStr">
        <is>
          <t>49</t>
        </is>
      </c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inlineStr">
        <is>
          <t>49</t>
        </is>
      </c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inlineStr">
        <is>
          <t>49</t>
        </is>
      </c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inlineStr">
        <is>
          <t>49</t>
        </is>
      </c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inlineStr">
        <is>
          <t>49</t>
        </is>
      </c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inlineStr">
        <is>
          <t>49</t>
        </is>
      </c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inlineStr">
        <is>
          <t>49</t>
        </is>
      </c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inlineStr">
        <is>
          <t>49</t>
        </is>
      </c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inlineStr">
        <is>
          <t>49</t>
        </is>
      </c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natureza do item e de onde veio (SPED anterior, NCM ou CFOP). Laranja = sem histórico, conferir. Detalhe completo na planilha de créditos.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22" t="n">
        <v>46266</v>
      </c>
      <c r="B5" s="18" t="inlineStr">
        <is>
          <t>DISTRIBUIDORA INDUSTRIAL PARANAENSE LTDA</t>
        </is>
      </c>
      <c r="C5" s="18" t="inlineStr">
        <is>
          <t>04993269000177</t>
        </is>
      </c>
      <c r="D5" s="18" t="n">
        <v>41731</v>
      </c>
      <c r="E5" s="18" t="n">
        <v>1</v>
      </c>
      <c r="F5" s="18" t="inlineStr">
        <is>
          <t>ALCOOL ETILICO 99 - ONU 1170 ETANOL (ALCOOL ETILICO) 3 GE II BOMBONA DIPANOL 99</t>
        </is>
      </c>
      <c r="G5" s="18" t="inlineStr">
        <is>
          <t>22071010</t>
        </is>
      </c>
      <c r="H5" s="18" t="inlineStr">
        <is>
          <t>5101</t>
        </is>
      </c>
      <c r="I5" s="18" t="inlineStr">
        <is>
          <t>1101</t>
        </is>
      </c>
      <c r="J5" s="23" t="n">
        <v>1870</v>
      </c>
      <c r="K5" s="23" t="n">
        <v>224.41</v>
      </c>
      <c r="L5" s="23" t="n">
        <v>224.41</v>
      </c>
      <c r="M5" s="23" t="n">
        <v>0</v>
      </c>
      <c r="N5" s="23" t="n">
        <v>0</v>
      </c>
      <c r="O5" s="18" t="inlineStr">
        <is>
          <t>Matéria-prima (álcool etílico) [NCM 22071010]</t>
        </is>
      </c>
      <c r="P5" s="16" t="inlineStr"/>
      <c r="Q5" s="16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78.36</v>
      </c>
      <c r="M6" s="6" t="n">
        <v>0</v>
      </c>
      <c r="N6" s="6" t="n">
        <v>0</v>
      </c>
      <c r="O6" s="5" t="inlineStr">
        <is>
          <t>Embalagem (rótulo adesivo) [NCM 39191090]</t>
        </is>
      </c>
      <c r="P6" s="16" t="inlineStr"/>
      <c r="Q6" s="16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20.59</v>
      </c>
      <c r="M7" s="6" t="n">
        <v>0</v>
      </c>
      <c r="N7" s="6" t="n">
        <v>0</v>
      </c>
      <c r="O7" s="5" t="inlineStr">
        <is>
          <t>Embalagem (rótulo adesivo) [NCM 39191090]</t>
        </is>
      </c>
      <c r="P7" s="16" t="inlineStr"/>
      <c r="Q7" s="16" t="inlineStr"/>
    </row>
    <row r="8">
      <c r="A8" s="22" t="n">
        <v>46267</v>
      </c>
      <c r="B8" s="18" t="inlineStr">
        <is>
          <t>CARBON CIENTIFICA LTDA</t>
        </is>
      </c>
      <c r="C8" s="18" t="inlineStr">
        <is>
          <t>44114040000130</t>
        </is>
      </c>
      <c r="D8" s="18" t="n">
        <v>22837</v>
      </c>
      <c r="E8" s="18" t="n">
        <v>1</v>
      </c>
      <c r="F8" s="18" t="inlineStr">
        <is>
          <t>SULFITO DE SODIO ANIDRO PA 1000G - CARBON</t>
        </is>
      </c>
      <c r="G8" s="18" t="inlineStr">
        <is>
          <t>28321010</t>
        </is>
      </c>
      <c r="H8" s="18" t="inlineStr">
        <is>
          <t>5949</t>
        </is>
      </c>
      <c r="I8" s="18" t="inlineStr">
        <is>
          <t>1949</t>
        </is>
      </c>
      <c r="J8" s="23" t="n">
        <v>1</v>
      </c>
      <c r="K8" s="23" t="n">
        <v>0.2</v>
      </c>
      <c r="L8" s="23" t="n">
        <v>0</v>
      </c>
      <c r="M8" s="23" t="n">
        <v>0</v>
      </c>
      <c r="N8" s="23" t="n">
        <v>0</v>
      </c>
      <c r="O8" s="18" t="inlineStr">
        <is>
          <t>Matéria-prima (químico inorgânico) - mas CFOP 5949 (outras saídas: amostra/brinde/remessa) [CFOP 5949]</t>
        </is>
      </c>
      <c r="P8" s="16" t="inlineStr"/>
      <c r="Q8" s="16" t="inlineStr"/>
    </row>
    <row r="9">
      <c r="A9" s="22" t="n">
        <v>46267</v>
      </c>
      <c r="B9" s="18" t="inlineStr">
        <is>
          <t>CARBON CIENTIFICA LTDA</t>
        </is>
      </c>
      <c r="C9" s="18" t="inlineStr">
        <is>
          <t>44114040000130</t>
        </is>
      </c>
      <c r="D9" s="18" t="n">
        <v>22837</v>
      </c>
      <c r="E9" s="18" t="n">
        <v>2</v>
      </c>
      <c r="F9" s="18" t="inlineStr">
        <is>
          <t>PIROFOSFATO DE SODIO (TETRABASICO) DECAHIDRATADO PA 1000G - CARBON</t>
        </is>
      </c>
      <c r="G9" s="18" t="inlineStr">
        <is>
          <t>28353920</t>
        </is>
      </c>
      <c r="H9" s="18" t="inlineStr">
        <is>
          <t>5949</t>
        </is>
      </c>
      <c r="I9" s="18" t="inlineStr">
        <is>
          <t>1949</t>
        </is>
      </c>
      <c r="J9" s="23" t="n">
        <v>1</v>
      </c>
      <c r="K9" s="23" t="n">
        <v>0.2</v>
      </c>
      <c r="L9" s="23" t="n">
        <v>0</v>
      </c>
      <c r="M9" s="23" t="n">
        <v>0</v>
      </c>
      <c r="N9" s="23" t="n">
        <v>0</v>
      </c>
      <c r="O9" s="18" t="inlineStr">
        <is>
          <t>Matéria-prima (químico inorgânico) - mas CFOP 5949 (outras saídas: amostra/brinde/remessa) [CFOP 5949]</t>
        </is>
      </c>
      <c r="P9" s="16" t="inlineStr"/>
      <c r="Q9" s="16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Remessa por conta e ordem de terceiros em venda à ordem (a venda vem em outra nota) [CFOP 5923]</t>
        </is>
      </c>
      <c r="P10" s="16" t="inlineStr"/>
      <c r="Q10" s="16" t="inlineStr"/>
    </row>
    <row r="11">
      <c r="A11" s="22" t="n">
        <v>46267</v>
      </c>
      <c r="B11" s="18" t="inlineStr">
        <is>
          <t>NewProv - Produtos para Laboratório Ltda</t>
        </is>
      </c>
      <c r="C11" s="18" t="inlineStr">
        <is>
          <t>73636391000109</t>
        </is>
      </c>
      <c r="D11" s="18" t="n">
        <v>160326</v>
      </c>
      <c r="E11" s="18" t="n">
        <v>1</v>
      </c>
      <c r="F11" s="18" t="inlineStr">
        <is>
          <t>Agar Triptico de soja (TSA) pcte c/ 10 placas 90x15mm</t>
        </is>
      </c>
      <c r="G11" s="18" t="inlineStr">
        <is>
          <t>38221990</t>
        </is>
      </c>
      <c r="H11" s="18" t="inlineStr">
        <is>
          <t>5101</t>
        </is>
      </c>
      <c r="I11" s="18" t="inlineStr">
        <is>
          <t>1556</t>
        </is>
      </c>
      <c r="J11" s="23" t="n">
        <v>250.39</v>
      </c>
      <c r="K11" s="23" t="n">
        <v>48.83</v>
      </c>
      <c r="L11" s="23" t="n">
        <v>0</v>
      </c>
      <c r="M11" s="23" t="n">
        <v>0</v>
      </c>
      <c r="N11" s="23" t="n">
        <v>0</v>
      </c>
      <c r="O11" s="18" t="inlineStr">
        <is>
          <t>Uso e consumo (reagente de laboratório) [NCM 38221990]</t>
        </is>
      </c>
      <c r="P11" s="16" t="inlineStr"/>
      <c r="Q11" s="16" t="inlineStr"/>
    </row>
    <row r="12">
      <c r="A12" s="22" t="n">
        <v>46267</v>
      </c>
      <c r="B12" s="18" t="inlineStr">
        <is>
          <t>NewProv - Produtos para Laboratório Ltda</t>
        </is>
      </c>
      <c r="C12" s="18" t="inlineStr">
        <is>
          <t>73636391000109</t>
        </is>
      </c>
      <c r="D12" s="18" t="n">
        <v>160326</v>
      </c>
      <c r="E12" s="18" t="n">
        <v>2</v>
      </c>
      <c r="F12" s="18" t="inlineStr">
        <is>
          <t>Agar Sabouraud Dextrose pcte c/ 10 placas 90x15mm</t>
        </is>
      </c>
      <c r="G12" s="18" t="inlineStr">
        <is>
          <t>38221990</t>
        </is>
      </c>
      <c r="H12" s="18" t="inlineStr">
        <is>
          <t>5101</t>
        </is>
      </c>
      <c r="I12" s="18" t="inlineStr">
        <is>
          <t>1556</t>
        </is>
      </c>
      <c r="J12" s="23" t="n">
        <v>222.56</v>
      </c>
      <c r="K12" s="23" t="n">
        <v>43.4</v>
      </c>
      <c r="L12" s="23" t="n">
        <v>0</v>
      </c>
      <c r="M12" s="23" t="n">
        <v>0</v>
      </c>
      <c r="N12" s="23" t="n">
        <v>0</v>
      </c>
      <c r="O12" s="18" t="inlineStr">
        <is>
          <t>Uso e consumo (reagente de laboratório) [NCM 38221990]</t>
        </is>
      </c>
      <c r="P12" s="16" t="inlineStr"/>
      <c r="Q12" s="16" t="inlineStr"/>
    </row>
    <row r="13">
      <c r="A13" s="22" t="n">
        <v>46267</v>
      </c>
      <c r="B13" s="18" t="inlineStr">
        <is>
          <t>NewProv - Produtos para Laboratório Ltda</t>
        </is>
      </c>
      <c r="C13" s="18" t="inlineStr">
        <is>
          <t>73636391000109</t>
        </is>
      </c>
      <c r="D13" s="18" t="n">
        <v>160326</v>
      </c>
      <c r="E13" s="18" t="n">
        <v>3</v>
      </c>
      <c r="F13" s="18" t="inlineStr">
        <is>
          <t>Agar PCA pcte c/ 10 placas 90x15mm</t>
        </is>
      </c>
      <c r="G13" s="18" t="inlineStr">
        <is>
          <t>38221990</t>
        </is>
      </c>
      <c r="H13" s="18" t="inlineStr">
        <is>
          <t>5101</t>
        </is>
      </c>
      <c r="I13" s="18" t="inlineStr">
        <is>
          <t>1556</t>
        </is>
      </c>
      <c r="J13" s="23" t="n">
        <v>35.06</v>
      </c>
      <c r="K13" s="23" t="n">
        <v>6.84</v>
      </c>
      <c r="L13" s="23" t="n">
        <v>0</v>
      </c>
      <c r="M13" s="23" t="n">
        <v>0</v>
      </c>
      <c r="N13" s="23" t="n">
        <v>0</v>
      </c>
      <c r="O13" s="18" t="inlineStr">
        <is>
          <t>Uso e consumo (reagente de laboratório) [NCM 38221990]</t>
        </is>
      </c>
      <c r="P13" s="16" t="inlineStr"/>
      <c r="Q13" s="16" t="inlineStr"/>
    </row>
    <row r="14">
      <c r="A14" s="22" t="n">
        <v>46267</v>
      </c>
      <c r="B14" s="18" t="inlineStr">
        <is>
          <t>NewProv - Produtos para Laboratório Ltda</t>
        </is>
      </c>
      <c r="C14" s="18" t="inlineStr">
        <is>
          <t>73636391000109</t>
        </is>
      </c>
      <c r="D14" s="18" t="n">
        <v>160326</v>
      </c>
      <c r="E14" s="18" t="n">
        <v>4</v>
      </c>
      <c r="F14" s="18" t="inlineStr">
        <is>
          <t>Agar Mac Conkey pcte c/ 10 placas 90x15mm</t>
        </is>
      </c>
      <c r="G14" s="18" t="inlineStr">
        <is>
          <t>38221990</t>
        </is>
      </c>
      <c r="H14" s="18" t="inlineStr">
        <is>
          <t>5101</t>
        </is>
      </c>
      <c r="I14" s="18" t="inlineStr">
        <is>
          <t>1556</t>
        </is>
      </c>
      <c r="J14" s="23" t="n">
        <v>35.15</v>
      </c>
      <c r="K14" s="23" t="n">
        <v>6.85</v>
      </c>
      <c r="L14" s="23" t="n">
        <v>0</v>
      </c>
      <c r="M14" s="23" t="n">
        <v>0</v>
      </c>
      <c r="N14" s="23" t="n">
        <v>0</v>
      </c>
      <c r="O14" s="18" t="inlineStr">
        <is>
          <t>Uso e consumo (reagente de laboratório) [NCM 38221990]</t>
        </is>
      </c>
      <c r="P14" s="16" t="inlineStr"/>
      <c r="Q14" s="16" t="inlineStr"/>
    </row>
    <row r="15">
      <c r="A15" s="22" t="n">
        <v>46267</v>
      </c>
      <c r="B15" s="18" t="inlineStr">
        <is>
          <t>NewProv - Produtos para Laboratório Ltda</t>
        </is>
      </c>
      <c r="C15" s="18" t="inlineStr">
        <is>
          <t>73636391000109</t>
        </is>
      </c>
      <c r="D15" s="18" t="n">
        <v>160326</v>
      </c>
      <c r="E15" s="18" t="n">
        <v>5</v>
      </c>
      <c r="F15" s="18" t="inlineStr">
        <is>
          <t>Agar Cetrimide pcte c/ 10 placas 90x15mm</t>
        </is>
      </c>
      <c r="G15" s="18" t="inlineStr">
        <is>
          <t>38221990</t>
        </is>
      </c>
      <c r="H15" s="18" t="inlineStr">
        <is>
          <t>5101</t>
        </is>
      </c>
      <c r="I15" s="18" t="inlineStr">
        <is>
          <t>1556</t>
        </is>
      </c>
      <c r="J15" s="23" t="n">
        <v>226.01</v>
      </c>
      <c r="K15" s="23" t="n">
        <v>44.07</v>
      </c>
      <c r="L15" s="23" t="n">
        <v>0</v>
      </c>
      <c r="M15" s="23" t="n">
        <v>0</v>
      </c>
      <c r="N15" s="23" t="n">
        <v>0</v>
      </c>
      <c r="O15" s="18" t="inlineStr">
        <is>
          <t>Uso e consumo (reagente de laboratório) [NCM 38221990]</t>
        </is>
      </c>
      <c r="P15" s="16" t="inlineStr"/>
      <c r="Q15" s="16" t="inlineStr"/>
    </row>
    <row r="16">
      <c r="A16" s="22" t="n">
        <v>46267</v>
      </c>
      <c r="B16" s="18" t="inlineStr">
        <is>
          <t>NewProv - Produtos para Laboratório Ltda</t>
        </is>
      </c>
      <c r="C16" s="18" t="inlineStr">
        <is>
          <t>73636391000109</t>
        </is>
      </c>
      <c r="D16" s="18" t="n">
        <v>160326</v>
      </c>
      <c r="E16" s="18" t="n">
        <v>6</v>
      </c>
      <c r="F16" s="18" t="inlineStr">
        <is>
          <t>Agar Baird Parker pcte c/ 10 placas 90x15mm</t>
        </is>
      </c>
      <c r="G16" s="18" t="inlineStr">
        <is>
          <t>38221990</t>
        </is>
      </c>
      <c r="H16" s="18" t="inlineStr">
        <is>
          <t>5101</t>
        </is>
      </c>
      <c r="I16" s="18" t="inlineStr">
        <is>
          <t>1556</t>
        </is>
      </c>
      <c r="J16" s="23" t="n">
        <v>317.89</v>
      </c>
      <c r="K16" s="23" t="n">
        <v>61.99</v>
      </c>
      <c r="L16" s="23" t="n">
        <v>0</v>
      </c>
      <c r="M16" s="23" t="n">
        <v>0</v>
      </c>
      <c r="N16" s="23" t="n">
        <v>0</v>
      </c>
      <c r="O16" s="18" t="inlineStr">
        <is>
          <t>Uso e consumo (reagente de laboratório) [NCM 38221990]</t>
        </is>
      </c>
      <c r="P16" s="16" t="inlineStr"/>
      <c r="Q16" s="16" t="inlineStr"/>
    </row>
    <row r="17">
      <c r="A17" s="22" t="n">
        <v>46267</v>
      </c>
      <c r="B17" s="18" t="inlineStr">
        <is>
          <t>NewProv - Produtos para Laboratório Ltda</t>
        </is>
      </c>
      <c r="C17" s="18" t="inlineStr">
        <is>
          <t>73636391000109</t>
        </is>
      </c>
      <c r="D17" s="18" t="n">
        <v>160326</v>
      </c>
      <c r="E17" s="18" t="n">
        <v>7</v>
      </c>
      <c r="F17" s="18" t="inlineStr">
        <is>
          <t>Acquaplus I sachê c/ 10 testes</t>
        </is>
      </c>
      <c r="G17" s="18" t="inlineStr">
        <is>
          <t>38221990</t>
        </is>
      </c>
      <c r="H17" s="18" t="inlineStr">
        <is>
          <t>5101</t>
        </is>
      </c>
      <c r="I17" s="18" t="inlineStr">
        <is>
          <t>1556</t>
        </is>
      </c>
      <c r="J17" s="23" t="n">
        <v>915.08</v>
      </c>
      <c r="K17" s="23" t="n">
        <v>178.44</v>
      </c>
      <c r="L17" s="23" t="n">
        <v>0</v>
      </c>
      <c r="M17" s="23" t="n">
        <v>0</v>
      </c>
      <c r="N17" s="23" t="n">
        <v>0</v>
      </c>
      <c r="O17" s="18" t="inlineStr">
        <is>
          <t>Uso e consumo (reagente de laboratório) [NCM 38221990]</t>
        </is>
      </c>
      <c r="P17" s="16" t="inlineStr"/>
      <c r="Q17" s="16" t="inlineStr"/>
    </row>
    <row r="18">
      <c r="A18" s="22" t="n">
        <v>46267</v>
      </c>
      <c r="B18" s="18" t="inlineStr">
        <is>
          <t>NewProv - Produtos para Laboratório Ltda</t>
        </is>
      </c>
      <c r="C18" s="18" t="inlineStr">
        <is>
          <t>73636391000109</t>
        </is>
      </c>
      <c r="D18" s="18" t="n">
        <v>160326</v>
      </c>
      <c r="E18" s="18" t="n">
        <v>8</v>
      </c>
      <c r="F18" s="18" t="inlineStr">
        <is>
          <t>Caldo BHI cx c/ 10 tubos</t>
        </is>
      </c>
      <c r="G18" s="18" t="inlineStr">
        <is>
          <t>38221990</t>
        </is>
      </c>
      <c r="H18" s="18" t="inlineStr">
        <is>
          <t>5101</t>
        </is>
      </c>
      <c r="I18" s="18" t="inlineStr">
        <is>
          <t>1556</t>
        </is>
      </c>
      <c r="J18" s="23" t="n">
        <v>246.51</v>
      </c>
      <c r="K18" s="23" t="n">
        <v>48.07</v>
      </c>
      <c r="L18" s="23" t="n">
        <v>0</v>
      </c>
      <c r="M18" s="23" t="n">
        <v>0</v>
      </c>
      <c r="N18" s="23" t="n">
        <v>0</v>
      </c>
      <c r="O18" s="18" t="inlineStr">
        <is>
          <t>Uso e consumo (reagente de laboratório) [NCM 38221990]</t>
        </is>
      </c>
      <c r="P18" s="16" t="inlineStr"/>
      <c r="Q18" s="16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1101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Matéria-prima (químico orgânico) [NCM 29221100]</t>
        </is>
      </c>
      <c r="P19" s="16" t="inlineStr"/>
      <c r="Q19" s="16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1556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Uso e consumo (peça de manutenção) [NCM 85334099]</t>
        </is>
      </c>
      <c r="P20" s="16" t="inlineStr"/>
      <c r="Q20" s="16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1556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Uso e consumo (peça de manutenção) [NCM 85334099]</t>
        </is>
      </c>
      <c r="P21" s="16" t="inlineStr"/>
      <c r="Q21" s="16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Insumo (classificação do SPED anterior) [SPED anterior: CFOP 1101]</t>
        </is>
      </c>
      <c r="P22" s="16" t="inlineStr"/>
      <c r="Q22" s="16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Insumo (classificação do SPED anterior) [SPED anterior: CFOP 1101]</t>
        </is>
      </c>
      <c r="P23" s="16" t="inlineStr"/>
      <c r="Q23" s="16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Insumo (classificação do SPED anterior) [SPED anterior: CFOP 1101]</t>
        </is>
      </c>
      <c r="P24" s="16" t="inlineStr"/>
      <c r="Q24" s="16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Insumo (classificação do SPED anterior) [SPED anterior: CFOP 1101]</t>
        </is>
      </c>
      <c r="P25" s="16" t="inlineStr"/>
      <c r="Q25" s="16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Insumo (classificação do SPED anterior) [SPED anterior: CFOP 1101]</t>
        </is>
      </c>
      <c r="P26" s="16" t="inlineStr"/>
      <c r="Q26" s="16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Insumo (classificação do SPED anterior) [SPED anterior: CFOP 1101]</t>
        </is>
      </c>
      <c r="P27" s="16" t="inlineStr"/>
      <c r="Q27" s="16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1556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Uso e consumo (luva/artigo plástico) [NCM 39262000]</t>
        </is>
      </c>
      <c r="P28" s="16" t="inlineStr"/>
      <c r="Q28" s="16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1923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Remessa por conta e ordem de terceiros em venda à ordem (a venda vem em outra nota) [CFOP 5923]</t>
        </is>
      </c>
      <c r="P29" s="16" t="inlineStr"/>
      <c r="Q29" s="16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2949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Uso e consumo (pincel) - mas CFOP 6949 (outras saídas: amostra/brinde/remessa) [CFOP 6949]</t>
        </is>
      </c>
      <c r="P30" s="16" t="inlineStr"/>
      <c r="Q30" s="16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Remessa para industrialização por conta e ordem do adquirente (insumo do cliente) [CFOP 5924]</t>
        </is>
      </c>
      <c r="P31" s="16" t="inlineStr"/>
      <c r="Q31" s="16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Insumo (classificação do SPED anterior) [SPED anterior: CFOP 1101]</t>
        </is>
      </c>
      <c r="P32" s="16" t="inlineStr"/>
      <c r="Q32" s="16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Insumo (classificação do SPED anterior) [SPED anterior: CFOP 1101]</t>
        </is>
      </c>
      <c r="P33" s="16" t="inlineStr"/>
      <c r="Q33" s="16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Remessa para industrialização por conta e ordem do adquirente (insumo do cliente) [CFOP 6924]</t>
        </is>
      </c>
      <c r="P34" s="16" t="inlineStr"/>
      <c r="Q34" s="16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1101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Embalagem (frasco/tampa/pote plástico) [NCM 39232110]</t>
        </is>
      </c>
      <c r="P35" s="16" t="inlineStr"/>
      <c r="Q35" s="16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1101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Embalagem (frasco/tampa/pote plástico) [NCM 39232190]</t>
        </is>
      </c>
      <c r="P36" s="16" t="inlineStr"/>
      <c r="Q36" s="16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1101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Embalagem (frasco/tampa/pote plástico) [NCM 39232190]</t>
        </is>
      </c>
      <c r="P37" s="16" t="inlineStr"/>
      <c r="Q37" s="16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1101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Embalagem (frasco/tampa/pote plástico) [NCM 39232190]</t>
        </is>
      </c>
      <c r="P38" s="16" t="inlineStr"/>
      <c r="Q38" s="16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Remessa para industrialização por conta e ordem do adquirente (insumo do cliente) [CFOP 5924]</t>
        </is>
      </c>
      <c r="P39" s="16" t="inlineStr"/>
      <c r="Q39" s="16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Remessa para industrialização por conta e ordem do adquirente (insumo do cliente) [CFOP 6924]</t>
        </is>
      </c>
      <c r="P40" s="16" t="inlineStr"/>
      <c r="Q40" s="16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Remessa para industrialização por conta e ordem do adquirente (insumo do cliente) [CFOP 6924]</t>
        </is>
      </c>
      <c r="P41" s="16" t="inlineStr"/>
      <c r="Q41" s="16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1556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Uso e consumo (calçado/EPI) [NCM 64039190]</t>
        </is>
      </c>
      <c r="P42" s="16" t="inlineStr"/>
      <c r="Q42" s="16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1556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Uso e consumo (calçado/EPI) [NCM 64019200]</t>
        </is>
      </c>
      <c r="P43" s="16" t="inlineStr"/>
      <c r="Q43" s="16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1556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Uso e consumo (calçado/EPI) [NCM 64019990]</t>
        </is>
      </c>
      <c r="P44" s="16" t="inlineStr"/>
      <c r="Q44" s="16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1556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Uso e consumo (pano/TNT/EPI) [NCM 56031190]</t>
        </is>
      </c>
      <c r="P45" s="16" t="inlineStr"/>
      <c r="Q45" s="16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1923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Remessa por conta e ordem de terceiros em venda à ordem (a venda vem em outra nota) [CFOP 5923]</t>
        </is>
      </c>
      <c r="P46" s="16" t="inlineStr"/>
      <c r="Q46" s="16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Remessa para industrialização por conta e ordem do adquirente (insumo do cliente) [CFOP 5924]</t>
        </is>
      </c>
      <c r="P47" s="16" t="inlineStr"/>
      <c r="Q47" s="16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Uso e consumo (classificação do SPED anterior) [SPED anterior: CFOP 1556]</t>
        </is>
      </c>
      <c r="P48" s="16" t="inlineStr"/>
      <c r="Q48" s="16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Uso e consumo (classificação do SPED anterior) [SPED anterior: CFOP 1556]</t>
        </is>
      </c>
      <c r="P49" s="16" t="inlineStr"/>
      <c r="Q49" s="16" t="inlineStr"/>
    </row>
    <row r="50">
      <c r="A50" s="22" t="n">
        <v>46282</v>
      </c>
      <c r="B50" s="18" t="inlineStr">
        <is>
          <t>ALTEC IND.COM.IMP.E EXP.LTDA.</t>
        </is>
      </c>
      <c r="C50" s="18" t="inlineStr">
        <is>
          <t>67598292000187</t>
        </is>
      </c>
      <c r="D50" s="18" t="n">
        <v>30338</v>
      </c>
      <c r="E50" s="18" t="n">
        <v>1</v>
      </c>
      <c r="F50" s="18" t="inlineStr">
        <is>
          <t>TAMPA ALUM.20MM RV PRATA 320580</t>
        </is>
      </c>
      <c r="G50" s="18" t="inlineStr">
        <is>
          <t>83099000</t>
        </is>
      </c>
      <c r="H50" s="18" t="inlineStr">
        <is>
          <t>6101</t>
        </is>
      </c>
      <c r="I50" s="18" t="inlineStr">
        <is>
          <t>2101</t>
        </is>
      </c>
      <c r="J50" s="23" t="n">
        <v>2506.56</v>
      </c>
      <c r="K50" s="23" t="n">
        <v>300.79</v>
      </c>
      <c r="L50" s="23" t="n">
        <v>300.79</v>
      </c>
      <c r="M50" s="23" t="n">
        <v>0</v>
      </c>
      <c r="N50" s="23" t="n">
        <v>0</v>
      </c>
      <c r="O50" s="18" t="inlineStr">
        <is>
          <t>Embalagem (tampa metálica) [NCM 83099000]</t>
        </is>
      </c>
      <c r="P50" s="16" t="inlineStr"/>
      <c r="Q50" s="16" t="inlineStr"/>
    </row>
    <row r="51">
      <c r="A51" s="22" t="n">
        <v>46282</v>
      </c>
      <c r="B51" s="18" t="inlineStr">
        <is>
          <t>CARBON CIENTIFICA LTDA</t>
        </is>
      </c>
      <c r="C51" s="18" t="inlineStr">
        <is>
          <t>44114040000130</t>
        </is>
      </c>
      <c r="D51" s="18" t="n">
        <v>23127</v>
      </c>
      <c r="E51" s="18" t="n">
        <v>1</v>
      </c>
      <c r="F51" s="18" t="inlineStr">
        <is>
          <t>MONOETANOLAMINA PA 1000ML - CARBON lote 11622</t>
        </is>
      </c>
      <c r="G51" s="18" t="inlineStr">
        <is>
          <t>29221100</t>
        </is>
      </c>
      <c r="H51" s="18" t="inlineStr">
        <is>
          <t>5949</t>
        </is>
      </c>
      <c r="I51" s="18" t="inlineStr">
        <is>
          <t>1949</t>
        </is>
      </c>
      <c r="J51" s="23" t="n">
        <v>1</v>
      </c>
      <c r="K51" s="23" t="n">
        <v>0.2</v>
      </c>
      <c r="L51" s="23" t="n">
        <v>0</v>
      </c>
      <c r="M51" s="23" t="n">
        <v>0</v>
      </c>
      <c r="N51" s="23" t="n">
        <v>0</v>
      </c>
      <c r="O51" s="18" t="inlineStr">
        <is>
          <t>Matéria-prima (químico orgânico) - mas CFOP 5949 (outras saídas: amostra/brinde/remessa) [CFOP 5949]</t>
        </is>
      </c>
      <c r="P51" s="16" t="inlineStr"/>
      <c r="Q51" s="16" t="inlineStr"/>
    </row>
    <row r="52">
      <c r="A52" s="22" t="n">
        <v>46282</v>
      </c>
      <c r="B52" s="18" t="inlineStr">
        <is>
          <t>ELLOLIMP COMERCIO DE PRODUTOS DE HIGIENE E LIMPEZA LTDA</t>
        </is>
      </c>
      <c r="C52" s="18" t="inlineStr">
        <is>
          <t>49547438000183</t>
        </is>
      </c>
      <c r="D52" s="18" t="n">
        <v>6782</v>
      </c>
      <c r="E52" s="18" t="n">
        <v>1</v>
      </c>
      <c r="F52" s="18" t="inlineStr">
        <is>
          <t>PANO ROLO MULTIUSO BRANCO 28x240 INOVEN</t>
        </is>
      </c>
      <c r="G52" s="18" t="inlineStr">
        <is>
          <t>56039240</t>
        </is>
      </c>
      <c r="H52" s="18" t="inlineStr">
        <is>
          <t>5102</t>
        </is>
      </c>
      <c r="I52" s="18" t="inlineStr">
        <is>
          <t>1556</t>
        </is>
      </c>
      <c r="J52" s="23" t="n">
        <v>799</v>
      </c>
      <c r="K52" s="23" t="n">
        <v>95.88</v>
      </c>
      <c r="L52" s="23" t="n">
        <v>0</v>
      </c>
      <c r="M52" s="23" t="n">
        <v>0</v>
      </c>
      <c r="N52" s="23" t="n">
        <v>0</v>
      </c>
      <c r="O52" s="18" t="inlineStr">
        <is>
          <t>Uso e consumo (pano/TNT/EPI) [NCM 56039240]</t>
        </is>
      </c>
      <c r="P52" s="16" t="inlineStr"/>
      <c r="Q52" s="16" t="inlineStr"/>
    </row>
    <row r="53">
      <c r="A53" s="22" t="n">
        <v>46282</v>
      </c>
      <c r="B53" s="18" t="inlineStr">
        <is>
          <t>ELLOLIMP COMERCIO DE PRODUTOS DE HIGIENE E LIMPEZA LTDA</t>
        </is>
      </c>
      <c r="C53" s="18" t="inlineStr">
        <is>
          <t>49547438000183</t>
        </is>
      </c>
      <c r="D53" s="18" t="n">
        <v>6782</v>
      </c>
      <c r="E53" s="18" t="n">
        <v>2</v>
      </c>
      <c r="F53" s="18" t="inlineStr">
        <is>
          <t>CABO ALUMINIO S ROSCA NOBRE 22MM X 1,40M</t>
        </is>
      </c>
      <c r="G53" s="18" t="inlineStr">
        <is>
          <t>76082090</t>
        </is>
      </c>
      <c r="H53" s="18" t="inlineStr">
        <is>
          <t>5102</t>
        </is>
      </c>
      <c r="I53" s="18" t="inlineStr">
        <is>
          <t>1556</t>
        </is>
      </c>
      <c r="J53" s="23" t="n">
        <v>34.9</v>
      </c>
      <c r="K53" s="23" t="n">
        <v>6.81</v>
      </c>
      <c r="L53" s="23" t="n">
        <v>0</v>
      </c>
      <c r="M53" s="23" t="n">
        <v>0</v>
      </c>
      <c r="N53" s="23" t="n">
        <v>0</v>
      </c>
      <c r="O53" s="18" t="inlineStr">
        <is>
          <t>Uso e consumo (ferramenta/limpeza) [NCM 76082090]</t>
        </is>
      </c>
      <c r="P53" s="16" t="inlineStr"/>
      <c r="Q53" s="16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Insumo (classificação do SPED anterior) [SPED anterior: CFOP 1101]</t>
        </is>
      </c>
      <c r="P54" s="16" t="inlineStr"/>
      <c r="Q54" s="16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Remessa para industrialização por encomenda (insumo do cliente) [CFOP 5901]</t>
        </is>
      </c>
      <c r="P55" s="16" t="inlineStr"/>
      <c r="Q55" s="16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1556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Uso e consumo (filme stretch - embalagem de transporte) [NCM 39201099]</t>
        </is>
      </c>
      <c r="P56" s="16" t="inlineStr"/>
      <c r="Q56" s="16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1101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Embalagem (frasco/tampa/pote plástico) [NCM 39239090]</t>
        </is>
      </c>
      <c r="P57" s="16" t="inlineStr"/>
      <c r="Q57" s="16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Remessa para industrialização por encomenda (insumo do cliente) [CFOP 5901]</t>
        </is>
      </c>
      <c r="P58" s="16" t="inlineStr"/>
      <c r="Q58" s="16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Remessa para industrialização por encomenda (insumo do cliente) [CFOP 5901]</t>
        </is>
      </c>
      <c r="P59" s="16" t="inlineStr"/>
      <c r="Q59" s="16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Remessa para industrialização por encomenda (insumo do cliente) [CFOP 5901]</t>
        </is>
      </c>
      <c r="P60" s="16" t="inlineStr"/>
      <c r="Q60" s="16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Remessa para industrialização por encomenda (insumo do cliente) [CFOP 5901]</t>
        </is>
      </c>
      <c r="P61" s="16" t="inlineStr"/>
      <c r="Q61" s="16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Remessa para industrialização por encomenda (insumo do cliente) [CFOP 5901]</t>
        </is>
      </c>
      <c r="P62" s="16" t="inlineStr"/>
      <c r="Q62" s="16" t="inlineStr"/>
    </row>
    <row r="63">
      <c r="A63" s="22" t="n">
        <v>46286</v>
      </c>
      <c r="B63" s="18" t="inlineStr">
        <is>
          <t>BISPHARMA EMBALAGENS LTDA</t>
        </is>
      </c>
      <c r="C63" s="18" t="inlineStr">
        <is>
          <t>59610485000188</t>
        </is>
      </c>
      <c r="D63" s="18" t="n">
        <v>117690</v>
      </c>
      <c r="E63" s="18" t="n">
        <v>1</v>
      </c>
      <c r="F63" s="18" t="inlineStr">
        <is>
          <t>COLORACAO HIDRATANTE PROFISSIONAL 60G Item.Ped.:       OP:119087 Cod.Externo:345566</t>
        </is>
      </c>
      <c r="G63" s="18" t="inlineStr">
        <is>
          <t>76121000</t>
        </is>
      </c>
      <c r="H63" s="18" t="inlineStr">
        <is>
          <t>6101</t>
        </is>
      </c>
      <c r="I63" s="18" t="inlineStr">
        <is>
          <t>2101</t>
        </is>
      </c>
      <c r="J63" s="23" t="n">
        <v>26515.5</v>
      </c>
      <c r="K63" s="23" t="n">
        <v>2987.66</v>
      </c>
      <c r="L63" s="23" t="n">
        <v>2987.66</v>
      </c>
      <c r="M63" s="23" t="n">
        <v>1618.32</v>
      </c>
      <c r="N63" s="23" t="n">
        <v>1618.32</v>
      </c>
      <c r="O63" s="18" t="inlineStr">
        <is>
          <t>Embalagem (tubo de alumínio) [NCM 76121000]</t>
        </is>
      </c>
      <c r="P63" s="16" t="inlineStr"/>
      <c r="Q63" s="16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Remessa para industrialização por conta e ordem do adquirente (insumo do cliente) [CFOP 5924]</t>
        </is>
      </c>
      <c r="P64" s="16" t="inlineStr"/>
      <c r="Q64" s="16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Remessa para industrialização por conta e ordem do adquirente (insumo do cliente) [CFOP 5924]</t>
        </is>
      </c>
      <c r="P65" s="16" t="inlineStr"/>
      <c r="Q65" s="16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Remessa para industrialização por encomenda (insumo do cliente) [CFOP 5901]</t>
        </is>
      </c>
      <c r="P66" s="16" t="inlineStr"/>
      <c r="Q66" s="16" t="inlineStr"/>
    </row>
    <row r="67">
      <c r="A67" s="22" t="n">
        <v>46287</v>
      </c>
      <c r="B67" s="18" t="inlineStr">
        <is>
          <t>MCASSAB COMERCIO E INDUSTRIA LTDA</t>
        </is>
      </c>
      <c r="C67" s="18" t="inlineStr">
        <is>
          <t>49698723003110</t>
        </is>
      </c>
      <c r="D67" s="18" t="n">
        <v>275966</v>
      </c>
      <c r="E67" s="18" t="n">
        <v>1</v>
      </c>
      <c r="F67" s="18" t="inlineStr">
        <is>
          <t>TRANSCUTOL CG - TB 25 KG</t>
        </is>
      </c>
      <c r="G67" s="18" t="inlineStr">
        <is>
          <t>29094429</t>
        </is>
      </c>
      <c r="H67" s="18" t="inlineStr">
        <is>
          <t>6102</t>
        </is>
      </c>
      <c r="I67" s="18" t="inlineStr">
        <is>
          <t>2101</t>
        </is>
      </c>
      <c r="J67" s="23" t="n">
        <v>3873.74</v>
      </c>
      <c r="K67" s="23" t="n">
        <v>154.95</v>
      </c>
      <c r="L67" s="23" t="n">
        <v>154.95</v>
      </c>
      <c r="M67" s="23" t="n">
        <v>0</v>
      </c>
      <c r="N67" s="23" t="n">
        <v>0</v>
      </c>
      <c r="O67" s="18" t="inlineStr">
        <is>
          <t>Matéria-prima (químico orgânico) [NCM 29094429]</t>
        </is>
      </c>
      <c r="P67" s="16" t="inlineStr"/>
      <c r="Q67" s="16" t="inlineStr"/>
    </row>
    <row r="68">
      <c r="A68" s="22" t="n">
        <v>46288</v>
      </c>
      <c r="B68" s="18" t="inlineStr">
        <is>
          <t>HS INKLASER LTDA</t>
        </is>
      </c>
      <c r="C68" s="18" t="inlineStr">
        <is>
          <t>18858535000163</t>
        </is>
      </c>
      <c r="D68" s="18" t="n">
        <v>48241</v>
      </c>
      <c r="E68" s="18" t="n">
        <v>1</v>
      </c>
      <c r="F68" s="18" t="inlineStr">
        <is>
          <t>CARTUCHO BLK 13 PRETO</t>
        </is>
      </c>
      <c r="G68" s="18" t="inlineStr">
        <is>
          <t>84439923</t>
        </is>
      </c>
      <c r="H68" s="18" t="inlineStr">
        <is>
          <t>6102</t>
        </is>
      </c>
      <c r="I68" s="18" t="inlineStr">
        <is>
          <t>2556</t>
        </is>
      </c>
      <c r="J68" s="23" t="n">
        <v>1074.5</v>
      </c>
      <c r="K68" s="23" t="n">
        <v>125.11</v>
      </c>
      <c r="L68" s="23" t="n">
        <v>0</v>
      </c>
      <c r="M68" s="23" t="n">
        <v>31.95</v>
      </c>
      <c r="N68" s="23" t="n">
        <v>0</v>
      </c>
      <c r="O68" s="18" t="inlineStr">
        <is>
          <t>Uso e consumo (suprimento de impressora) [NCM 84439923]</t>
        </is>
      </c>
      <c r="P68" s="16" t="inlineStr"/>
      <c r="Q68" s="16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Remessa para industrialização por encomenda (insumo do cliente) [CFOP 6901]</t>
        </is>
      </c>
      <c r="P69" s="16" t="inlineStr"/>
      <c r="Q69" s="16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Remessa para industrialização por encomenda (insumo do cliente) [CFOP 5901]</t>
        </is>
      </c>
      <c r="P70" s="16" t="inlineStr"/>
      <c r="Q70" s="16" t="inlineStr"/>
    </row>
    <row r="71">
      <c r="A71" s="22" t="n">
        <v>46288</v>
      </c>
      <c r="B71" s="18" t="inlineStr">
        <is>
          <t>SCENTEC ESSENCIAS E FRAGRANCIAS LTDA</t>
        </is>
      </c>
      <c r="C71" s="18" t="inlineStr">
        <is>
          <t>62514971000107</t>
        </is>
      </c>
      <c r="D71" s="18" t="n">
        <v>141811</v>
      </c>
      <c r="E71" s="18" t="n">
        <v>1</v>
      </c>
      <c r="F71" s="18" t="inlineStr">
        <is>
          <t>CASHMERE - 204510</t>
        </is>
      </c>
      <c r="G71" s="18" t="inlineStr">
        <is>
          <t>33029019</t>
        </is>
      </c>
      <c r="H71" s="18" t="inlineStr">
        <is>
          <t>6101</t>
        </is>
      </c>
      <c r="I71" s="18" t="inlineStr">
        <is>
          <t>2101</t>
        </is>
      </c>
      <c r="J71" s="23" t="n">
        <v>4794.99</v>
      </c>
      <c r="K71" s="23" t="n">
        <v>557.29</v>
      </c>
      <c r="L71" s="23" t="n">
        <v>557.29</v>
      </c>
      <c r="M71" s="23" t="n">
        <v>150.93</v>
      </c>
      <c r="N71" s="23" t="n">
        <v>150.93</v>
      </c>
      <c r="O71" s="18" t="inlineStr">
        <is>
          <t>Matéria-prima (fragrância/essência) [NCM 33029019]</t>
        </is>
      </c>
      <c r="P71" s="16" t="inlineStr"/>
      <c r="Q71" s="16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>
        <is>
          <t>00000000</t>
        </is>
      </c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Nota sem mercadoria (antecipação/financeira) [CFOP 6949 / NCM 00000000]</t>
        </is>
      </c>
      <c r="P72" s="16" t="inlineStr"/>
      <c r="Q72" s="16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>
        <is>
          <t>00000000</t>
        </is>
      </c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Nota sem mercadoria (antecipação/financeira) [CFOP 6949 / NCM 00000000]</t>
        </is>
      </c>
      <c r="P73" s="16" t="inlineStr"/>
      <c r="Q73" s="16" t="inlineStr"/>
    </row>
    <row r="74">
      <c r="A74" s="22" t="n">
        <v>46294</v>
      </c>
      <c r="B74" s="18" t="inlineStr">
        <is>
          <t>CHEMYUNION LTDA</t>
        </is>
      </c>
      <c r="C74" s="18" t="inlineStr">
        <is>
          <t>58309709000820</t>
        </is>
      </c>
      <c r="D74" s="18" t="n">
        <v>19303</v>
      </c>
      <c r="E74" s="18" t="n">
        <v>1</v>
      </c>
      <c r="F74" s="18" t="inlineStr">
        <is>
          <t>Uniox C (20,000)</t>
        </is>
      </c>
      <c r="G74" s="18" t="inlineStr">
        <is>
          <t>34024200</t>
        </is>
      </c>
      <c r="H74" s="18" t="inlineStr">
        <is>
          <t>6101</t>
        </is>
      </c>
      <c r="I74" s="18" t="inlineStr">
        <is>
          <t>2101</t>
        </is>
      </c>
      <c r="J74" s="23" t="n">
        <v>8747.379999999999</v>
      </c>
      <c r="K74" s="23" t="n">
        <v>1016.64</v>
      </c>
      <c r="L74" s="23" t="n">
        <v>1016.64</v>
      </c>
      <c r="M74" s="23" t="n">
        <v>275.34</v>
      </c>
      <c r="N74" s="23" t="n">
        <v>275.34</v>
      </c>
      <c r="O74" s="18" t="inlineStr">
        <is>
          <t>Matéria-prima (tensoativo) [NCM 34024200]</t>
        </is>
      </c>
      <c r="P74" s="16" t="inlineStr"/>
      <c r="Q74" s="16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1101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Matéria-prima (óleos e gorduras) [NCM 15159090]</t>
        </is>
      </c>
      <c r="P75" s="16" t="inlineStr"/>
      <c r="Q75" s="16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1949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Embalagem (rótulo/etiqueta) - mas CFOP 5949 (outras saídas: amostra/brinde/remessa) [CFOP 5949]</t>
        </is>
      </c>
      <c r="P76" s="16" t="inlineStr"/>
      <c r="Q76" s="16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Remessa para industrialização por encomenda (insumo do cliente) [CFOP 6901]</t>
        </is>
      </c>
      <c r="P77" s="16" t="inlineStr"/>
      <c r="Q77" s="16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Remessa para industrialização por encomenda (insumo do cliente) [CFOP 5901]</t>
        </is>
      </c>
      <c r="P78" s="16" t="inlineStr"/>
      <c r="Q78" s="16" t="inlineStr"/>
    </row>
    <row r="79">
      <c r="A79" s="22" t="n">
        <v>46294</v>
      </c>
      <c r="B79" s="18" t="inlineStr">
        <is>
          <t>PROVITAL DO BRASIL COM. DE INSUMOS PARA COSMETICOS LTDA</t>
        </is>
      </c>
      <c r="C79" s="18" t="inlineStr">
        <is>
          <t>11340087000162</t>
        </is>
      </c>
      <c r="D79" s="18" t="n">
        <v>42285</v>
      </c>
      <c r="E79" s="18" t="n">
        <v>1</v>
      </c>
      <c r="F79" s="18" t="inlineStr">
        <is>
          <t>KERANUTRI</t>
        </is>
      </c>
      <c r="G79" s="18" t="inlineStr">
        <is>
          <t>38249989</t>
        </is>
      </c>
      <c r="H79" s="18" t="inlineStr">
        <is>
          <t>6102</t>
        </is>
      </c>
      <c r="I79" s="18" t="inlineStr">
        <is>
          <t>2101</t>
        </is>
      </c>
      <c r="J79" s="23" t="n">
        <v>4278.84</v>
      </c>
      <c r="K79" s="23" t="n">
        <v>160.71</v>
      </c>
      <c r="L79" s="23" t="n">
        <v>160.71</v>
      </c>
      <c r="M79" s="23" t="n">
        <v>261.15</v>
      </c>
      <c r="N79" s="23" t="n">
        <v>261.15</v>
      </c>
      <c r="O79" s="18" t="inlineStr">
        <is>
          <t>Matéria-prima (preparação química) [NCM 38249989]</t>
        </is>
      </c>
      <c r="P79" s="16" t="inlineStr"/>
      <c r="Q79" s="16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Insumo (classificação do SPED anterior) [SPED anterior: CFOP 1101]</t>
        </is>
      </c>
      <c r="P80" s="16" t="inlineStr"/>
      <c r="Q80" s="16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1101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Matéria-prima (químico inorgânico) [NCM 28321010]</t>
        </is>
      </c>
      <c r="P81" s="16" t="inlineStr"/>
      <c r="Q81" s="16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09030090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Uso e consumo (classificação do SPED anterior) [SPED anterior: CFOP 1556]</t>
        </is>
      </c>
      <c r="P82" s="16" t="inlineStr"/>
      <c r="Q82" s="16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Uso e consumo (classificação do SPED anterior) [SPED anterior: CFOP 1556]</t>
        </is>
      </c>
      <c r="P83" s="16" t="inlineStr"/>
      <c r="Q83" s="16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09012100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Uso e consumo (classificação do SPED anterior) [SPED anterior: CFOP 1556]</t>
        </is>
      </c>
      <c r="P84" s="16" t="inlineStr"/>
      <c r="Q84" s="16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Uso e consumo (classificação do SPED anterior) [SPED anterior: CFOP 1556]</t>
        </is>
      </c>
      <c r="P85" s="16" t="inlineStr"/>
      <c r="Q85" s="16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  <col width="30" customWidth="1" min="13" max="13"/>
    <col width="60" customWidth="1" min="14" max="14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  <c r="M3" s="4" t="inlineStr">
        <is>
          <t>NF-e transportada</t>
        </is>
      </c>
      <c r="N3" s="4" t="inlineStr">
        <is>
          <t>Análise</t>
        </is>
      </c>
    </row>
    <row r="4">
      <c r="A4" s="7" t="n">
        <v>46269</v>
      </c>
      <c r="B4" s="5" t="inlineStr">
        <is>
          <t>CAXIAS DO SUL - EXPRESSO SAO MIGUEL S/A</t>
        </is>
      </c>
      <c r="C4" s="5" t="inlineStr">
        <is>
          <t>00428307000600</t>
        </is>
      </c>
      <c r="D4" s="5" t="n">
        <v>5597996</v>
      </c>
      <c r="E4" s="5" t="inlineStr">
        <is>
          <t>6352</t>
        </is>
      </c>
      <c r="F4" s="5" t="inlineStr">
        <is>
          <t>2352</t>
        </is>
      </c>
      <c r="G4" s="5" t="inlineStr">
        <is>
          <t>RS-PR</t>
        </is>
      </c>
      <c r="H4" s="6" t="n">
        <v>301.49</v>
      </c>
      <c r="I4" s="6" t="n">
        <v>301.49</v>
      </c>
      <c r="J4" s="5" t="n">
        <v>12</v>
      </c>
      <c r="K4" s="6" t="n">
        <v>36.18</v>
      </c>
      <c r="L4" s="6" t="n">
        <v>0</v>
      </c>
      <c r="M4" s="5" t="inlineStr">
        <is>
          <t>NF 2564 (outras)</t>
        </is>
      </c>
      <c r="N4" s="5" t="inlineStr">
        <is>
          <t>Frete de compra de outras: sem crédito - o crédito do frete segue a mercadoria (uso e consumo/outras não creditam - LC 87/96 art. 33, I). ICMS R$ 36.18 não aproveitado</t>
        </is>
      </c>
    </row>
    <row r="5">
      <c r="A5" s="7" t="n">
        <v>46283</v>
      </c>
      <c r="B5" s="5" t="inlineStr">
        <is>
          <t>TRANS TOMAZ TRANSPORTES RODOV DE CARGAS EIREL</t>
        </is>
      </c>
      <c r="C5" s="5" t="inlineStr">
        <is>
          <t>03867083000290</t>
        </is>
      </c>
      <c r="D5" s="5" t="n">
        <v>25709</v>
      </c>
      <c r="E5" s="5" t="inlineStr">
        <is>
          <t>6353</t>
        </is>
      </c>
      <c r="F5" s="5" t="inlineStr">
        <is>
          <t>2353</t>
        </is>
      </c>
      <c r="G5" s="5" t="inlineStr">
        <is>
          <t>SP-PR</t>
        </is>
      </c>
      <c r="H5" s="6" t="n">
        <v>116.03</v>
      </c>
      <c r="I5" s="6" t="n">
        <v>116.03</v>
      </c>
      <c r="J5" s="5" t="n">
        <v>12</v>
      </c>
      <c r="K5" s="6" t="n">
        <v>13.92</v>
      </c>
      <c r="L5" s="6" t="n">
        <v>13.92</v>
      </c>
      <c r="M5" s="5" t="inlineStr">
        <is>
          <t>NF 30338 (insumo)</t>
        </is>
      </c>
      <c r="N5" s="5" t="inlineStr">
        <is>
          <t>Frete de compra de insumo</t>
        </is>
      </c>
    </row>
    <row r="6">
      <c r="A6" s="7" t="n">
        <v>46287</v>
      </c>
      <c r="B6" s="5" t="inlineStr">
        <is>
          <t>TRANS TOMAZ TRANSPORTES RODOV DE CARGAS EIREL</t>
        </is>
      </c>
      <c r="C6" s="5" t="inlineStr">
        <is>
          <t>03867083000290</t>
        </is>
      </c>
      <c r="D6" s="5" t="n">
        <v>25910</v>
      </c>
      <c r="E6" s="5" t="inlineStr">
        <is>
          <t>6353</t>
        </is>
      </c>
      <c r="F6" s="5" t="inlineStr">
        <is>
          <t>2353</t>
        </is>
      </c>
      <c r="G6" s="5" t="inlineStr">
        <is>
          <t>SP-PR</t>
        </is>
      </c>
      <c r="H6" s="6" t="n">
        <v>812.3</v>
      </c>
      <c r="I6" s="6" t="n">
        <v>812.3</v>
      </c>
      <c r="J6" s="5" t="n">
        <v>12</v>
      </c>
      <c r="K6" s="6" t="n">
        <v>97.48</v>
      </c>
      <c r="L6" s="6" t="n">
        <v>97.48</v>
      </c>
      <c r="M6" s="5" t="inlineStr">
        <is>
          <t>NF 117690 (insumo)</t>
        </is>
      </c>
      <c r="N6" s="5" t="inlineStr">
        <is>
          <t>Frete de compra de insumo</t>
        </is>
      </c>
    </row>
    <row r="7">
      <c r="A7" s="7" t="n">
        <v>46290</v>
      </c>
      <c r="B7" s="5" t="inlineStr">
        <is>
          <t>TRANS TOMAZ TRANSPORTES RODOV DE CARGAS EIREL</t>
        </is>
      </c>
      <c r="C7" s="5" t="inlineStr">
        <is>
          <t>03867083000290</t>
        </is>
      </c>
      <c r="D7" s="5" t="n">
        <v>26411</v>
      </c>
      <c r="E7" s="5" t="inlineStr">
        <is>
          <t>6353</t>
        </is>
      </c>
      <c r="F7" s="5" t="inlineStr">
        <is>
          <t>2353</t>
        </is>
      </c>
      <c r="G7" s="5" t="inlineStr">
        <is>
          <t>SP-PR</t>
        </is>
      </c>
      <c r="H7" s="6" t="n">
        <v>126.02</v>
      </c>
      <c r="I7" s="6" t="n">
        <v>126.02</v>
      </c>
      <c r="J7" s="5" t="n">
        <v>12</v>
      </c>
      <c r="K7" s="6" t="n">
        <v>15.12</v>
      </c>
      <c r="L7" s="6" t="n">
        <v>15.12</v>
      </c>
      <c r="M7" s="5" t="inlineStr">
        <is>
          <t>NF 141811 (insumo)</t>
        </is>
      </c>
      <c r="N7" s="5" t="inlineStr">
        <is>
          <t>Frete de compra de insumo</t>
        </is>
      </c>
    </row>
    <row r="8">
      <c r="A8" s="7" t="n">
        <v>46295</v>
      </c>
      <c r="B8" s="5" t="inlineStr">
        <is>
          <t>TRANS TOMAZ TRANSPORTES RODOV DE CARGAS EIREL</t>
        </is>
      </c>
      <c r="C8" s="5" t="inlineStr">
        <is>
          <t>03867083000290</t>
        </is>
      </c>
      <c r="D8" s="5" t="n">
        <v>26730</v>
      </c>
      <c r="E8" s="5" t="inlineStr">
        <is>
          <t>6353</t>
        </is>
      </c>
      <c r="F8" s="5" t="inlineStr">
        <is>
          <t>2353</t>
        </is>
      </c>
      <c r="G8" s="5" t="inlineStr">
        <is>
          <t>SP-PR</t>
        </is>
      </c>
      <c r="H8" s="6" t="n">
        <v>188.49</v>
      </c>
      <c r="I8" s="6" t="n">
        <v>188.49</v>
      </c>
      <c r="J8" s="5" t="n">
        <v>12</v>
      </c>
      <c r="K8" s="6" t="n">
        <v>22.62</v>
      </c>
      <c r="L8" s="6" t="n">
        <v>22.62</v>
      </c>
      <c r="M8" s="5" t="inlineStr">
        <is>
          <t>NF 19303 (insumo)</t>
        </is>
      </c>
      <c r="N8" s="5" t="inlineStr">
        <is>
          <t>Frete de compra de insumo</t>
        </is>
      </c>
    </row>
    <row r="9">
      <c r="A9" s="8" t="inlineStr">
        <is>
          <t>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9">
        <f>SUM(H4:H8)</f>
        <v/>
      </c>
      <c r="I9" s="9">
        <f>SUM(I4:I8)</f>
        <v/>
      </c>
      <c r="J9" s="9">
        <f>SUM(J4:J8)</f>
        <v/>
      </c>
      <c r="K9" s="9">
        <f>SUM(K4:K8)</f>
        <v/>
      </c>
      <c r="L9" s="9">
        <f>SUM(L4:L8)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2" t="inlineStr">
        <is>
          <t>ALTA</t>
        </is>
      </c>
      <c r="B5" s="12" t="inlineStr">
        <is>
          <t>Contribuinte como consumidor final</t>
        </is>
      </c>
      <c r="C5" s="12" t="inlineStr">
        <is>
          <t>GULA COSMETICOS LTDA (30415972000108, IE 9084324601)</t>
        </is>
      </c>
      <c r="D5" s="17" t="inlineStr">
        <is>
          <t>16 nota(s) com indIEDest=9/indFinal=1 (NF 8966, 8967, 8968, 8969, 8978, 8980, 8981, 8982, 9003, 9006, 9009, 9011, 9013, 9014, 9018, 9019; CFOP 5101, 5102, 6102), sem ICMS-ST, ICMS cheio e IPI na base do ICMS; nas 1 nota(s) do mês como contribuinte houve ST de R$ 865.16. Se o cliente revende, a ST não foi retida - confirmar o cadastro/finalidade com o cliente</t>
        </is>
      </c>
      <c r="E5" s="24" t="n">
        <v>35221.15</v>
      </c>
      <c r="F5" s="16" t="inlineStr"/>
      <c r="G5" s="16" t="inlineStr"/>
    </row>
    <row r="6">
      <c r="A6" s="12" t="inlineStr">
        <is>
          <t>ALTA</t>
        </is>
      </c>
      <c r="B6" s="12" t="inlineStr">
        <is>
          <t>Destinatário x UF</t>
        </is>
      </c>
      <c r="C6" s="12" t="inlineStr">
        <is>
          <t>GULA COSMETICOS LTDA (30415972000108)</t>
        </is>
      </c>
      <c r="D6" s="17" t="inlineStr">
        <is>
          <t>Mesmo CNPJ com endereço em UFs diferentes no mês: PR: NF 8955, 8968, 8969, 8978, 8980, 8981, 8982, 9003, 9006, 9009, 9011, 9013, 9014, 9018, 9019; SP: NF 8966, 8967 - CFOP 6xxx e DIFAL dependem da UF; conferir o cadastro</t>
        </is>
      </c>
      <c r="E6" s="24" t="n"/>
      <c r="F6" s="16" t="inlineStr"/>
      <c r="G6" s="16" t="inlineStr"/>
    </row>
    <row r="7">
      <c r="A7" s="12" t="inlineStr">
        <is>
          <t>ALTA</t>
        </is>
      </c>
      <c r="B7" s="12" t="inlineStr">
        <is>
          <t>Industrialização x retorno</t>
        </is>
      </c>
      <c r="C7" s="12" t="inlineStr">
        <is>
          <t>NF 8989/1 21/09 MIX PERFUMARIA LTDA</t>
        </is>
      </c>
      <c r="D7" s="17" t="inlineStr">
        <is>
          <t>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E7" s="24" t="n">
        <v>600</v>
      </c>
      <c r="F7" s="16" t="inlineStr"/>
      <c r="G7" s="16" t="inlineStr"/>
    </row>
    <row r="8">
      <c r="A8" s="12" t="inlineStr">
        <is>
          <t>ALTA</t>
        </is>
      </c>
      <c r="B8" s="12" t="inlineStr">
        <is>
          <t>Industrialização x retorno</t>
        </is>
      </c>
      <c r="C8" s="12" t="inlineStr">
        <is>
          <t>NF 8999/1 22/09 MIX COSMETICOS LTDA</t>
        </is>
      </c>
      <c r="D8" s="17" t="inlineStr">
        <is>
          <t>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E8" s="24" t="n">
        <v>948</v>
      </c>
      <c r="F8" s="16" t="inlineStr"/>
      <c r="G8" s="16" t="inlineStr"/>
    </row>
    <row r="9">
      <c r="A9" s="12" t="inlineStr">
        <is>
          <t>ALTA</t>
        </is>
      </c>
      <c r="B9" s="12" t="inlineStr">
        <is>
          <t>Industrialização x retorno</t>
        </is>
      </c>
      <c r="C9" s="12" t="inlineStr">
        <is>
          <t>NF 9000/1 22/09 MIX PERFUMARIA LTDA</t>
        </is>
      </c>
      <c r="D9" s="17" t="inlineStr">
        <is>
          <t>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E9" s="24" t="n">
        <v>556.5</v>
      </c>
      <c r="F9" s="16" t="inlineStr"/>
      <c r="G9" s="16" t="inlineStr"/>
    </row>
    <row r="10">
      <c r="A10" s="12" t="inlineStr">
        <is>
          <t>ALTA</t>
        </is>
      </c>
      <c r="B10" s="12" t="inlineStr">
        <is>
          <t>Industrialização x retorno</t>
        </is>
      </c>
      <c r="C10" s="12" t="inlineStr">
        <is>
          <t>NF 9020/1 29/09 MIX COSMETICOS LTDA</t>
        </is>
      </c>
      <c r="D10" s="17" t="inlineStr">
        <is>
          <t>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E10" s="24" t="n">
        <v>600</v>
      </c>
      <c r="F10" s="16" t="inlineStr"/>
      <c r="G10" s="16" t="inlineStr"/>
    </row>
    <row r="11">
      <c r="A11" s="12" t="inlineStr">
        <is>
          <t>ALTA</t>
        </is>
      </c>
      <c r="B11" s="12" t="inlineStr">
        <is>
          <t>Industrialização x retorno</t>
        </is>
      </c>
      <c r="C11" s="12" t="inlineStr">
        <is>
          <t>NF 9021/1 29/09 MIX PERFUMARIA LTDA</t>
        </is>
      </c>
      <c r="D11" s="17" t="inlineStr">
        <is>
          <t>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E11" s="24" t="n">
        <v>300</v>
      </c>
      <c r="F11" s="16" t="inlineStr"/>
      <c r="G11" s="16" t="inlineStr"/>
    </row>
    <row r="12">
      <c r="A12" s="18" t="inlineStr">
        <is>
          <t>MÉDIA</t>
        </is>
      </c>
      <c r="B12" s="18" t="inlineStr">
        <is>
          <t>CFOP revenda x produção</t>
        </is>
      </c>
      <c r="C12" s="18" t="inlineStr">
        <is>
          <t>NF 8967/1 11/09 GULA COSMETICOS LTDA</t>
        </is>
      </c>
      <c r="D12" s="19" t="inlineStr">
        <is>
          <t>1 item(ns) com CFOP 6102 (mercadoria de terceiros) e IPI destacado - produto fabricado pela COSMETICI sai com 5101/6101 (ou 5401 com ST). Conferir CFOP e natureza "VENDA DE MERCADORIAS"</t>
        </is>
      </c>
      <c r="E12" s="23" t="n">
        <v>370.33</v>
      </c>
      <c r="F12" s="16" t="inlineStr"/>
      <c r="G12" s="16" t="inlineStr"/>
    </row>
    <row r="13">
      <c r="A13" s="18" t="inlineStr">
        <is>
          <t>MÉDIA</t>
        </is>
      </c>
      <c r="B13" s="18" t="inlineStr">
        <is>
          <t>CFOP revenda x produção</t>
        </is>
      </c>
      <c r="C13" s="18" t="inlineStr">
        <is>
          <t>NF 8969/1 14/09 GULA COSMETICOS LTDA</t>
        </is>
      </c>
      <c r="D13" s="19" t="inlineStr">
        <is>
          <t>2 item(ns) com CFOP 5102 (mercadoria de terceiros) e IPI destacado - produto fabricado pela COSMETICI sai com 5101/6101 (ou 5401 com ST). Conferir CFOP e natureza "VENDA DE MERCADORIAS"</t>
        </is>
      </c>
      <c r="E13" s="23" t="n">
        <v>811.99</v>
      </c>
      <c r="F13" s="16" t="inlineStr"/>
      <c r="G13" s="16" t="inlineStr"/>
    </row>
    <row r="14">
      <c r="A14" s="18" t="inlineStr">
        <is>
          <t>MÉDIA</t>
        </is>
      </c>
      <c r="B14" s="18" t="inlineStr">
        <is>
          <t>CFOP revenda x produção</t>
        </is>
      </c>
      <c r="C14" s="18" t="inlineStr">
        <is>
          <t>NF 8978/1 16/09 GULA COSMETICOS LTDA</t>
        </is>
      </c>
      <c r="D14" s="19" t="inlineStr">
        <is>
          <t>9 item(ns) com CFOP 5102 (mercadoria de terceiros) e IPI destacado - produto fabricado pela COSMETICI sai com 5101/6101 (ou 5401 com ST). Conferir CFOP e natureza "VENDA DE MERCADORIAS"</t>
        </is>
      </c>
      <c r="E14" s="23" t="n">
        <v>1698.59</v>
      </c>
      <c r="F14" s="16" t="inlineStr"/>
      <c r="G14" s="16" t="inlineStr"/>
    </row>
    <row r="15">
      <c r="A15" s="18" t="inlineStr">
        <is>
          <t>MÉDIA</t>
        </is>
      </c>
      <c r="B15" s="18" t="inlineStr">
        <is>
          <t>CFOP revenda x produção</t>
        </is>
      </c>
      <c r="C15" s="18" t="inlineStr">
        <is>
          <t>NF 8980/1 17/09 GULA COSMETICOS LTDA</t>
        </is>
      </c>
      <c r="D15" s="19" t="inlineStr">
        <is>
          <t>19 item(ns) com CFOP 5102 (mercadoria de terceiros) e IPI destacado - produto fabricado pela COSMETICI sai com 5101/6101 (ou 5401 com ST). Conferir CFOP e natureza "VENDA DE MERCADORIAS"</t>
        </is>
      </c>
      <c r="E15" s="23" t="n">
        <v>11620.79</v>
      </c>
      <c r="F15" s="16" t="inlineStr"/>
      <c r="G15" s="16" t="inlineStr"/>
    </row>
    <row r="16">
      <c r="A16" s="18" t="inlineStr">
        <is>
          <t>MÉDIA</t>
        </is>
      </c>
      <c r="B16" s="18" t="inlineStr">
        <is>
          <t>CFOP revenda x produção</t>
        </is>
      </c>
      <c r="C16" s="18" t="inlineStr">
        <is>
          <t>NF 8981/1 17/09 GULA COSMETICOS LTDA</t>
        </is>
      </c>
      <c r="D16" s="19" t="inlineStr">
        <is>
          <t>1 item(ns) com CFOP 5102 (mercadoria de terceiros) e IPI destacado - produto fabricado pela COSMETICI sai com 5101/6101 (ou 5401 com ST). Conferir CFOP e natureza "VENDA DE MERCADORIAS"</t>
        </is>
      </c>
      <c r="E16" s="23" t="n">
        <v>1691.57</v>
      </c>
      <c r="F16" s="16" t="inlineStr"/>
      <c r="G16" s="16" t="inlineStr"/>
    </row>
    <row r="17">
      <c r="A17" s="18" t="inlineStr">
        <is>
          <t>MÉDIA</t>
        </is>
      </c>
      <c r="B17" s="18" t="inlineStr">
        <is>
          <t>CFOP revenda x produção</t>
        </is>
      </c>
      <c r="C17" s="18" t="inlineStr">
        <is>
          <t>NF 8982/1 18/09 GULA COSMETICOS LTDA</t>
        </is>
      </c>
      <c r="D17" s="19" t="inlineStr">
        <is>
          <t>1 item(ns) com CFOP 5102 (mercadoria de terceiros) e IPI destacado - produto fabricado pela COSMETICI sai com 5101/6101 (ou 5401 com ST). Conferir CFOP e natureza "VENDA DE MERCADORIAS"</t>
        </is>
      </c>
      <c r="E17" s="23" t="n">
        <v>6901.45</v>
      </c>
      <c r="F17" s="16" t="inlineStr"/>
      <c r="G17" s="16" t="inlineStr"/>
    </row>
    <row r="18">
      <c r="A18" s="18" t="inlineStr">
        <is>
          <t>MÉDIA</t>
        </is>
      </c>
      <c r="B18" s="18" t="inlineStr">
        <is>
          <t>CFOP revenda x produção</t>
        </is>
      </c>
      <c r="C18" s="18" t="inlineStr">
        <is>
          <t>NF 9003/1 23/09 GULA COSMETICOS LTDA</t>
        </is>
      </c>
      <c r="D18" s="19" t="inlineStr">
        <is>
          <t>4 item(ns) com CFOP 5102 (mercadoria de terceiros) e IPI destacado - produto fabricado pela COSMETICI sai com 5101/6101 (ou 5401 com ST). Conferir CFOP e natureza "VENDA DE MERCADORIAS"</t>
        </is>
      </c>
      <c r="E18" s="23" t="n">
        <v>156.77</v>
      </c>
      <c r="F18" s="16" t="inlineStr"/>
      <c r="G18" s="16" t="inlineStr"/>
    </row>
    <row r="19">
      <c r="A19" s="18" t="inlineStr">
        <is>
          <t>MÉDIA</t>
        </is>
      </c>
      <c r="B19" s="18" t="inlineStr">
        <is>
          <t>CFOP revenda x produção</t>
        </is>
      </c>
      <c r="C19" s="18" t="inlineStr">
        <is>
          <t>NF 9006/1 23/09 GULA COSMETICOS LTDA</t>
        </is>
      </c>
      <c r="D19" s="19" t="inlineStr">
        <is>
          <t>1 item(ns) com CFOP 5102 (mercadoria de terceiros) e IPI destacado - produto fabricado pela COSMETICI sai com 5101/6101 (ou 5401 com ST). Conferir CFOP e natureza "VENDA DE MERCADORIAS"</t>
        </is>
      </c>
      <c r="E19" s="23" t="n">
        <v>302.73</v>
      </c>
      <c r="F19" s="16" t="inlineStr"/>
      <c r="G19" s="16" t="inlineStr"/>
    </row>
    <row r="20">
      <c r="A20" s="18" t="inlineStr">
        <is>
          <t>MÉDIA</t>
        </is>
      </c>
      <c r="B20" s="18" t="inlineStr">
        <is>
          <t>CFOP revenda x produção</t>
        </is>
      </c>
      <c r="C20" s="18" t="inlineStr">
        <is>
          <t>NF 9009/1 23/09 GULA COSMETICOS LTDA</t>
        </is>
      </c>
      <c r="D20" s="19" t="inlineStr">
        <is>
          <t>5 item(ns) com CFOP 5102 (mercadoria de terceiros) e IPI destacado - produto fabricado pela COSMETICI sai com 5101/6101 (ou 5401 com ST). Conferir CFOP e natureza "VENDA DE MERCADORIAS"</t>
        </is>
      </c>
      <c r="E20" s="23" t="n">
        <v>1529.47</v>
      </c>
      <c r="F20" s="16" t="inlineStr"/>
      <c r="G20" s="16" t="inlineStr"/>
    </row>
    <row r="21">
      <c r="A21" s="18" t="inlineStr">
        <is>
          <t>MÉDIA</t>
        </is>
      </c>
      <c r="B21" s="18" t="inlineStr">
        <is>
          <t>CFOP revenda x produção</t>
        </is>
      </c>
      <c r="C21" s="18" t="inlineStr">
        <is>
          <t>NF 9013/1 28/09 GULA COSMETICOS LTDA</t>
        </is>
      </c>
      <c r="D21" s="19" t="inlineStr">
        <is>
          <t>2 item(ns) com CFOP 5102 (mercadoria de terceiros) e IPI destacado - produto fabricado pela COSMETICI sai com 5101/6101 (ou 5401 com ST). Conferir CFOP e natureza "VENDA DE MERCADORIAS"</t>
        </is>
      </c>
      <c r="E21" s="23" t="n">
        <v>618.45</v>
      </c>
      <c r="F21" s="16" t="inlineStr"/>
      <c r="G21" s="16" t="inlineStr"/>
    </row>
    <row r="22">
      <c r="A22" s="18" t="inlineStr">
        <is>
          <t>MÉDIA</t>
        </is>
      </c>
      <c r="B22" s="18" t="inlineStr">
        <is>
          <t>CFOP revenda x produção</t>
        </is>
      </c>
      <c r="C22" s="18" t="inlineStr">
        <is>
          <t>NF 9014/1 28/09 GULA COSMETICOS LTDA</t>
        </is>
      </c>
      <c r="D22" s="19" t="inlineStr">
        <is>
          <t>1 item(ns) com CFOP 5102 (mercadoria de terceiros) e IPI destacado - produto fabricado pela COSMETICI sai com 5101/6101 (ou 5401 com ST). Conferir CFOP e natureza "VENDA DE MERCADORIAS"</t>
        </is>
      </c>
      <c r="E22" s="23" t="n">
        <v>148.13</v>
      </c>
      <c r="F22" s="16" t="inlineStr"/>
      <c r="G22" s="16" t="inlineStr"/>
    </row>
    <row r="23">
      <c r="A23" s="18" t="inlineStr">
        <is>
          <t>MÉDIA</t>
        </is>
      </c>
      <c r="B23" s="18" t="inlineStr">
        <is>
          <t>CFOP revenda x produção</t>
        </is>
      </c>
      <c r="C23" s="18" t="inlineStr">
        <is>
          <t>NF 9018/1 29/09 GULA COSMETICOS LTDA</t>
        </is>
      </c>
      <c r="D23" s="19" t="inlineStr">
        <is>
          <t>1 item(ns) com CFOP 5102 (mercadoria de terceiros) e IPI destacado - produto fabricado pela COSMETICI sai com 5101/6101 (ou 5401 com ST). Conferir CFOP e natureza "VENDA DE MERCADORIAS"</t>
        </is>
      </c>
      <c r="E23" s="23" t="n">
        <v>139.49</v>
      </c>
      <c r="F23" s="16" t="inlineStr"/>
      <c r="G23" s="16" t="inlineStr"/>
    </row>
    <row r="24">
      <c r="A24" s="18" t="inlineStr">
        <is>
          <t>MÉDIA</t>
        </is>
      </c>
      <c r="B24" s="18" t="inlineStr">
        <is>
          <t>CFOP revenda x produção</t>
        </is>
      </c>
      <c r="C24" s="18" t="inlineStr">
        <is>
          <t>NF 9019/1 29/09 GULA COSMETICOS LTDA</t>
        </is>
      </c>
      <c r="D24" s="19" t="inlineStr">
        <is>
          <t>41 item(ns) com CFOP 5102 (mercadoria de terceiros) e IPI destacado - produto fabricado pela COSMETICI sai com 5101/6101 (ou 5401 com ST). Conferir CFOP e natureza "VENDA DE MERCADORIAS"</t>
        </is>
      </c>
      <c r="E24" s="23" t="n">
        <v>6020.39</v>
      </c>
      <c r="F24" s="16" t="inlineStr"/>
      <c r="G24" s="16" t="inlineStr"/>
    </row>
    <row r="25">
      <c r="A25" s="18" t="inlineStr">
        <is>
          <t>MÉDIA</t>
        </is>
      </c>
      <c r="B25" s="18" t="inlineStr">
        <is>
          <t>CT-e sem crédito</t>
        </is>
      </c>
      <c r="C25" s="18" t="inlineStr">
        <is>
          <t>CT-e 5597996 CAXIAS DO SUL - EXPRESSO SAO MIGUEL S/A</t>
        </is>
      </c>
      <c r="D25" s="19" t="inlineStr">
        <is>
          <t>Frete de compra de outras: sem crédito - o crédito do frete segue a mercadoria (uso e consumo/outras não creditam - LC 87/96 art. 33, I). ICMS R$ 36.18 não aproveitado</t>
        </is>
      </c>
      <c r="E25" s="23" t="n">
        <v>36.18</v>
      </c>
      <c r="F25" s="16" t="inlineStr"/>
      <c r="G25" s="16" t="inlineStr"/>
    </row>
    <row r="26">
      <c r="A26" s="18" t="inlineStr">
        <is>
          <t>MÉDIA</t>
        </is>
      </c>
      <c r="B26" s="18" t="inlineStr">
        <is>
          <t>Diferimento 5124</t>
        </is>
      </c>
      <c r="C26" s="18" t="inlineStr">
        <is>
          <t>NF 8939/1 02/09 CANDIDO COMERCIO DE COSMETICOS - EIRELI</t>
        </is>
      </c>
      <c r="D26" s="19" t="inlineStr">
        <is>
          <t>5124 para PR com CST 00 (ICMS R$ 108.44) enquanto 35 itens 5124 do mês saíram com diferimento (CST 51). Conferir se o diferimento se aplica a este cliente</t>
        </is>
      </c>
      <c r="E26" s="23" t="n">
        <v>108.44</v>
      </c>
      <c r="F26" s="16" t="inlineStr"/>
      <c r="G26" s="16" t="inlineStr"/>
    </row>
    <row r="27">
      <c r="A27" s="18" t="inlineStr">
        <is>
          <t>MÉDIA</t>
        </is>
      </c>
      <c r="B27" s="18" t="inlineStr">
        <is>
          <t>Fornecedor sem histórico</t>
        </is>
      </c>
      <c r="C27" s="18" t="inlineStr">
        <is>
          <t>ALTEC IND.COM.IMP.E EXP.LTDA. (67598292000187)</t>
        </is>
      </c>
      <c r="D27" s="19" t="inlineStr">
        <is>
          <t>Natureza definida pelo NCM (sem histórico no SPED) - confirmar insumo (1101/2101) x uso e consumo (1556/2556)</t>
        </is>
      </c>
      <c r="E27" s="23" t="n"/>
      <c r="F27" s="16" t="inlineStr"/>
      <c r="G27" s="16" t="inlineStr"/>
    </row>
    <row r="28">
      <c r="A28" s="18" t="inlineStr">
        <is>
          <t>MÉDIA</t>
        </is>
      </c>
      <c r="B28" s="18" t="inlineStr">
        <is>
          <t>Fornecedor sem histórico</t>
        </is>
      </c>
      <c r="C28" s="18" t="inlineStr">
        <is>
          <t>BISPHARMA EMBALAGENS LTDA (59610485000188)</t>
        </is>
      </c>
      <c r="D28" s="19" t="inlineStr">
        <is>
          <t>Natureza definida pelo NCM (sem histórico no SPED) - confirmar insumo (1101/2101) x uso e consumo (1556/2556)</t>
        </is>
      </c>
      <c r="E28" s="23" t="n"/>
      <c r="F28" s="16" t="inlineStr"/>
      <c r="G28" s="16" t="inlineStr"/>
    </row>
    <row r="29">
      <c r="A29" s="18" t="inlineStr">
        <is>
          <t>MÉDIA</t>
        </is>
      </c>
      <c r="B29" s="18" t="inlineStr">
        <is>
          <t>Fornecedor sem histórico</t>
        </is>
      </c>
      <c r="C29" s="18" t="inlineStr">
        <is>
          <t>CHEMYUNION LTDA (58309709000820)</t>
        </is>
      </c>
      <c r="D29" s="19" t="inlineStr">
        <is>
          <t>Natureza definida pelo NCM (sem histórico no SPED) - confirmar insumo (1101/2101) x uso e consumo (1556/2556)</t>
        </is>
      </c>
      <c r="E29" s="23" t="n"/>
      <c r="F29" s="16" t="inlineStr"/>
      <c r="G29" s="16" t="inlineStr"/>
    </row>
    <row r="30">
      <c r="A30" s="18" t="inlineStr">
        <is>
          <t>MÉDIA</t>
        </is>
      </c>
      <c r="B30" s="18" t="inlineStr">
        <is>
          <t>Fornecedor sem histórico</t>
        </is>
      </c>
      <c r="C30" s="18" t="inlineStr">
        <is>
          <t>DISTRIBUIDORA INDUSTRIAL PARANAENSE LTDA (04993269000177)</t>
        </is>
      </c>
      <c r="D30" s="19" t="inlineStr">
        <is>
          <t>Natureza definida pelo NCM (sem histórico no SPED) - confirmar insumo (1101/2101) x uso e consumo (1556/2556)</t>
        </is>
      </c>
      <c r="E30" s="23" t="n"/>
      <c r="F30" s="16" t="inlineStr"/>
      <c r="G30" s="16" t="inlineStr"/>
    </row>
    <row r="31">
      <c r="A31" s="18" t="inlineStr">
        <is>
          <t>MÉDIA</t>
        </is>
      </c>
      <c r="B31" s="18" t="inlineStr">
        <is>
          <t>Fornecedor sem histórico</t>
        </is>
      </c>
      <c r="C31" s="18" t="inlineStr">
        <is>
          <t>ELLOLIMP COMERCIO DE PRODUTOS DE HIGIENE E LIMPEZA LTDA (49547438000183)</t>
        </is>
      </c>
      <c r="D31" s="19" t="inlineStr">
        <is>
          <t>Natureza definida pelo NCM (sem histórico no SPED) - confirmar insumo (1101/2101) x uso e consumo (1556/2556)</t>
        </is>
      </c>
      <c r="E31" s="23" t="n"/>
      <c r="F31" s="16" t="inlineStr"/>
      <c r="G31" s="16" t="inlineStr"/>
    </row>
    <row r="32">
      <c r="A32" s="18" t="inlineStr">
        <is>
          <t>MÉDIA</t>
        </is>
      </c>
      <c r="B32" s="18" t="inlineStr">
        <is>
          <t>Fornecedor sem histórico</t>
        </is>
      </c>
      <c r="C32" s="18" t="inlineStr">
        <is>
          <t>HS INKLASER LTDA (18858535000163)</t>
        </is>
      </c>
      <c r="D32" s="19" t="inlineStr">
        <is>
          <t>Natureza definida pelo NCM (sem histórico no SPED) - confirmar insumo (1101/2101) x uso e consumo (1556/2556)</t>
        </is>
      </c>
      <c r="E32" s="23" t="n"/>
      <c r="F32" s="16" t="inlineStr"/>
      <c r="G32" s="16" t="inlineStr"/>
    </row>
    <row r="33">
      <c r="A33" s="18" t="inlineStr">
        <is>
          <t>MÉDIA</t>
        </is>
      </c>
      <c r="B33" s="18" t="inlineStr">
        <is>
          <t>Fornecedor sem histórico</t>
        </is>
      </c>
      <c r="C33" s="18" t="inlineStr">
        <is>
          <t>Lunaflexo Tecnologia Adesiva Eireli (06015875000143)</t>
        </is>
      </c>
      <c r="D33" s="19" t="inlineStr">
        <is>
          <t>Natureza definida pelo NCM (sem histórico no SPED) - confirmar insumo (1101/2101) x uso e consumo (1556/2556)</t>
        </is>
      </c>
      <c r="E33" s="23" t="n"/>
      <c r="F33" s="16" t="inlineStr"/>
      <c r="G33" s="16" t="inlineStr"/>
    </row>
    <row r="34">
      <c r="A34" s="18" t="inlineStr">
        <is>
          <t>MÉDIA</t>
        </is>
      </c>
      <c r="B34" s="18" t="inlineStr">
        <is>
          <t>Fornecedor sem histórico</t>
        </is>
      </c>
      <c r="C34" s="18" t="inlineStr">
        <is>
          <t>MCASSAB COMERCIO E INDUSTRIA LTDA (49698723003110)</t>
        </is>
      </c>
      <c r="D34" s="19" t="inlineStr">
        <is>
          <t>Natureza definida pelo NCM (sem histórico no SPED) - confirmar insumo (1101/2101) x uso e consumo (1556/2556)</t>
        </is>
      </c>
      <c r="E34" s="23" t="n"/>
      <c r="F34" s="16" t="inlineStr"/>
      <c r="G34" s="16" t="inlineStr"/>
    </row>
    <row r="35">
      <c r="A35" s="18" t="inlineStr">
        <is>
          <t>MÉDIA</t>
        </is>
      </c>
      <c r="B35" s="18" t="inlineStr">
        <is>
          <t>Fornecedor sem histórico</t>
        </is>
      </c>
      <c r="C35" s="18" t="inlineStr">
        <is>
          <t>NewProv - Produtos para Laboratório Ltda (73636391000109)</t>
        </is>
      </c>
      <c r="D35" s="19" t="inlineStr">
        <is>
          <t>Natureza definida pelo NCM (sem histórico no SPED) - confirmar insumo (1101/2101) x uso e consumo (1556/2556)</t>
        </is>
      </c>
      <c r="E35" s="23" t="n"/>
      <c r="F35" s="16" t="inlineStr"/>
      <c r="G35" s="16" t="inlineStr"/>
    </row>
    <row r="36">
      <c r="A36" s="18" t="inlineStr">
        <is>
          <t>MÉDIA</t>
        </is>
      </c>
      <c r="B36" s="18" t="inlineStr">
        <is>
          <t>Fornecedor sem histórico</t>
        </is>
      </c>
      <c r="C36" s="18" t="inlineStr">
        <is>
          <t>PROVITAL DO BRASIL COM. DE INSUMOS PARA COSMETICOS LTDA (11340087000162)</t>
        </is>
      </c>
      <c r="D36" s="19" t="inlineStr">
        <is>
          <t>Natureza definida pelo NCM (sem histórico no SPED) - confirmar insumo (1101/2101) x uso e consumo (1556/2556)</t>
        </is>
      </c>
      <c r="E36" s="23" t="n"/>
      <c r="F36" s="16" t="inlineStr"/>
      <c r="G36" s="16" t="inlineStr"/>
    </row>
    <row r="37">
      <c r="A37" s="18" t="inlineStr">
        <is>
          <t>MÉDIA</t>
        </is>
      </c>
      <c r="B37" s="18" t="inlineStr">
        <is>
          <t>Fornecedor sem histórico</t>
        </is>
      </c>
      <c r="C37" s="18" t="inlineStr">
        <is>
          <t>SCENTEC ESSENCIAS E FRAGRANCIAS LTDA (62514971000107)</t>
        </is>
      </c>
      <c r="D37" s="19" t="inlineStr">
        <is>
          <t>Natureza definida pelo NCM (sem histórico no SPED) - confirmar insumo (1101/2101) x uso e consumo (1556/2556)</t>
        </is>
      </c>
      <c r="E37" s="23" t="n"/>
      <c r="F37" s="16" t="inlineStr"/>
      <c r="G37" s="16" t="inlineStr"/>
    </row>
    <row r="38">
      <c r="A38" s="18" t="inlineStr">
        <is>
          <t>MÉDIA</t>
        </is>
      </c>
      <c r="B38" s="18" t="inlineStr">
        <is>
          <t>Industrialização sem insumo</t>
        </is>
      </c>
      <c r="C38" s="18" t="inlineStr">
        <is>
          <t>NF 8939/1 02/09 CANDIDO COMERCIO DE COSMETICOS - EIRELI</t>
        </is>
      </c>
      <c r="D38" s="19" t="inlineStr">
        <is>
          <t>CFOP 5124 sem nota de remessa citada, sem retorno 5902/6902 e sem remessa recebida do cliente no mês. Confirmar o insumo enviado pelo encomendante; se não houve, é venda (5101/6101): PIS/COFINS monofásico 2,2%/10,3% em vez de 0,65%/3% (diferença ~R$ 39.61) e IPI tributado</t>
        </is>
      </c>
      <c r="E38" s="23" t="n">
        <v>556.05</v>
      </c>
      <c r="F38" s="16" t="inlineStr"/>
      <c r="G38" s="16" t="inlineStr"/>
    </row>
    <row r="39">
      <c r="A39" s="18" t="inlineStr">
        <is>
          <t>MÉDIA</t>
        </is>
      </c>
      <c r="B39" s="18" t="inlineStr">
        <is>
          <t>Industrialização sem insumo</t>
        </is>
      </c>
      <c r="C39" s="18" t="inlineStr">
        <is>
          <t>NF 8979/1 17/09 BARBARA KAROLAINY DE SOUZA SILVA</t>
        </is>
      </c>
      <c r="D39" s="19" t="inlineStr">
        <is>
          <t>CFOP 6124 sem nota de remessa citada, sem retorno 5902/6902 e sem remessa recebida do cliente no mês. Confirmar o insumo enviado pelo encomendante; se não houve, é venda (5101/6101): PIS/COFINS monofásico 2,2%/10,3% em vez de 0,65%/3% (diferença ~R$ 337.29) e IPI tributado</t>
        </is>
      </c>
      <c r="E39" s="23" t="n">
        <v>4098</v>
      </c>
      <c r="F39" s="16" t="inlineStr"/>
      <c r="G39" s="16" t="inlineStr"/>
    </row>
    <row r="40">
      <c r="A40" s="18" t="inlineStr">
        <is>
          <t>MÉDIA</t>
        </is>
      </c>
      <c r="B40" s="18" t="inlineStr">
        <is>
          <t>NFS-e retenções</t>
        </is>
      </c>
      <c r="C40" s="18" t="inlineStr">
        <is>
          <t>NFS-e 18 01/09/2026 GENESIS ALIANCA</t>
        </is>
      </c>
      <c r="D40" s="19" t="inlineStr">
        <is>
          <t>Serviço 0401 (medicina) de R$ 728.14, prestador fora do Simples: reter IRRF 1.5% R$ 10.92 + PIS/COFINS/CSLL 4,65% R$ 33.86 = R$ 44.78; descontado na nota R$ 10.92 (diferença R$ 33.86). Conferir pagamento e DARF 1708/5952</t>
        </is>
      </c>
      <c r="E40" s="23" t="n">
        <v>33.86</v>
      </c>
      <c r="F40" s="16" t="inlineStr"/>
      <c r="G40" s="16" t="inlineStr"/>
    </row>
    <row r="41">
      <c r="A41" s="5" t="inlineStr">
        <is>
          <t>BAIXA</t>
        </is>
      </c>
      <c r="B41" s="5" t="inlineStr">
        <is>
          <t>Carta de correção</t>
        </is>
      </c>
      <c r="C41" s="5" t="inlineStr">
        <is>
          <t>NF 786/1 02/09 YAHWEH PRINT BRASIL LTDA</t>
        </is>
      </c>
      <c r="D41" s="20" t="inlineStr">
        <is>
          <t>VOLUMES: 4 CAIXAS</t>
        </is>
      </c>
      <c r="E41" s="6" t="n"/>
      <c r="F41" s="16" t="inlineStr"/>
      <c r="G41" s="16" t="inlineStr"/>
    </row>
    <row r="42">
      <c r="A42" s="5" t="inlineStr">
        <is>
          <t>BAIXA</t>
        </is>
      </c>
      <c r="B42" s="5" t="inlineStr">
        <is>
          <t>Carta de correção</t>
        </is>
      </c>
      <c r="C42" s="5" t="inlineStr">
        <is>
          <t>NF 786/1 02/09 YAHWEH PRINT BRASIL LTDA</t>
        </is>
      </c>
      <c r="D42" s="20" t="inlineStr"/>
      <c r="E42" s="6" t="n"/>
      <c r="F42" s="16" t="inlineStr"/>
      <c r="G42" s="16" t="inlineStr"/>
    </row>
    <row r="43">
      <c r="A43" s="5" t="inlineStr">
        <is>
          <t>BAIXA</t>
        </is>
      </c>
      <c r="B43" s="5" t="inlineStr">
        <is>
          <t>Carta de correção</t>
        </is>
      </c>
      <c r="C43" s="5" t="inlineStr">
        <is>
          <t>NF 8992/1 21/09 MIX PERFUMARIA LTDA</t>
        </is>
      </c>
      <c r="D43" s="20" t="inlineStr">
        <is>
          <t>INDUSTRIALIZACAO EFETUADA COM INSUMOS ENVIADOS NAS NFs 55874 de 21-09-2026</t>
        </is>
      </c>
      <c r="E43" s="6" t="n"/>
      <c r="F43" s="16" t="inlineStr"/>
      <c r="G43" s="16" t="inlineStr"/>
    </row>
    <row r="44">
      <c r="A44" s="5" t="inlineStr">
        <is>
          <t>BAIXA</t>
        </is>
      </c>
      <c r="B44" s="5" t="inlineStr">
        <is>
          <t>Carta de correção</t>
        </is>
      </c>
      <c r="C44" s="5" t="inlineStr">
        <is>
          <t>NF 8992/1 21/09 MIX PERFUMARIA LTDA</t>
        </is>
      </c>
      <c r="D44" s="20" t="inlineStr"/>
      <c r="E44" s="6" t="n"/>
      <c r="F44" s="16" t="inlineStr"/>
      <c r="G44" s="16" t="inlineStr"/>
    </row>
    <row r="45">
      <c r="A45" s="5" t="inlineStr">
        <is>
          <t>BAIXA</t>
        </is>
      </c>
      <c r="B45" s="5" t="inlineStr">
        <is>
          <t>Carta de correção</t>
        </is>
      </c>
      <c r="C45" s="5" t="inlineStr">
        <is>
          <t>NF 8993/1 21/09 MIX PERFUMARIA LTDA</t>
        </is>
      </c>
      <c r="D45" s="20" t="inlineStr">
        <is>
          <t>RETORNO SIMBOLICO DOS INSUMOS ENVIADOS NA NFE: 55874; INDUSTRIALIZACAO EFETUADA NA NFE 8992</t>
        </is>
      </c>
      <c r="E45" s="6" t="n"/>
      <c r="F45" s="16" t="inlineStr"/>
      <c r="G45" s="16" t="inlineStr"/>
    </row>
    <row r="46">
      <c r="A46" s="5" t="inlineStr">
        <is>
          <t>BAIXA</t>
        </is>
      </c>
      <c r="B46" s="5" t="inlineStr">
        <is>
          <t>Carta de correção</t>
        </is>
      </c>
      <c r="C46" s="5" t="inlineStr">
        <is>
          <t>NF 8993/1 21/09 MIX PERFUMARIA LTDA</t>
        </is>
      </c>
      <c r="D46" s="20" t="inlineStr"/>
      <c r="E46" s="6" t="n"/>
      <c r="F46" s="16" t="inlineStr"/>
      <c r="G46" s="16" t="inlineStr"/>
    </row>
    <row r="47">
      <c r="A47" s="5" t="inlineStr">
        <is>
          <t>BAIXA</t>
        </is>
      </c>
      <c r="B47" s="5" t="inlineStr">
        <is>
          <t>Carta de correção</t>
        </is>
      </c>
      <c r="C47" s="5" t="inlineStr">
        <is>
          <t>NF 9001/1 22/09 MIX PERFUMARIA LTDA</t>
        </is>
      </c>
      <c r="D47" s="20" t="inlineStr">
        <is>
          <t>INSDUSTRIALIZACAO EFETUADA COM INSUMOS ENVIADOS NA NFE 55913 de 23-09-2026</t>
        </is>
      </c>
      <c r="E47" s="6" t="n"/>
      <c r="F47" s="16" t="inlineStr"/>
      <c r="G47" s="16" t="inlineStr"/>
    </row>
    <row r="48">
      <c r="A48" s="5" t="inlineStr">
        <is>
          <t>BAIXA</t>
        </is>
      </c>
      <c r="B48" s="5" t="inlineStr">
        <is>
          <t>Carta de correção</t>
        </is>
      </c>
      <c r="C48" s="5" t="inlineStr">
        <is>
          <t>NF 9001/1 22/09 MIX PERFUMARIA LTDA</t>
        </is>
      </c>
      <c r="D48" s="20" t="inlineStr"/>
      <c r="E48" s="6" t="n"/>
      <c r="F48" s="16" t="inlineStr"/>
      <c r="G48" s="16" t="inlineStr"/>
    </row>
    <row r="49">
      <c r="A49" s="5" t="inlineStr">
        <is>
          <t>BAIXA</t>
        </is>
      </c>
      <c r="B49" s="5" t="inlineStr">
        <is>
          <t>Carta de correção</t>
        </is>
      </c>
      <c r="C49" s="5" t="inlineStr">
        <is>
          <t>NF 9002/1 22/09 MIX PERFUMARIA LTDA</t>
        </is>
      </c>
      <c r="D49" s="20" t="inlineStr">
        <is>
          <t>RETORNO SIMBOLICO DOS INSUMOS ENVIADOS NA NFE 55913 DE 23-09-26 ; INDUSTRIALIZACAO EFETUADA NA NFE 9001</t>
        </is>
      </c>
      <c r="E49" s="6" t="n"/>
      <c r="F49" s="16" t="inlineStr"/>
      <c r="G49" s="16" t="inlineStr"/>
    </row>
    <row r="50">
      <c r="A50" s="5" t="inlineStr">
        <is>
          <t>BAIXA</t>
        </is>
      </c>
      <c r="B50" s="5" t="inlineStr">
        <is>
          <t>Carta de correção</t>
        </is>
      </c>
      <c r="C50" s="5" t="inlineStr">
        <is>
          <t>NF 9002/1 22/09 MIX PERFUMARIA LTDA</t>
        </is>
      </c>
      <c r="D50" s="20" t="inlineStr"/>
      <c r="E50" s="6" t="n"/>
      <c r="F50" s="16" t="inlineStr"/>
      <c r="G50" s="16" t="inlineStr"/>
    </row>
    <row r="51">
      <c r="A51" s="5" t="inlineStr">
        <is>
          <t>BAIXA</t>
        </is>
      </c>
      <c r="B51" s="5" t="inlineStr">
        <is>
          <t>Carta de correção</t>
        </is>
      </c>
      <c r="C51" s="5" t="inlineStr">
        <is>
          <t>NF 9004/1 23/09 MIX COSMETICOS LTDA</t>
        </is>
      </c>
      <c r="D51" s="20" t="inlineStr">
        <is>
          <t>INSDUSTRIALIZACAO EFETUADA COM INSUMOS ENVIADOS NA NFE 14838 de 23-09-2026|</t>
        </is>
      </c>
      <c r="E51" s="6" t="n"/>
      <c r="F51" s="16" t="inlineStr"/>
      <c r="G51" s="16" t="inlineStr"/>
    </row>
    <row r="52">
      <c r="A52" s="5" t="inlineStr">
        <is>
          <t>BAIXA</t>
        </is>
      </c>
      <c r="B52" s="5" t="inlineStr">
        <is>
          <t>Carta de correção</t>
        </is>
      </c>
      <c r="C52" s="5" t="inlineStr">
        <is>
          <t>NF 9004/1 23/09 MIX COSMETICOS LTDA</t>
        </is>
      </c>
      <c r="D52" s="20" t="inlineStr"/>
      <c r="E52" s="6" t="n"/>
      <c r="F52" s="16" t="inlineStr"/>
      <c r="G52" s="16" t="inlineStr"/>
    </row>
    <row r="53">
      <c r="A53" s="5" t="inlineStr">
        <is>
          <t>BAIXA</t>
        </is>
      </c>
      <c r="B53" s="5" t="inlineStr">
        <is>
          <t>Carta de correção</t>
        </is>
      </c>
      <c r="C53" s="5" t="inlineStr">
        <is>
          <t>NF 9005/1 23/09 MIX COSMETICOS LTDA</t>
        </is>
      </c>
      <c r="D53" s="20" t="inlineStr">
        <is>
          <t>RETORNO SIMBOLICO DOS INSUMOS ENVIADOS NA NFE 14838 DE 23-09-26 ; INDUSTRIALIZACAO EFETUADA NA NFE 9004|</t>
        </is>
      </c>
      <c r="E53" s="6" t="n"/>
      <c r="F53" s="16" t="inlineStr"/>
      <c r="G53" s="16" t="inlineStr"/>
    </row>
    <row r="54">
      <c r="A54" s="5" t="inlineStr">
        <is>
          <t>BAIXA</t>
        </is>
      </c>
      <c r="B54" s="5" t="inlineStr">
        <is>
          <t>Carta de correção</t>
        </is>
      </c>
      <c r="C54" s="5" t="inlineStr">
        <is>
          <t>NF 9005/1 23/09 MIX COSMETICOS LTDA</t>
        </is>
      </c>
      <c r="D54" s="20" t="inlineStr"/>
      <c r="E54" s="6" t="n"/>
      <c r="F54" s="16" t="inlineStr"/>
      <c r="G54" s="16" t="inlineStr"/>
    </row>
    <row r="55">
      <c r="A55" s="5" t="inlineStr">
        <is>
          <t>BAIXA</t>
        </is>
      </c>
      <c r="B55" s="5" t="inlineStr">
        <is>
          <t>Carta de correção</t>
        </is>
      </c>
      <c r="C55" s="5" t="inlineStr">
        <is>
          <t>NF 9016/1 28/09 LUAN PATRICK LORANDI 02301366057</t>
        </is>
      </c>
      <c r="D55" s="20" t="inlineStr">
        <is>
          <t>PESO BRUTO: 300,000</t>
        </is>
      </c>
      <c r="E55" s="6" t="n"/>
      <c r="F55" s="16" t="inlineStr"/>
      <c r="G55" s="16" t="inlineStr"/>
    </row>
    <row r="56">
      <c r="A56" s="5" t="inlineStr">
        <is>
          <t>BAIXA</t>
        </is>
      </c>
      <c r="B56" s="5" t="inlineStr">
        <is>
          <t>Carta de correção</t>
        </is>
      </c>
      <c r="C56" s="5" t="inlineStr">
        <is>
          <t>NF 9016/1 28/09 LUAN PATRICK LORANDI 02301366057</t>
        </is>
      </c>
      <c r="D56" s="20" t="inlineStr"/>
      <c r="E56" s="6" t="n"/>
      <c r="F56" s="16" t="inlineStr"/>
      <c r="G56" s="16" t="inlineStr"/>
    </row>
    <row r="57">
      <c r="A57" s="5" t="inlineStr">
        <is>
          <t>BAIXA</t>
        </is>
      </c>
      <c r="B57" s="5" t="inlineStr">
        <is>
          <t>Carta de correção</t>
        </is>
      </c>
      <c r="C57" s="5" t="inlineStr">
        <is>
          <t>NF 9031/1 30/09 BB COSMETICOS - EIRELI</t>
        </is>
      </c>
      <c r="D57" s="20" t="inlineStr">
        <is>
          <t>QUANTIDADE CORRETA DE VOLUMES - 5 VOLUMES</t>
        </is>
      </c>
      <c r="E57" s="6" t="n"/>
      <c r="F57" s="16" t="inlineStr"/>
      <c r="G57" s="16" t="inlineStr"/>
    </row>
    <row r="58">
      <c r="A58" s="5" t="inlineStr">
        <is>
          <t>BAIXA</t>
        </is>
      </c>
      <c r="B58" s="5" t="inlineStr">
        <is>
          <t>Carta de correção</t>
        </is>
      </c>
      <c r="C58" s="5" t="inlineStr">
        <is>
          <t>NF 9031/1 30/09 BB COSMETICOS - EIRELI</t>
        </is>
      </c>
      <c r="D58" s="20" t="inlineStr"/>
      <c r="E58" s="6" t="n"/>
      <c r="F58" s="16" t="inlineStr"/>
      <c r="G58" s="16" t="inlineStr"/>
    </row>
    <row r="59">
      <c r="A59" s="5" t="inlineStr">
        <is>
          <t>BAIXA</t>
        </is>
      </c>
      <c r="B59" s="5" t="inlineStr">
        <is>
          <t>Carta de correção</t>
        </is>
      </c>
      <c r="C59" s="5" t="inlineStr">
        <is>
          <t>NF 9035/1 30/09 NUTRABELLA COMERCIAL DE COSMETICOS LTDA</t>
        </is>
      </c>
      <c r="D59" s="20" t="inlineStr">
        <is>
          <t>Entregar:|Rua fl 9 qd 16 lt 01 casa 02, parque das flores |Cep: 74595-261|Goiania - go</t>
        </is>
      </c>
      <c r="E59" s="6" t="n"/>
      <c r="F59" s="16" t="inlineStr"/>
      <c r="G59" s="16" t="inlineStr"/>
    </row>
    <row r="60">
      <c r="A60" s="5" t="inlineStr">
        <is>
          <t>BAIXA</t>
        </is>
      </c>
      <c r="B60" s="5" t="inlineStr">
        <is>
          <t>Carta de correção</t>
        </is>
      </c>
      <c r="C60" s="5" t="inlineStr">
        <is>
          <t>NF 9035/1 30/09 NUTRABELLA COMERCIAL DE COSMETICOS LTDA</t>
        </is>
      </c>
      <c r="D60" s="20" t="inlineStr"/>
      <c r="E60" s="6" t="n"/>
      <c r="F60" s="16" t="inlineStr"/>
      <c r="G60" s="16" t="inlineStr"/>
    </row>
    <row r="61">
      <c r="A61" s="5" t="inlineStr">
        <is>
          <t>BAIXA</t>
        </is>
      </c>
      <c r="B61" s="5" t="inlineStr">
        <is>
          <t>Grupo IPI</t>
        </is>
      </c>
      <c r="C61" s="5" t="inlineStr">
        <is>
          <t>NF 8939/1 02/09 CANDIDO COMERCIO DE COSMETICOS - EIRELI</t>
        </is>
      </c>
      <c r="D61" s="20" t="inlineStr">
        <is>
          <t>2 item(ns) de produto (CFOP 5124) sem grupo de IPI (CST) - conferir o cadastro do produto no ERP</t>
        </is>
      </c>
      <c r="E61" s="6" t="n"/>
      <c r="F61" s="16" t="inlineStr"/>
      <c r="G61" s="16" t="inlineStr"/>
    </row>
    <row r="62">
      <c r="A62" s="5" t="inlineStr">
        <is>
          <t>BAIXA</t>
        </is>
      </c>
      <c r="B62" s="5" t="inlineStr">
        <is>
          <t>Grupo IPI</t>
        </is>
      </c>
      <c r="C62" s="5" t="inlineStr">
        <is>
          <t>NF 8973/1 16/09 JORGE LEAO FERREIRA</t>
        </is>
      </c>
      <c r="D62" s="20" t="inlineStr">
        <is>
          <t>2 item(ns) de produto (CFOP 6124) sem grupo de IPI (CST) - conferir o cadastro do produto no ERP</t>
        </is>
      </c>
      <c r="E62" s="6" t="n"/>
      <c r="F62" s="16" t="inlineStr"/>
      <c r="G62" s="16" t="inlineStr"/>
    </row>
    <row r="63">
      <c r="A63" s="5" t="inlineStr">
        <is>
          <t>BAIXA</t>
        </is>
      </c>
      <c r="B63" s="5" t="inlineStr">
        <is>
          <t>Grupo IPI</t>
        </is>
      </c>
      <c r="C63" s="5" t="inlineStr">
        <is>
          <t>NF 8980/1 17/09 GULA COSMETICOS LTDA</t>
        </is>
      </c>
      <c r="D63" s="20" t="inlineStr">
        <is>
          <t>3 item(ns) de produto (CFOP 5102) sem grupo de IPI (CST) - conferir o cadastro do produto no ERP</t>
        </is>
      </c>
      <c r="E63" s="6" t="n"/>
      <c r="F63" s="16" t="inlineStr"/>
      <c r="G63" s="16" t="inlineStr"/>
    </row>
    <row r="64">
      <c r="A64" s="5" t="inlineStr">
        <is>
          <t>BAIXA</t>
        </is>
      </c>
      <c r="B64" s="5" t="inlineStr">
        <is>
          <t>Industrialização x retorno</t>
        </is>
      </c>
      <c r="C64" s="5" t="inlineStr">
        <is>
          <t>NF 9017/1 28/09 LUAN PATRICK LORANDI 02301366057</t>
        </is>
      </c>
      <c r="D64" s="20" t="inlineStr">
        <is>
          <t>Informações complementares citam a industrialização na NF 9015, que é de FABIANO RODRIGUES AMARAL (CFOP 6101); a do cliente é a NF 9016 - corrigir por CC-e</t>
        </is>
      </c>
      <c r="E64" s="6" t="n"/>
      <c r="F64" s="16" t="inlineStr"/>
      <c r="G64" s="16" t="inlineStr"/>
    </row>
    <row r="65">
      <c r="A65" s="5" t="inlineStr">
        <is>
          <t>BAIXA</t>
        </is>
      </c>
      <c r="B65" s="5" t="inlineStr">
        <is>
          <t>NFS-e retenções</t>
        </is>
      </c>
      <c r="C65" s="5" t="inlineStr">
        <is>
          <t>NFS-e 9227 01/09/2026 PLUS SANTE</t>
        </is>
      </c>
      <c r="D65" s="20" t="inlineStr">
        <is>
          <t>Serviço 0421 (atendimento médico móvel) de R$ 342.30: confirmar se há retenção de IRRF/CSRF; descontado R$ 0.00</t>
        </is>
      </c>
      <c r="E65" s="6" t="n"/>
      <c r="F65" s="16" t="inlineStr"/>
      <c r="G65" s="16" t="inlineStr"/>
    </row>
    <row r="66">
      <c r="A66" s="5" t="inlineStr">
        <is>
          <t>BAIXA</t>
        </is>
      </c>
      <c r="B66" s="5" t="inlineStr">
        <is>
          <t>Remessa sem retorno</t>
        </is>
      </c>
      <c r="C66" s="5" t="inlineStr">
        <is>
          <t>NF 17187 18/09 ONIXSUL COSMETICOS</t>
        </is>
      </c>
      <c r="D66" s="20" t="inlineStr">
        <is>
          <t>Remessa 5901 recebida e ainda sem retorno citado no mês - fica no estoque de terceiros (controle)</t>
        </is>
      </c>
      <c r="E66" s="6" t="n">
        <v>5700</v>
      </c>
      <c r="F66" s="16" t="inlineStr"/>
      <c r="G66" s="16" t="inlineStr"/>
    </row>
    <row r="67">
      <c r="A67" s="5" t="inlineStr">
        <is>
          <t>BAIXA</t>
        </is>
      </c>
      <c r="B67" s="5" t="inlineStr">
        <is>
          <t>Remessa sem retorno</t>
        </is>
      </c>
      <c r="C67" s="5" t="inlineStr">
        <is>
          <t>NF 4551 21/09 BB COSMETICOS LTDA</t>
        </is>
      </c>
      <c r="D67" s="20" t="inlineStr">
        <is>
          <t>Remessa 5901 recebida e ainda sem retorno citado no mês - fica no estoque de terceiros (controle)</t>
        </is>
      </c>
      <c r="E67" s="6" t="n">
        <v>65</v>
      </c>
      <c r="F67" s="16" t="inlineStr"/>
      <c r="G67" s="16" t="inlineStr"/>
    </row>
    <row r="68">
      <c r="A68" s="5" t="inlineStr">
        <is>
          <t>BAIXA</t>
        </is>
      </c>
      <c r="B68" s="5" t="inlineStr">
        <is>
          <t>Remessa sem retorno</t>
        </is>
      </c>
      <c r="C68" s="5" t="inlineStr">
        <is>
          <t>NF 5027 02/09 JOSE DOMINGOS LINARES LTDA</t>
        </is>
      </c>
      <c r="D68" s="20" t="inlineStr">
        <is>
          <t>Remessa 5923 recebida e ainda sem retorno citado no mês - fica no estoque de terceiros (controle). REFERENTE AO CLIENTE Z.R DISTRIBUIÇÃO, NF_e 4013</t>
        </is>
      </c>
      <c r="E68" s="6" t="n">
        <v>600</v>
      </c>
      <c r="F68" s="16" t="inlineStr"/>
      <c r="G68" s="16" t="inlineStr"/>
    </row>
    <row r="69">
      <c r="A69" s="5" t="inlineStr">
        <is>
          <t>BAIXA</t>
        </is>
      </c>
      <c r="B69" s="5" t="inlineStr">
        <is>
          <t>Remessa sem retorno</t>
        </is>
      </c>
      <c r="C69" s="5" t="inlineStr">
        <is>
          <t>NF 5048 03/09 JOSE DOMINGOS LINARES LTDA</t>
        </is>
      </c>
      <c r="D69" s="20" t="inlineStr">
        <is>
          <t>Remessa 5923 recebida e ainda sem retorno citado no mês - fica no estoque de terceiros (controle). REFERENTE AO CLIENTE, VITTA HAIR, OS - 166471</t>
        </is>
      </c>
      <c r="E69" s="6" t="n">
        <v>1964</v>
      </c>
      <c r="F69" s="16" t="inlineStr"/>
      <c r="G69" s="16" t="inlineStr"/>
    </row>
    <row r="70">
      <c r="A70" s="5" t="inlineStr">
        <is>
          <t>BAIXA</t>
        </is>
      </c>
      <c r="B70" s="5" t="inlineStr">
        <is>
          <t>Remessa sem retorno</t>
        </is>
      </c>
      <c r="C70" s="5" t="inlineStr">
        <is>
          <t>NF 5080 09/09 JOSE DOMINGOS LINARES LTDA</t>
        </is>
      </c>
      <c r="D70" s="20" t="inlineStr">
        <is>
          <t>Remessa 5924 recebida e ainda sem retorno citado no mês - fica no estoque de terceiros (controle). REFERENTE A OS 165919 - ONIXSUL COSMETICOS</t>
        </is>
      </c>
      <c r="E70" s="6" t="n">
        <v>5670</v>
      </c>
      <c r="F70" s="16" t="inlineStr"/>
      <c r="G70" s="16" t="inlineStr"/>
    </row>
    <row r="71">
      <c r="A71" s="5" t="inlineStr">
        <is>
          <t>BAIXA</t>
        </is>
      </c>
      <c r="B71" s="5" t="inlineStr">
        <is>
          <t>Remessa sem retorno</t>
        </is>
      </c>
      <c r="C71" s="5" t="inlineStr">
        <is>
          <t>NF 5133 14/09 JOSE DOMINGOS LINARES LTDA</t>
        </is>
      </c>
      <c r="D71" s="20" t="inlineStr">
        <is>
          <t>Remessa 5924 recebida e ainda sem retorno citado no mês - fica no estoque de terceiros (controle). REFERENTE A OS 167120 - F.B. RIBEIRO E SILVA</t>
        </is>
      </c>
      <c r="E71" s="6" t="n">
        <v>2136</v>
      </c>
      <c r="F71" s="16" t="inlineStr"/>
      <c r="G71" s="16" t="inlineStr"/>
    </row>
    <row r="72">
      <c r="A72" s="5" t="inlineStr">
        <is>
          <t>BAIXA</t>
        </is>
      </c>
      <c r="B72" s="5" t="inlineStr">
        <is>
          <t>Remessa sem retorno</t>
        </is>
      </c>
      <c r="C72" s="5" t="inlineStr">
        <is>
          <t>NF 5162 15/09 JOSE DOMINGOS LINARES LTDA</t>
        </is>
      </c>
      <c r="D72" s="20" t="inlineStr">
        <is>
          <t>Remessa 5923 recebida e ainda sem retorno citado no mês - fica no estoque de terceiros (controle). REFERENTE AO CLIENTE F.B RIBEIRO, OS 167134</t>
        </is>
      </c>
      <c r="E72" s="6" t="n">
        <v>1112</v>
      </c>
      <c r="F72" s="16" t="inlineStr"/>
      <c r="G72" s="16" t="inlineStr"/>
    </row>
    <row r="73">
      <c r="A73" s="5" t="inlineStr">
        <is>
          <t>BAIXA</t>
        </is>
      </c>
      <c r="B73" s="5" t="inlineStr">
        <is>
          <t>Remessa sem retorno</t>
        </is>
      </c>
      <c r="C73" s="5" t="inlineStr">
        <is>
          <t>NF 5170 16/09 JOSE DOMINGOS LINARES LTDA</t>
        </is>
      </c>
      <c r="D73" s="20" t="inlineStr">
        <is>
          <t>Remessa 5924 recebida e ainda sem retorno citado no mês - fica no estoque de terceiros (controle)</t>
        </is>
      </c>
      <c r="E73" s="6" t="n">
        <v>667.2</v>
      </c>
      <c r="F73" s="16" t="inlineStr"/>
      <c r="G73" s="16" t="inlineStr"/>
    </row>
    <row r="74">
      <c r="A74" s="5" t="inlineStr">
        <is>
          <t>BAIXA</t>
        </is>
      </c>
      <c r="B74" s="5" t="inlineStr">
        <is>
          <t>Remessa sem retorno</t>
        </is>
      </c>
      <c r="C74" s="5" t="inlineStr">
        <is>
          <t>NF 5233 21/09 JOSE DOMINGOS LINARES LTDA</t>
        </is>
      </c>
      <c r="D74" s="20" t="inlineStr">
        <is>
          <t>Remessa 5924 recebida e ainda sem retorno citado no mês - fica no estoque de terceiros (controle). REFERENTE AO LCIENTE, BB COSMETICOS, OS- 167541</t>
        </is>
      </c>
      <c r="E74" s="6" t="n">
        <v>2420.01</v>
      </c>
      <c r="F74" s="16" t="inlineStr"/>
      <c r="G74" s="16" t="inlineStr"/>
    </row>
    <row r="75">
      <c r="A75" s="5" t="inlineStr">
        <is>
          <t>BAIXA</t>
        </is>
      </c>
      <c r="B75" s="5" t="inlineStr">
        <is>
          <t>Remessa sem retorno</t>
        </is>
      </c>
      <c r="C75" s="5" t="inlineStr">
        <is>
          <t>NF 5235 21/09 JOSE DOMINGOS LINARES LTDA</t>
        </is>
      </c>
      <c r="D75" s="20" t="inlineStr">
        <is>
          <t>Remessa 5924 recebida e ainda sem retorno citado no mês - fica no estoque de terceiros (controle). REFERENTE A OS 166939 - Z.R. DISTRIBUIÇÃO E COMERCIO</t>
        </is>
      </c>
      <c r="E75" s="6" t="n">
        <v>1760</v>
      </c>
      <c r="F75" s="16" t="inlineStr"/>
      <c r="G75" s="16" t="inlineStr"/>
    </row>
    <row r="76">
      <c r="A76" s="5" t="inlineStr">
        <is>
          <t>BAIXA</t>
        </is>
      </c>
      <c r="B76" s="5" t="inlineStr">
        <is>
          <t>Remessa sem retorno</t>
        </is>
      </c>
      <c r="C76" s="5" t="inlineStr">
        <is>
          <t>NF 8099 14/09 BEPUMP IMPORTACAO E EXPORTACAO LTDA</t>
        </is>
      </c>
      <c r="D76" s="20" t="inlineStr">
        <is>
          <t>Remessa 6924 recebida e ainda sem retorno citado no mês - fica no estoque de terceiros (controle)</t>
        </is>
      </c>
      <c r="E76" s="6" t="n">
        <v>1408.12</v>
      </c>
      <c r="F76" s="16" t="inlineStr"/>
      <c r="G76" s="16" t="inlineStr"/>
    </row>
    <row r="77">
      <c r="A77" s="5" t="inlineStr">
        <is>
          <t>BAIXA</t>
        </is>
      </c>
      <c r="B77" s="5" t="inlineStr">
        <is>
          <t>Remessa sem retorno</t>
        </is>
      </c>
      <c r="C77" s="5" t="inlineStr">
        <is>
          <t>NF 8112 14/09 OUTLET PREMIUM PACK LTDA</t>
        </is>
      </c>
      <c r="D77" s="20" t="inlineStr">
        <is>
          <t>Remessa 6924 recebida e ainda sem retorno citado no mês - fica no estoque de terceiros (controle)</t>
        </is>
      </c>
      <c r="E77" s="6" t="n">
        <v>2462.03</v>
      </c>
      <c r="F77" s="16" t="inlineStr"/>
      <c r="G77" s="16" t="inlineStr"/>
    </row>
  </sheetData>
  <dataValidations count="1">
    <dataValidation sqref="F5:F77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25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  <row r="4" ht="60" customHeight="1">
      <c r="A4" s="25" t="inlineStr">
        <is>
          <t>2. Insumo de cliente emitido com CFOP 5124/6124 soma R$ 3,004.50 (aba Divergências, "Industrialização x retorno"). Está na base do PIS/COFINS (0,65%/3% = R$ 19.53 + R$ 90.13) e do IRPJ/CSLL. Se a contadora confirmar que é retorno em duplicidade, tirar da base e pedir ao cliente a regularização (CC-e do CFOP não altera valores - Ajuste SINIEF 01/07; senão, nota de entrada/anulação conforme RICMS/PR).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</t>
        </is>
      </c>
      <c r="B5" s="5" t="n">
        <v>8952</v>
      </c>
      <c r="C5" s="5" t="inlineStr">
        <is>
          <t>1</t>
        </is>
      </c>
      <c r="D5" s="7" t="n">
        <v>46268</v>
      </c>
      <c r="E5" s="5" t="inlineStr">
        <is>
          <t>GUIDI COSMETICOS LTDA</t>
        </is>
      </c>
      <c r="F5" s="6" t="n">
        <v>6307.1</v>
      </c>
      <c r="G5" s="5" t="inlineStr">
        <is>
          <t>41260933039048000162550010000089521000162996</t>
        </is>
      </c>
    </row>
    <row r="6">
      <c r="A6" s="5" t="inlineStr">
        <is>
          <t>Cancelada (fornecedor)</t>
        </is>
      </c>
      <c r="B6" s="5" t="n">
        <v>794</v>
      </c>
      <c r="C6" s="5" t="inlineStr">
        <is>
          <t>1</t>
        </is>
      </c>
      <c r="D6" s="7" t="n">
        <v>46274</v>
      </c>
      <c r="E6" s="5" t="inlineStr">
        <is>
          <t>YAHWEH PRINT BRASIL LTDA</t>
        </is>
      </c>
      <c r="F6" s="6" t="n">
        <v>4370.44</v>
      </c>
      <c r="G6" s="5" t="inlineStr">
        <is>
          <t>41260952680145000184550010000007941049258979</t>
        </is>
      </c>
    </row>
    <row r="7">
      <c r="A7" s="5" t="inlineStr">
        <is>
          <t>Inutilizada</t>
        </is>
      </c>
      <c r="B7" s="5" t="n">
        <v>8938</v>
      </c>
      <c r="C7" s="5" t="inlineStr">
        <is>
          <t>1</t>
        </is>
      </c>
      <c r="D7" s="5" t="n"/>
      <c r="E7" s="5" t="inlineStr"/>
      <c r="F7" s="5" t="n"/>
      <c r="G7" s="5" t="inlineStr"/>
    </row>
    <row r="8">
      <c r="A8" s="5" t="inlineStr">
        <is>
          <t>Inutilizada</t>
        </is>
      </c>
      <c r="B8" s="5" t="n">
        <v>8948</v>
      </c>
      <c r="C8" s="5" t="inlineStr">
        <is>
          <t>1</t>
        </is>
      </c>
      <c r="D8" s="5" t="n"/>
      <c r="E8" s="5" t="inlineStr"/>
      <c r="F8" s="5" t="n"/>
      <c r="G8" s="5" t="inlineStr"/>
    </row>
    <row r="9">
      <c r="A9" s="5" t="inlineStr">
        <is>
          <t>Inutilizada</t>
        </is>
      </c>
      <c r="B9" s="5" t="n">
        <v>8951</v>
      </c>
      <c r="C9" s="5" t="inlineStr">
        <is>
          <t>1</t>
        </is>
      </c>
      <c r="D9" s="5" t="n"/>
      <c r="E9" s="5" t="inlineStr"/>
      <c r="F9" s="5" t="n"/>
      <c r="G9" s="5" t="inlineStr"/>
    </row>
    <row r="10">
      <c r="A10" s="5" t="inlineStr">
        <is>
          <t>Inutilizada</t>
        </is>
      </c>
      <c r="B10" s="5" t="n">
        <v>8956</v>
      </c>
      <c r="C10" s="5" t="inlineStr">
        <is>
          <t>1</t>
        </is>
      </c>
      <c r="D10" s="5" t="n"/>
      <c r="E10" s="5" t="inlineStr"/>
      <c r="F10" s="5" t="n"/>
      <c r="G10" s="5" t="inlineStr"/>
    </row>
    <row r="11">
      <c r="A11" s="5" t="inlineStr">
        <is>
          <t>Inutilizada</t>
        </is>
      </c>
      <c r="B11" s="5" t="n">
        <v>8965</v>
      </c>
      <c r="C11" s="5" t="inlineStr">
        <is>
          <t>1</t>
        </is>
      </c>
      <c r="D11" s="5" t="n"/>
      <c r="E11" s="5" t="inlineStr"/>
      <c r="F11" s="5" t="n"/>
      <c r="G11" s="5" t="inlineStr"/>
    </row>
    <row r="12">
      <c r="A12" s="5" t="inlineStr">
        <is>
          <t>Inutilizada</t>
        </is>
      </c>
      <c r="B12" s="5" t="n">
        <v>8972</v>
      </c>
      <c r="C12" s="5" t="inlineStr">
        <is>
          <t>1</t>
        </is>
      </c>
      <c r="D12" s="5" t="n"/>
      <c r="E12" s="5" t="inlineStr"/>
      <c r="F12" s="5" t="n"/>
      <c r="G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2026-10-10T00:17:37Z</dcterms:created>
  <dcterms:modified xmlns:dcterms="http://purl.org/dc/terms/" xmlns:xsi="http://www.w3.org/2001/XMLSchema-instance" xsi:type="dcterms:W3CDTF">2026-10-10T00:17:37Z</dcterms:modified>
</cp:coreProperties>
</file>