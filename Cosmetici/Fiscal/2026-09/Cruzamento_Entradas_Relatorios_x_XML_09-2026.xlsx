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NF-e entradas" sheetId="2" state="visible" r:id="rId2"/>
    <sheet xmlns:r="http://schemas.openxmlformats.org/officeDocument/2006/relationships" name="CT-e" sheetId="3" state="visible" r:id="rId3"/>
    <sheet xmlns:r="http://schemas.openxmlformats.org/officeDocument/2006/relationships" name="NFS-e" sheetId="4" state="visible" r:id="rId4"/>
  </sheets>
  <definedNames>
    <definedName name="_xlnm._FilterDatabase" localSheetId="1" hidden="1">'NF-e entradas'!$A$4:$T$53</definedName>
    <definedName name="_xlnm._FilterDatabase" localSheetId="2" hidden="1">'CT-e'!$A$4:$Q$61</definedName>
    <definedName name="_xlnm._FilterDatabase" localSheetId="3" hidden="1">'NFS-e'!$A$4:$Z$25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b val="1"/>
      <sz val="12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4" fillId="5" borderId="0" pivotButton="0" quotePrefix="0" xfId="0"/>
    <xf numFmtId="165" fontId="4" fillId="5" borderId="0" pivotButton="0" quotePrefix="0" xfId="0"/>
    <xf numFmtId="166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2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" t="inlineStr">
        <is>
          <t>COSMETICI 09/2026 - Entradas: XML x relatórios da pasta (SIEG)</t>
        </is>
      </c>
    </row>
    <row r="2">
      <c r="A2" s="2" t="inlineStr">
        <is>
          <t>Só conferência: os valores de cada lado estão exatamente como no XML e no relatório. Nada foi alterado.</t>
        </is>
      </c>
    </row>
    <row r="4">
      <c r="A4" s="3" t="inlineStr">
        <is>
          <t>Documento</t>
        </is>
      </c>
      <c r="B4" s="3" t="inlineStr">
        <is>
          <t>Relatório da pasta</t>
        </is>
      </c>
      <c r="C4" s="3" t="inlineStr">
        <is>
          <t>Linhas</t>
        </is>
      </c>
      <c r="D4" s="3" t="inlineStr">
        <is>
          <t>Conferem (OK)</t>
        </is>
      </c>
      <c r="E4" s="3" t="inlineStr">
        <is>
          <t>Diferença de valor</t>
        </is>
      </c>
      <c r="F4" s="3" t="inlineStr">
        <is>
          <t>Sem XML na pasta</t>
        </is>
      </c>
      <c r="G4" s="3" t="inlineStr">
        <is>
          <t>Fora do relatório</t>
        </is>
      </c>
      <c r="H4" s="3" t="inlineStr">
        <is>
          <t>Canceladas</t>
        </is>
      </c>
    </row>
    <row r="5">
      <c r="A5" s="4" t="inlineStr">
        <is>
          <t>NF-e</t>
        </is>
      </c>
      <c r="B5" s="4" t="inlineStr">
        <is>
          <t>Relatorio_Detalhamento_Produtos.xlsx (entradas)</t>
        </is>
      </c>
      <c r="C5" s="4" t="n">
        <v>49</v>
      </c>
      <c r="D5" s="4" t="n">
        <v>48</v>
      </c>
      <c r="E5" s="4" t="n">
        <v>1</v>
      </c>
      <c r="F5" s="4" t="n">
        <v>0</v>
      </c>
      <c r="G5" s="4" t="n">
        <v>0</v>
      </c>
      <c r="H5" s="4" t="n">
        <v>1</v>
      </c>
    </row>
    <row r="6">
      <c r="A6" s="4" t="inlineStr">
        <is>
          <t>CT-e</t>
        </is>
      </c>
      <c r="B6" s="4" t="inlineStr">
        <is>
          <t>Relatorio_CTe.xlsx</t>
        </is>
      </c>
      <c r="C6" s="4" t="n">
        <v>57</v>
      </c>
      <c r="D6" s="4" t="n">
        <v>12</v>
      </c>
      <c r="E6" s="4" t="n">
        <v>0</v>
      </c>
      <c r="F6" s="4" t="n">
        <v>44</v>
      </c>
      <c r="G6" s="4" t="n">
        <v>0</v>
      </c>
      <c r="H6" s="4" t="n">
        <v>1</v>
      </c>
    </row>
    <row r="7">
      <c r="A7" s="4" t="inlineStr">
        <is>
          <t>NFS-e</t>
        </is>
      </c>
      <c r="B7" s="4" t="inlineStr">
        <is>
          <t>RelatorioNFS_ABRASF_33039048000162_AAAA-MM.xlsx</t>
        </is>
      </c>
      <c r="C7" s="4" t="n">
        <v>21</v>
      </c>
      <c r="D7" s="4" t="n">
        <v>21</v>
      </c>
      <c r="E7" s="4" t="n">
        <v>0</v>
      </c>
      <c r="F7" s="4" t="n">
        <v>0</v>
      </c>
      <c r="G7" s="4" t="n">
        <v>0</v>
      </c>
      <c r="H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32" customWidth="1" min="4" max="4"/>
    <col width="16" customWidth="1" min="5" max="5"/>
    <col width="4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1" customWidth="1" min="12" max="12"/>
    <col width="10" customWidth="1" min="13" max="13"/>
    <col width="10" customWidth="1" min="14" max="14"/>
    <col width="9" customWidth="1" min="15" max="15"/>
    <col width="9" customWidth="1" min="16" max="16"/>
    <col width="8" customWidth="1" min="17" max="17"/>
    <col width="8" customWidth="1" min="18" max="18"/>
    <col width="40" customWidth="1" min="19" max="19"/>
    <col width="46" customWidth="1" min="20" max="20"/>
  </cols>
  <sheetData>
    <row r="1">
      <c r="A1" s="1" t="inlineStr">
        <is>
          <t>NF-e entradas</t>
        </is>
      </c>
    </row>
    <row r="2">
      <c r="A2" s="2" t="inlineStr">
        <is>
          <t>XML x Relatorio_Detalhamento_Produtos (SIEG) - por chave. Verde = confere; vermelho = diferença; amarelo = falta de um lado; cinza = cancelada.</t>
        </is>
      </c>
    </row>
    <row r="4" ht="30" customHeight="1">
      <c r="A4" s="5" t="inlineStr">
        <is>
          <t>NF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Fornecedor</t>
        </is>
      </c>
      <c r="E4" s="5" t="inlineStr">
        <is>
          <t>CNPJ</t>
        </is>
      </c>
      <c r="F4" s="5" t="inlineStr">
        <is>
          <t>UF</t>
        </is>
      </c>
      <c r="G4" s="5" t="inlineStr">
        <is>
          <t>Situação</t>
        </is>
      </c>
      <c r="H4" s="5" t="inlineStr">
        <is>
          <t>CFOP (XML)</t>
        </is>
      </c>
      <c r="I4" s="5" t="inlineStr">
        <is>
          <t>Itens XML</t>
        </is>
      </c>
      <c r="J4" s="5" t="inlineStr">
        <is>
          <t>Itens SIEG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IPI XML</t>
        </is>
      </c>
      <c r="P4" s="5" t="inlineStr">
        <is>
          <t>IPI SIEG</t>
        </is>
      </c>
      <c r="Q4" s="5" t="inlineStr">
        <is>
          <t>ST XML</t>
        </is>
      </c>
      <c r="R4" s="5" t="inlineStr">
        <is>
          <t>ST SIEG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41731</v>
      </c>
      <c r="B5" s="6" t="inlineStr">
        <is>
          <t>1</t>
        </is>
      </c>
      <c r="C5" s="7" t="n">
        <v>46266</v>
      </c>
      <c r="D5" s="6" t="inlineStr">
        <is>
          <t>DISTRIBUIDORA INDUSTRIAL PARANAENSE LTDA</t>
        </is>
      </c>
      <c r="E5" s="6" t="inlineStr">
        <is>
          <t>04993269000177</t>
        </is>
      </c>
      <c r="F5" s="6" t="inlineStr">
        <is>
          <t>PR</t>
        </is>
      </c>
      <c r="G5" s="6" t="inlineStr">
        <is>
          <t>Autorizada</t>
        </is>
      </c>
      <c r="H5" s="6" t="inlineStr">
        <is>
          <t>5101</t>
        </is>
      </c>
      <c r="I5" s="6" t="n">
        <v>1</v>
      </c>
      <c r="J5" s="6" t="n">
        <v>1</v>
      </c>
      <c r="K5" s="8" t="n">
        <v>1870</v>
      </c>
      <c r="L5" s="8" t="n">
        <v>1870</v>
      </c>
      <c r="M5" s="8" t="n">
        <v>224.41</v>
      </c>
      <c r="N5" s="8" t="n">
        <v>224.41</v>
      </c>
      <c r="O5" s="8" t="n">
        <v>0</v>
      </c>
      <c r="P5" s="8" t="n">
        <v>0</v>
      </c>
      <c r="Q5" s="8" t="n">
        <v>0</v>
      </c>
      <c r="R5" s="8" t="n">
        <v>0</v>
      </c>
      <c r="S5" s="6" t="inlineStr">
        <is>
          <t>OK</t>
        </is>
      </c>
      <c r="T5" s="6" t="inlineStr">
        <is>
          <t>41260904993269000177550010000417311010503945</t>
        </is>
      </c>
    </row>
    <row r="6">
      <c r="A6" s="6" t="n">
        <v>3795</v>
      </c>
      <c r="B6" s="6" t="inlineStr">
        <is>
          <t>1</t>
        </is>
      </c>
      <c r="C6" s="7" t="n">
        <v>46266</v>
      </c>
      <c r="D6" s="6" t="inlineStr">
        <is>
          <t>Lunaflexo Tecnologia Adesiva Eireli</t>
        </is>
      </c>
      <c r="E6" s="6" t="inlineStr">
        <is>
          <t>06015875000143</t>
        </is>
      </c>
      <c r="F6" s="6" t="inlineStr">
        <is>
          <t>PR</t>
        </is>
      </c>
      <c r="G6" s="6" t="inlineStr">
        <is>
          <t>Autorizada</t>
        </is>
      </c>
      <c r="H6" s="6" t="inlineStr">
        <is>
          <t>5101</t>
        </is>
      </c>
      <c r="I6" s="6" t="n">
        <v>2</v>
      </c>
      <c r="J6" s="6" t="n">
        <v>2</v>
      </c>
      <c r="K6" s="8" t="n">
        <v>3460</v>
      </c>
      <c r="L6" s="8" t="n">
        <v>3460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6" t="inlineStr">
        <is>
          <t>OK</t>
        </is>
      </c>
      <c r="T6" s="6" t="inlineStr">
        <is>
          <t>41260906015875000143550010000037951000701710</t>
        </is>
      </c>
    </row>
    <row r="7">
      <c r="A7" s="6" t="n">
        <v>5027</v>
      </c>
      <c r="B7" s="6" t="inlineStr">
        <is>
          <t>3</t>
        </is>
      </c>
      <c r="C7" s="7" t="n">
        <v>46267</v>
      </c>
      <c r="D7" s="6" t="inlineStr">
        <is>
          <t>JOSE DOMINGOS LINARES LTDA</t>
        </is>
      </c>
      <c r="E7" s="6" t="inlineStr">
        <is>
          <t>03839251000152</t>
        </is>
      </c>
      <c r="F7" s="6" t="inlineStr">
        <is>
          <t>PR</t>
        </is>
      </c>
      <c r="G7" s="6" t="inlineStr">
        <is>
          <t>Autorizada</t>
        </is>
      </c>
      <c r="H7" s="6" t="inlineStr">
        <is>
          <t>5923</t>
        </is>
      </c>
      <c r="I7" s="6" t="n">
        <v>1</v>
      </c>
      <c r="J7" s="6" t="n">
        <v>1</v>
      </c>
      <c r="K7" s="8" t="n">
        <v>600</v>
      </c>
      <c r="L7" s="8" t="n">
        <v>600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6" t="inlineStr">
        <is>
          <t>OK</t>
        </is>
      </c>
      <c r="T7" s="6" t="inlineStr">
        <is>
          <t>41260903839251000152550030000050271834583570</t>
        </is>
      </c>
    </row>
    <row r="8">
      <c r="A8" s="6" t="n">
        <v>22837</v>
      </c>
      <c r="B8" s="6" t="inlineStr">
        <is>
          <t>1</t>
        </is>
      </c>
      <c r="C8" s="7" t="n">
        <v>46267</v>
      </c>
      <c r="D8" s="6" t="inlineStr">
        <is>
          <t>CARBON CIENTIFICA LTDA</t>
        </is>
      </c>
      <c r="E8" s="6" t="inlineStr">
        <is>
          <t>44114040000130</t>
        </is>
      </c>
      <c r="F8" s="6" t="inlineStr">
        <is>
          <t>PR</t>
        </is>
      </c>
      <c r="G8" s="6" t="inlineStr">
        <is>
          <t>Autorizada</t>
        </is>
      </c>
      <c r="H8" s="6" t="inlineStr">
        <is>
          <t>5949</t>
        </is>
      </c>
      <c r="I8" s="6" t="n">
        <v>2</v>
      </c>
      <c r="J8" s="6" t="n">
        <v>2</v>
      </c>
      <c r="K8" s="8" t="n">
        <v>2</v>
      </c>
      <c r="L8" s="8" t="n">
        <v>2</v>
      </c>
      <c r="M8" s="8" t="n">
        <v>0.4</v>
      </c>
      <c r="N8" s="8" t="n">
        <v>0.4</v>
      </c>
      <c r="O8" s="8" t="n">
        <v>0</v>
      </c>
      <c r="P8" s="8" t="n">
        <v>0</v>
      </c>
      <c r="Q8" s="8" t="n">
        <v>0</v>
      </c>
      <c r="R8" s="8" t="n">
        <v>0</v>
      </c>
      <c r="S8" s="6" t="inlineStr">
        <is>
          <t>OK</t>
        </is>
      </c>
      <c r="T8" s="6" t="inlineStr">
        <is>
          <t>41260944114040000130550010000228371000945488</t>
        </is>
      </c>
    </row>
    <row r="9">
      <c r="A9" s="6" t="n">
        <v>786</v>
      </c>
      <c r="B9" s="6" t="inlineStr">
        <is>
          <t>1</t>
        </is>
      </c>
      <c r="C9" s="7" t="n">
        <v>46267</v>
      </c>
      <c r="D9" s="6" t="inlineStr">
        <is>
          <t>YAHWEH PRINT BRASIL LTDA</t>
        </is>
      </c>
      <c r="E9" s="6" t="inlineStr">
        <is>
          <t>52680145000184</t>
        </is>
      </c>
      <c r="F9" s="6" t="inlineStr">
        <is>
          <t>PR</t>
        </is>
      </c>
      <c r="G9" s="6" t="inlineStr">
        <is>
          <t>Autorizada</t>
        </is>
      </c>
      <c r="H9" s="6" t="inlineStr">
        <is>
          <t>5101</t>
        </is>
      </c>
      <c r="I9" s="6" t="n">
        <v>6</v>
      </c>
      <c r="J9" s="6" t="n">
        <v>6</v>
      </c>
      <c r="K9" s="8" t="n">
        <v>7052.79</v>
      </c>
      <c r="L9" s="8" t="n">
        <v>7052.79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6" t="inlineStr">
        <is>
          <t>OK</t>
        </is>
      </c>
      <c r="T9" s="6" t="inlineStr">
        <is>
          <t>41260952680145000184550010000007861702940405</t>
        </is>
      </c>
    </row>
    <row r="10">
      <c r="A10" s="6" t="n">
        <v>695</v>
      </c>
      <c r="B10" s="6" t="inlineStr">
        <is>
          <t>1</t>
        </is>
      </c>
      <c r="C10" s="7" t="n">
        <v>46267</v>
      </c>
      <c r="D10" s="6" t="inlineStr">
        <is>
          <t>REATEC DO BRASIL LTDA</t>
        </is>
      </c>
      <c r="E10" s="6" t="inlineStr">
        <is>
          <t>62341566000134</t>
        </is>
      </c>
      <c r="F10" s="6" t="inlineStr">
        <is>
          <t>PR</t>
        </is>
      </c>
      <c r="G10" s="6" t="inlineStr">
        <is>
          <t>Autorizada</t>
        </is>
      </c>
      <c r="H10" s="6" t="inlineStr">
        <is>
          <t>5102</t>
        </is>
      </c>
      <c r="I10" s="6" t="n">
        <v>1</v>
      </c>
      <c r="J10" s="6" t="n">
        <v>1</v>
      </c>
      <c r="K10" s="8" t="n">
        <v>3738</v>
      </c>
      <c r="L10" s="8" t="n">
        <v>3738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300</v>
      </c>
      <c r="B11" s="6" t="inlineStr">
        <is>
          <t>1</t>
        </is>
      </c>
      <c r="C11" s="7" t="n">
        <v>46267</v>
      </c>
      <c r="D11" s="6" t="inlineStr">
        <is>
          <t>THERMOSUL RESISTENCIAS ELETRICAS LTDA</t>
        </is>
      </c>
      <c r="E11" s="6" t="inlineStr">
        <is>
          <t>66434370000145</t>
        </is>
      </c>
      <c r="F11" s="6" t="inlineStr">
        <is>
          <t>PR</t>
        </is>
      </c>
      <c r="G11" s="6" t="inlineStr">
        <is>
          <t>Autorizada</t>
        </is>
      </c>
      <c r="H11" s="6" t="inlineStr">
        <is>
          <t>5101</t>
        </is>
      </c>
      <c r="I11" s="6" t="n">
        <v>2</v>
      </c>
      <c r="J11" s="6" t="n">
        <v>2</v>
      </c>
      <c r="K11" s="8" t="n">
        <v>2592</v>
      </c>
      <c r="L11" s="8" t="n">
        <v>2592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6" t="inlineStr">
        <is>
          <t>OK</t>
        </is>
      </c>
      <c r="T11" s="6" t="inlineStr">
        <is>
          <t>41260966434370000145550010000003001634619321</t>
        </is>
      </c>
    </row>
    <row r="12">
      <c r="A12" s="6" t="n">
        <v>160326</v>
      </c>
      <c r="B12" s="6" t="inlineStr">
        <is>
          <t>1</t>
        </is>
      </c>
      <c r="C12" s="7" t="n">
        <v>46267</v>
      </c>
      <c r="D12" s="6" t="inlineStr">
        <is>
          <t>NewProv - Produtos para Laboratório Ltda</t>
        </is>
      </c>
      <c r="E12" s="6" t="inlineStr">
        <is>
          <t>73636391000109</t>
        </is>
      </c>
      <c r="F12" s="6" t="inlineStr">
        <is>
          <t>PR</t>
        </is>
      </c>
      <c r="G12" s="6" t="inlineStr">
        <is>
          <t>Autorizada</t>
        </is>
      </c>
      <c r="H12" s="6" t="inlineStr">
        <is>
          <t>5101</t>
        </is>
      </c>
      <c r="I12" s="6" t="n">
        <v>8</v>
      </c>
      <c r="J12" s="6" t="n">
        <v>8</v>
      </c>
      <c r="K12" s="8" t="n">
        <v>2248.65</v>
      </c>
      <c r="L12" s="8" t="n">
        <v>2248.65</v>
      </c>
      <c r="M12" s="8" t="n">
        <v>438.49</v>
      </c>
      <c r="N12" s="8" t="n">
        <v>438.49</v>
      </c>
      <c r="O12" s="8" t="n">
        <v>0</v>
      </c>
      <c r="P12" s="8" t="n">
        <v>0</v>
      </c>
      <c r="Q12" s="8" t="n">
        <v>0</v>
      </c>
      <c r="R12" s="8" t="n">
        <v>0</v>
      </c>
      <c r="S12" s="6" t="inlineStr">
        <is>
          <t>OK</t>
        </is>
      </c>
      <c r="T12" s="6" t="inlineStr">
        <is>
          <t>41260973636391000109550010001603261915612489</t>
        </is>
      </c>
    </row>
    <row r="13">
      <c r="A13" s="6" t="n">
        <v>5048</v>
      </c>
      <c r="B13" s="6" t="inlineStr">
        <is>
          <t>3</t>
        </is>
      </c>
      <c r="C13" s="7" t="n">
        <v>46268</v>
      </c>
      <c r="D13" s="6" t="inlineStr">
        <is>
          <t>JOSE DOMINGOS LINARES LTDA</t>
        </is>
      </c>
      <c r="E13" s="6" t="inlineStr">
        <is>
          <t>03839251000152</t>
        </is>
      </c>
      <c r="F13" s="6" t="inlineStr">
        <is>
          <t>PR</t>
        </is>
      </c>
      <c r="G13" s="6" t="inlineStr">
        <is>
          <t>Autorizada</t>
        </is>
      </c>
      <c r="H13" s="6" t="inlineStr">
        <is>
          <t>5923</t>
        </is>
      </c>
      <c r="I13" s="6" t="n">
        <v>1</v>
      </c>
      <c r="J13" s="6" t="n">
        <v>1</v>
      </c>
      <c r="K13" s="8" t="n">
        <v>1964</v>
      </c>
      <c r="L13" s="8" t="n">
        <v>1964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6" t="inlineStr">
        <is>
          <t>OK</t>
        </is>
      </c>
      <c r="T13" s="6" t="inlineStr">
        <is>
          <t>41260903839251000152550030000050481113690367</t>
        </is>
      </c>
    </row>
    <row r="14">
      <c r="A14" s="6" t="n">
        <v>4920</v>
      </c>
      <c r="B14" s="6" t="inlineStr">
        <is>
          <t>1</t>
        </is>
      </c>
      <c r="C14" s="7" t="n">
        <v>46268</v>
      </c>
      <c r="D14" s="6" t="inlineStr">
        <is>
          <t>DISPOLI COMERCIO DE COSMETICOS LTDA</t>
        </is>
      </c>
      <c r="E14" s="6" t="inlineStr">
        <is>
          <t>41726398000125</t>
        </is>
      </c>
      <c r="F14" s="6" t="inlineStr">
        <is>
          <t>PR</t>
        </is>
      </c>
      <c r="G14" s="6" t="inlineStr">
        <is>
          <t>Autorizada</t>
        </is>
      </c>
      <c r="H14" s="6" t="inlineStr">
        <is>
          <t>5102</t>
        </is>
      </c>
      <c r="I14" s="6" t="n">
        <v>1</v>
      </c>
      <c r="J14" s="6" t="n">
        <v>1</v>
      </c>
      <c r="K14" s="8" t="n">
        <v>169.38</v>
      </c>
      <c r="L14" s="8" t="n">
        <v>169.38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6" t="inlineStr">
        <is>
          <t>OK</t>
        </is>
      </c>
      <c r="T14" s="6" t="inlineStr">
        <is>
          <t>41260941726398000125550010000049201009949200</t>
        </is>
      </c>
    </row>
    <row r="15">
      <c r="A15" s="6" t="n">
        <v>2564</v>
      </c>
      <c r="B15" s="6" t="inlineStr">
        <is>
          <t>1</t>
        </is>
      </c>
      <c r="C15" s="7" t="n">
        <v>46269</v>
      </c>
      <c r="D15" s="6" t="inlineStr">
        <is>
          <t>AGATHA INDUSTRIA DE MANUFATURADOS LTDA</t>
        </is>
      </c>
      <c r="E15" s="6" t="inlineStr">
        <is>
          <t>54079636000108</t>
        </is>
      </c>
      <c r="F15" s="6" t="inlineStr">
        <is>
          <t>RS</t>
        </is>
      </c>
      <c r="G15" s="6" t="inlineStr">
        <is>
          <t>Autorizada</t>
        </is>
      </c>
      <c r="H15" s="6" t="inlineStr">
        <is>
          <t>6949</t>
        </is>
      </c>
      <c r="I15" s="6" t="n">
        <v>1</v>
      </c>
      <c r="J15" s="6" t="n">
        <v>1</v>
      </c>
      <c r="K15" s="8" t="n">
        <v>924</v>
      </c>
      <c r="L15" s="8" t="n">
        <v>924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6" t="inlineStr">
        <is>
          <t>OK</t>
        </is>
      </c>
      <c r="T15" s="6" t="inlineStr">
        <is>
          <t>43260954079636000108550010000025641087230517</t>
        </is>
      </c>
    </row>
    <row r="16">
      <c r="A16" s="6" t="n">
        <v>5080</v>
      </c>
      <c r="B16" s="6" t="inlineStr">
        <is>
          <t>3</t>
        </is>
      </c>
      <c r="C16" s="7" t="n">
        <v>46274</v>
      </c>
      <c r="D16" s="6" t="inlineStr">
        <is>
          <t>JOSE DOMINGOS LINARES LTDA</t>
        </is>
      </c>
      <c r="E16" s="6" t="inlineStr">
        <is>
          <t>03839251000152</t>
        </is>
      </c>
      <c r="F16" s="6" t="inlineStr">
        <is>
          <t>PR</t>
        </is>
      </c>
      <c r="G16" s="6" t="inlineStr">
        <is>
          <t>Autorizada</t>
        </is>
      </c>
      <c r="H16" s="6" t="inlineStr">
        <is>
          <t>5924</t>
        </is>
      </c>
      <c r="I16" s="6" t="n">
        <v>1</v>
      </c>
      <c r="J16" s="6" t="n">
        <v>1</v>
      </c>
      <c r="K16" s="8" t="n">
        <v>5670</v>
      </c>
      <c r="L16" s="8" t="n">
        <v>5670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6" t="inlineStr">
        <is>
          <t>OK</t>
        </is>
      </c>
      <c r="T16" s="6" t="inlineStr">
        <is>
          <t>41260903839251000152550030000050801135229929</t>
        </is>
      </c>
    </row>
    <row r="17">
      <c r="A17" s="9" t="n">
        <v>794</v>
      </c>
      <c r="B17" s="9" t="inlineStr">
        <is>
          <t>1</t>
        </is>
      </c>
      <c r="C17" s="10" t="n">
        <v>46274</v>
      </c>
      <c r="D17" s="9" t="inlineStr">
        <is>
          <t>YAHWEH PRINT BRASIL LTDA</t>
        </is>
      </c>
      <c r="E17" s="9" t="inlineStr">
        <is>
          <t>52680145000184</t>
        </is>
      </c>
      <c r="F17" s="9" t="inlineStr">
        <is>
          <t>PR</t>
        </is>
      </c>
      <c r="G17" s="9" t="inlineStr">
        <is>
          <t>Cancelada</t>
        </is>
      </c>
      <c r="H17" s="9" t="inlineStr">
        <is>
          <t>5101</t>
        </is>
      </c>
      <c r="I17" s="9" t="n">
        <v>2</v>
      </c>
      <c r="J17" s="9" t="n">
        <v>2</v>
      </c>
      <c r="K17" s="11" t="n">
        <v>4370.44</v>
      </c>
      <c r="L17" s="11" t="n">
        <v>4370.44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9" t="inlineStr">
        <is>
          <t>Cancelada - confere: evento de cancelamento no XML e status "Cancelamento" no relatório</t>
        </is>
      </c>
      <c r="T17" s="9" t="inlineStr">
        <is>
          <t>41260952680145000184550010000007941049258979</t>
        </is>
      </c>
    </row>
    <row r="18">
      <c r="A18" s="6" t="n">
        <v>795</v>
      </c>
      <c r="B18" s="6" t="inlineStr">
        <is>
          <t>1</t>
        </is>
      </c>
      <c r="C18" s="7" t="n">
        <v>46274</v>
      </c>
      <c r="D18" s="6" t="inlineStr">
        <is>
          <t>YAHWEH PRINT BRASIL LTDA</t>
        </is>
      </c>
      <c r="E18" s="6" t="inlineStr">
        <is>
          <t>52680145000184</t>
        </is>
      </c>
      <c r="F18" s="6" t="inlineStr">
        <is>
          <t>PR</t>
        </is>
      </c>
      <c r="G18" s="6" t="inlineStr">
        <is>
          <t>Autorizada</t>
        </is>
      </c>
      <c r="H18" s="6" t="inlineStr">
        <is>
          <t>5101</t>
        </is>
      </c>
      <c r="I18" s="6" t="n">
        <v>2</v>
      </c>
      <c r="J18" s="6" t="n">
        <v>2</v>
      </c>
      <c r="K18" s="8" t="n">
        <v>4106.89</v>
      </c>
      <c r="L18" s="8" t="n">
        <v>4106.89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41260952680145000184550010000007951158784741</t>
        </is>
      </c>
    </row>
    <row r="19">
      <c r="A19" s="6" t="n">
        <v>8112</v>
      </c>
      <c r="B19" s="6" t="inlineStr">
        <is>
          <t>1</t>
        </is>
      </c>
      <c r="C19" s="7" t="n">
        <v>46279</v>
      </c>
      <c r="D19" s="6" t="inlineStr">
        <is>
          <t>OUTLET PREMIUM PACK LTDA</t>
        </is>
      </c>
      <c r="E19" s="6" t="inlineStr">
        <is>
          <t>34970658000148</t>
        </is>
      </c>
      <c r="F19" s="6" t="inlineStr">
        <is>
          <t>SP</t>
        </is>
      </c>
      <c r="G19" s="6" t="inlineStr">
        <is>
          <t>Autorizada</t>
        </is>
      </c>
      <c r="H19" s="6" t="inlineStr">
        <is>
          <t>6924</t>
        </is>
      </c>
      <c r="I19" s="6" t="n">
        <v>2</v>
      </c>
      <c r="J19" s="6" t="n">
        <v>2</v>
      </c>
      <c r="K19" s="8" t="n">
        <v>2462.03</v>
      </c>
      <c r="L19" s="8" t="n">
        <v>2462.03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35260934970658000148550010000081121000087609</t>
        </is>
      </c>
    </row>
    <row r="20">
      <c r="A20" s="6" t="n">
        <v>8099</v>
      </c>
      <c r="B20" s="6" t="inlineStr">
        <is>
          <t>1</t>
        </is>
      </c>
      <c r="C20" s="7" t="n">
        <v>46279</v>
      </c>
      <c r="D20" s="6" t="inlineStr">
        <is>
          <t>BEPUMP IMPORTACAO E EXPORTACAO LTDA</t>
        </is>
      </c>
      <c r="E20" s="6" t="inlineStr">
        <is>
          <t>39237959000180</t>
        </is>
      </c>
      <c r="F20" s="6" t="inlineStr">
        <is>
          <t>SP</t>
        </is>
      </c>
      <c r="G20" s="6" t="inlineStr">
        <is>
          <t>Autorizada</t>
        </is>
      </c>
      <c r="H20" s="6" t="inlineStr">
        <is>
          <t>6924</t>
        </is>
      </c>
      <c r="I20" s="6" t="n">
        <v>1</v>
      </c>
      <c r="J20" s="6" t="n">
        <v>1</v>
      </c>
      <c r="K20" s="8" t="n">
        <v>1408.12</v>
      </c>
      <c r="L20" s="8" t="n">
        <v>1408.12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6" t="inlineStr">
        <is>
          <t>OK</t>
        </is>
      </c>
      <c r="T20" s="6" t="inlineStr">
        <is>
          <t>35260939237959000180550010000080991000082318</t>
        </is>
      </c>
    </row>
    <row r="21">
      <c r="A21" s="6" t="n">
        <v>5133</v>
      </c>
      <c r="B21" s="6" t="inlineStr">
        <is>
          <t>3</t>
        </is>
      </c>
      <c r="C21" s="7" t="n">
        <v>46279</v>
      </c>
      <c r="D21" s="6" t="inlineStr">
        <is>
          <t>JOSE DOMINGOS LINARES LTDA</t>
        </is>
      </c>
      <c r="E21" s="6" t="inlineStr">
        <is>
          <t>03839251000152</t>
        </is>
      </c>
      <c r="F21" s="6" t="inlineStr">
        <is>
          <t>PR</t>
        </is>
      </c>
      <c r="G21" s="6" t="inlineStr">
        <is>
          <t>Autorizada</t>
        </is>
      </c>
      <c r="H21" s="6" t="inlineStr">
        <is>
          <t>5924</t>
        </is>
      </c>
      <c r="I21" s="6" t="n">
        <v>1</v>
      </c>
      <c r="J21" s="6" t="n">
        <v>1</v>
      </c>
      <c r="K21" s="8" t="n">
        <v>2136</v>
      </c>
      <c r="L21" s="8" t="n">
        <v>2136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6" t="inlineStr">
        <is>
          <t>OK</t>
        </is>
      </c>
      <c r="T21" s="6" t="inlineStr">
        <is>
          <t>41260903839251000152550030000051331151580428</t>
        </is>
      </c>
    </row>
    <row r="22">
      <c r="A22" s="6" t="n">
        <v>13721</v>
      </c>
      <c r="B22" s="6" t="inlineStr">
        <is>
          <t>1</t>
        </is>
      </c>
      <c r="C22" s="7" t="n">
        <v>46279</v>
      </c>
      <c r="D22" s="6" t="inlineStr">
        <is>
          <t>CAETANO PLASTICOS EMBALAGENS LTDA</t>
        </is>
      </c>
      <c r="E22" s="6" t="inlineStr">
        <is>
          <t>37295717000118</t>
        </is>
      </c>
      <c r="F22" s="6" t="inlineStr">
        <is>
          <t>PR</t>
        </is>
      </c>
      <c r="G22" s="6" t="inlineStr">
        <is>
          <t>Autorizada</t>
        </is>
      </c>
      <c r="H22" s="6" t="inlineStr">
        <is>
          <t>5102</t>
        </is>
      </c>
      <c r="I22" s="6" t="n">
        <v>4</v>
      </c>
      <c r="J22" s="6" t="n">
        <v>4</v>
      </c>
      <c r="K22" s="8" t="n">
        <v>2286.82</v>
      </c>
      <c r="L22" s="8" t="n">
        <v>2286.82</v>
      </c>
      <c r="M22" s="8" t="n">
        <v>0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6" t="inlineStr">
        <is>
          <t>OK</t>
        </is>
      </c>
      <c r="T22" s="6" t="inlineStr">
        <is>
          <t>41260937295717000118550010000137211931581334</t>
        </is>
      </c>
    </row>
    <row r="23">
      <c r="A23" s="6" t="n">
        <v>5162</v>
      </c>
      <c r="B23" s="6" t="inlineStr">
        <is>
          <t>3</t>
        </is>
      </c>
      <c r="C23" s="7" t="n">
        <v>46280</v>
      </c>
      <c r="D23" s="6" t="inlineStr">
        <is>
          <t>JOSE DOMINGOS LINARES LTDA</t>
        </is>
      </c>
      <c r="E23" s="6" t="inlineStr">
        <is>
          <t>03839251000152</t>
        </is>
      </c>
      <c r="F23" s="6" t="inlineStr">
        <is>
          <t>PR</t>
        </is>
      </c>
      <c r="G23" s="6" t="inlineStr">
        <is>
          <t>Autorizada</t>
        </is>
      </c>
      <c r="H23" s="6" t="inlineStr">
        <is>
          <t>5923</t>
        </is>
      </c>
      <c r="I23" s="6" t="n">
        <v>1</v>
      </c>
      <c r="J23" s="6" t="n">
        <v>1</v>
      </c>
      <c r="K23" s="8" t="n">
        <v>1112</v>
      </c>
      <c r="L23" s="8" t="n">
        <v>1112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6" t="inlineStr">
        <is>
          <t>OK</t>
        </is>
      </c>
      <c r="T23" s="6" t="inlineStr">
        <is>
          <t>41260903839251000152550030000051621201311907</t>
        </is>
      </c>
    </row>
    <row r="24">
      <c r="A24" s="6" t="n">
        <v>40451</v>
      </c>
      <c r="B24" s="6" t="inlineStr">
        <is>
          <t>1</t>
        </is>
      </c>
      <c r="C24" s="7" t="n">
        <v>46280</v>
      </c>
      <c r="D24" s="6" t="inlineStr">
        <is>
          <t>ILS TECNOLOGIA EM EQUIP DE SEG DO TRABALHO LTDA</t>
        </is>
      </c>
      <c r="E24" s="6" t="inlineStr">
        <is>
          <t>10265455000192</t>
        </is>
      </c>
      <c r="F24" s="6" t="inlineStr">
        <is>
          <t>PR</t>
        </is>
      </c>
      <c r="G24" s="6" t="inlineStr">
        <is>
          <t>Autorizada</t>
        </is>
      </c>
      <c r="H24" s="6" t="inlineStr">
        <is>
          <t>5102</t>
        </is>
      </c>
      <c r="I24" s="6" t="n">
        <v>4</v>
      </c>
      <c r="J24" s="6" t="n">
        <v>4</v>
      </c>
      <c r="K24" s="8" t="n">
        <v>370.86</v>
      </c>
      <c r="L24" s="8" t="n">
        <v>370.86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6" t="inlineStr">
        <is>
          <t>OK</t>
        </is>
      </c>
      <c r="T24" s="6" t="inlineStr">
        <is>
          <t>41260910265455000192550010000404511000405060</t>
        </is>
      </c>
    </row>
    <row r="25">
      <c r="A25" s="6" t="n">
        <v>5170</v>
      </c>
      <c r="B25" s="6" t="inlineStr">
        <is>
          <t>3</t>
        </is>
      </c>
      <c r="C25" s="7" t="n">
        <v>46281</v>
      </c>
      <c r="D25" s="6" t="inlineStr">
        <is>
          <t>JOSE DOMINGOS LINARES LTDA</t>
        </is>
      </c>
      <c r="E25" s="6" t="inlineStr">
        <is>
          <t>03839251000152</t>
        </is>
      </c>
      <c r="F25" s="6" t="inlineStr">
        <is>
          <t>PR</t>
        </is>
      </c>
      <c r="G25" s="6" t="inlineStr">
        <is>
          <t>Autorizada</t>
        </is>
      </c>
      <c r="H25" s="6" t="inlineStr">
        <is>
          <t>5924</t>
        </is>
      </c>
      <c r="I25" s="6" t="n">
        <v>1</v>
      </c>
      <c r="J25" s="6" t="n">
        <v>1</v>
      </c>
      <c r="K25" s="8" t="n">
        <v>667.2</v>
      </c>
      <c r="L25" s="8" t="n">
        <v>667.2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6" t="inlineStr">
        <is>
          <t>OK</t>
        </is>
      </c>
      <c r="T25" s="6" t="inlineStr">
        <is>
          <t>41260903839251000152550030000051701177572396</t>
        </is>
      </c>
    </row>
    <row r="26">
      <c r="A26" s="6" t="n">
        <v>418</v>
      </c>
      <c r="B26" s="6" t="inlineStr">
        <is>
          <t>1</t>
        </is>
      </c>
      <c r="C26" s="7" t="n">
        <v>46281</v>
      </c>
      <c r="D26" s="6" t="inlineStr">
        <is>
          <t>SAVATEC COMERCIO E SERVICOS LTDA</t>
        </is>
      </c>
      <c r="E26" s="6" t="inlineStr">
        <is>
          <t>59087034000108</t>
        </is>
      </c>
      <c r="F26" s="6" t="inlineStr">
        <is>
          <t>PR</t>
        </is>
      </c>
      <c r="G26" s="6" t="inlineStr">
        <is>
          <t>Autorizada</t>
        </is>
      </c>
      <c r="H26" s="6" t="inlineStr">
        <is>
          <t>5102</t>
        </is>
      </c>
      <c r="I26" s="6" t="n">
        <v>2</v>
      </c>
      <c r="J26" s="6" t="n">
        <v>2</v>
      </c>
      <c r="K26" s="8" t="n">
        <v>1320.74</v>
      </c>
      <c r="L26" s="8" t="n">
        <v>1320.74</v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6" t="inlineStr">
        <is>
          <t>OK</t>
        </is>
      </c>
      <c r="T26" s="6" t="inlineStr">
        <is>
          <t>41260959087034000108550010000004181258202600</t>
        </is>
      </c>
    </row>
    <row r="27">
      <c r="A27" s="6" t="n">
        <v>30338</v>
      </c>
      <c r="B27" s="6" t="inlineStr">
        <is>
          <t>1</t>
        </is>
      </c>
      <c r="C27" s="7" t="n">
        <v>46282</v>
      </c>
      <c r="D27" s="6" t="inlineStr">
        <is>
          <t>ALTEC IND.COM.IMP.E EXP.LTDA.</t>
        </is>
      </c>
      <c r="E27" s="6" t="inlineStr">
        <is>
          <t>67598292000187</t>
        </is>
      </c>
      <c r="F27" s="6" t="inlineStr">
        <is>
          <t>SP</t>
        </is>
      </c>
      <c r="G27" s="6" t="inlineStr">
        <is>
          <t>Autorizada</t>
        </is>
      </c>
      <c r="H27" s="6" t="inlineStr">
        <is>
          <t>6101</t>
        </is>
      </c>
      <c r="I27" s="6" t="n">
        <v>1</v>
      </c>
      <c r="J27" s="6" t="n">
        <v>1</v>
      </c>
      <c r="K27" s="8" t="n">
        <v>2506.56</v>
      </c>
      <c r="L27" s="8" t="n">
        <v>2506.56</v>
      </c>
      <c r="M27" s="8" t="n">
        <v>300.79</v>
      </c>
      <c r="N27" s="8" t="n">
        <v>300.79</v>
      </c>
      <c r="O27" s="8" t="n">
        <v>0</v>
      </c>
      <c r="P27" s="8" t="n">
        <v>0</v>
      </c>
      <c r="Q27" s="8" t="n">
        <v>0</v>
      </c>
      <c r="R27" s="8" t="n">
        <v>0</v>
      </c>
      <c r="S27" s="6" t="inlineStr">
        <is>
          <t>OK</t>
        </is>
      </c>
      <c r="T27" s="6" t="inlineStr">
        <is>
          <t>35260967598292000187550010000303381000323387</t>
        </is>
      </c>
    </row>
    <row r="28">
      <c r="A28" s="6" t="n">
        <v>23127</v>
      </c>
      <c r="B28" s="6" t="inlineStr">
        <is>
          <t>1</t>
        </is>
      </c>
      <c r="C28" s="7" t="n">
        <v>46282</v>
      </c>
      <c r="D28" s="6" t="inlineStr">
        <is>
          <t>CARBON CIENTIFICA LTDA</t>
        </is>
      </c>
      <c r="E28" s="6" t="inlineStr">
        <is>
          <t>44114040000130</t>
        </is>
      </c>
      <c r="F28" s="6" t="inlineStr">
        <is>
          <t>PR</t>
        </is>
      </c>
      <c r="G28" s="6" t="inlineStr">
        <is>
          <t>Autorizada</t>
        </is>
      </c>
      <c r="H28" s="6" t="inlineStr">
        <is>
          <t>5949</t>
        </is>
      </c>
      <c r="I28" s="6" t="n">
        <v>1</v>
      </c>
      <c r="J28" s="6" t="n">
        <v>1</v>
      </c>
      <c r="K28" s="8" t="n">
        <v>1</v>
      </c>
      <c r="L28" s="8" t="n">
        <v>1</v>
      </c>
      <c r="M28" s="8" t="n">
        <v>0.2</v>
      </c>
      <c r="N28" s="8" t="n">
        <v>0.2</v>
      </c>
      <c r="O28" s="8" t="n">
        <v>0</v>
      </c>
      <c r="P28" s="8" t="n">
        <v>0</v>
      </c>
      <c r="Q28" s="8" t="n">
        <v>0</v>
      </c>
      <c r="R28" s="8" t="n">
        <v>0</v>
      </c>
      <c r="S28" s="6" t="inlineStr">
        <is>
          <t>OK</t>
        </is>
      </c>
      <c r="T28" s="6" t="inlineStr">
        <is>
          <t>41260944114040000130550010000231271000948452</t>
        </is>
      </c>
    </row>
    <row r="29">
      <c r="A29" s="6" t="n">
        <v>6782</v>
      </c>
      <c r="B29" s="6" t="inlineStr">
        <is>
          <t>1</t>
        </is>
      </c>
      <c r="C29" s="7" t="n">
        <v>46282</v>
      </c>
      <c r="D29" s="6" t="inlineStr">
        <is>
          <t>ELLOLIMP COMERCIO DE PRODUTOS DE HIGIENE E LIMPEZA LTDA</t>
        </is>
      </c>
      <c r="E29" s="6" t="inlineStr">
        <is>
          <t>49547438000183</t>
        </is>
      </c>
      <c r="F29" s="6" t="inlineStr">
        <is>
          <t>PR</t>
        </is>
      </c>
      <c r="G29" s="6" t="inlineStr">
        <is>
          <t>Autorizada</t>
        </is>
      </c>
      <c r="H29" s="6" t="inlineStr">
        <is>
          <t>5102</t>
        </is>
      </c>
      <c r="I29" s="6" t="n">
        <v>2</v>
      </c>
      <c r="J29" s="6" t="n">
        <v>2</v>
      </c>
      <c r="K29" s="8" t="n">
        <v>833.9</v>
      </c>
      <c r="L29" s="8" t="n">
        <v>833.9</v>
      </c>
      <c r="M29" s="8" t="n">
        <v>102.69</v>
      </c>
      <c r="N29" s="8" t="n">
        <v>102.69</v>
      </c>
      <c r="O29" s="8" t="n">
        <v>0</v>
      </c>
      <c r="P29" s="8" t="n">
        <v>0</v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41260949547438000183550010000067821963905200</t>
        </is>
      </c>
    </row>
    <row r="30">
      <c r="A30" s="6" t="n">
        <v>814</v>
      </c>
      <c r="B30" s="6" t="inlineStr">
        <is>
          <t>1</t>
        </is>
      </c>
      <c r="C30" s="7" t="n">
        <v>46282</v>
      </c>
      <c r="D30" s="6" t="inlineStr">
        <is>
          <t>YAHWEH PRINT BRASIL LTDA</t>
        </is>
      </c>
      <c r="E30" s="6" t="inlineStr">
        <is>
          <t>52680145000184</t>
        </is>
      </c>
      <c r="F30" s="6" t="inlineStr">
        <is>
          <t>PR</t>
        </is>
      </c>
      <c r="G30" s="6" t="inlineStr">
        <is>
          <t>Autorizada</t>
        </is>
      </c>
      <c r="H30" s="6" t="inlineStr">
        <is>
          <t>5101</t>
        </is>
      </c>
      <c r="I30" s="6" t="n">
        <v>1</v>
      </c>
      <c r="J30" s="6" t="n">
        <v>1</v>
      </c>
      <c r="K30" s="8" t="n">
        <v>273.5</v>
      </c>
      <c r="L30" s="8" t="n">
        <v>273.5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6" t="inlineStr">
        <is>
          <t>OK</t>
        </is>
      </c>
      <c r="T30" s="6" t="inlineStr">
        <is>
          <t>41260952680145000184550010000008141610067850</t>
        </is>
      </c>
    </row>
    <row r="31">
      <c r="A31" s="6" t="n">
        <v>17187</v>
      </c>
      <c r="B31" s="6" t="inlineStr">
        <is>
          <t>1</t>
        </is>
      </c>
      <c r="C31" s="7" t="n">
        <v>46283</v>
      </c>
      <c r="D31" s="6" t="inlineStr">
        <is>
          <t>ONIXSUL COSMETICOS</t>
        </is>
      </c>
      <c r="E31" s="6" t="inlineStr">
        <is>
          <t>18074269000188</t>
        </is>
      </c>
      <c r="F31" s="6" t="inlineStr">
        <is>
          <t>PR</t>
        </is>
      </c>
      <c r="G31" s="6" t="inlineStr">
        <is>
          <t>Autorizada</t>
        </is>
      </c>
      <c r="H31" s="6" t="inlineStr">
        <is>
          <t>5901</t>
        </is>
      </c>
      <c r="I31" s="6" t="n">
        <v>1</v>
      </c>
      <c r="J31" s="6" t="n">
        <v>1</v>
      </c>
      <c r="K31" s="8" t="n">
        <v>5700</v>
      </c>
      <c r="L31" s="8" t="n">
        <v>5700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6" t="inlineStr">
        <is>
          <t>OK</t>
        </is>
      </c>
      <c r="T31" s="6" t="inlineStr">
        <is>
          <t>41260918074269000188550010000171871932036922</t>
        </is>
      </c>
    </row>
    <row r="32">
      <c r="A32" s="6" t="n">
        <v>3214</v>
      </c>
      <c r="B32" s="6" t="inlineStr">
        <is>
          <t>2</t>
        </is>
      </c>
      <c r="C32" s="7" t="n">
        <v>46283</v>
      </c>
      <c r="D32" s="6" t="inlineStr">
        <is>
          <t>Sul Tape Comercio de Embalagens EIRELI</t>
        </is>
      </c>
      <c r="E32" s="6" t="inlineStr">
        <is>
          <t>25141658000144</t>
        </is>
      </c>
      <c r="F32" s="6" t="inlineStr">
        <is>
          <t>PR</t>
        </is>
      </c>
      <c r="G32" s="6" t="inlineStr">
        <is>
          <t>Autorizada</t>
        </is>
      </c>
      <c r="H32" s="6" t="inlineStr">
        <is>
          <t>5102</t>
        </is>
      </c>
      <c r="I32" s="6" t="n">
        <v>2</v>
      </c>
      <c r="J32" s="6" t="n">
        <v>2</v>
      </c>
      <c r="K32" s="8" t="n">
        <v>1140</v>
      </c>
      <c r="L32" s="8" t="n">
        <v>1140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6" t="inlineStr">
        <is>
          <t>OK</t>
        </is>
      </c>
      <c r="T32" s="6" t="inlineStr">
        <is>
          <t>41260925141658000144550020000032141236266620</t>
        </is>
      </c>
    </row>
    <row r="33">
      <c r="A33" s="6" t="n">
        <v>117690</v>
      </c>
      <c r="B33" s="6" t="inlineStr">
        <is>
          <t>5</t>
        </is>
      </c>
      <c r="C33" s="7" t="n">
        <v>46286</v>
      </c>
      <c r="D33" s="6" t="inlineStr">
        <is>
          <t>BISPHARMA EMBALAGENS LTDA</t>
        </is>
      </c>
      <c r="E33" s="6" t="inlineStr">
        <is>
          <t>59610485000188</t>
        </is>
      </c>
      <c r="F33" s="6" t="inlineStr">
        <is>
          <t>SP</t>
        </is>
      </c>
      <c r="G33" s="6" t="inlineStr">
        <is>
          <t>Autorizada</t>
        </is>
      </c>
      <c r="H33" s="6" t="inlineStr">
        <is>
          <t>6101</t>
        </is>
      </c>
      <c r="I33" s="6" t="n">
        <v>1</v>
      </c>
      <c r="J33" s="6" t="n">
        <v>1</v>
      </c>
      <c r="K33" s="8" t="n">
        <v>26515.5</v>
      </c>
      <c r="L33" s="8" t="n">
        <v>26515.5</v>
      </c>
      <c r="M33" s="8" t="n">
        <v>2987.66</v>
      </c>
      <c r="N33" s="8" t="n">
        <v>2987.66</v>
      </c>
      <c r="O33" s="8" t="n">
        <v>1618.32</v>
      </c>
      <c r="P33" s="8" t="n">
        <v>1618.32</v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35260959610485000188550050001176901971337303</t>
        </is>
      </c>
    </row>
    <row r="34">
      <c r="A34" s="6" t="n">
        <v>5233</v>
      </c>
      <c r="B34" s="6" t="inlineStr">
        <is>
          <t>3</t>
        </is>
      </c>
      <c r="C34" s="7" t="n">
        <v>46286</v>
      </c>
      <c r="D34" s="6" t="inlineStr">
        <is>
          <t>JOSE DOMINGOS LINARES LTDA</t>
        </is>
      </c>
      <c r="E34" s="6" t="inlineStr">
        <is>
          <t>03839251000152</t>
        </is>
      </c>
      <c r="F34" s="6" t="inlineStr">
        <is>
          <t>PR</t>
        </is>
      </c>
      <c r="G34" s="6" t="inlineStr">
        <is>
          <t>Autorizada</t>
        </is>
      </c>
      <c r="H34" s="6" t="inlineStr">
        <is>
          <t>5924</t>
        </is>
      </c>
      <c r="I34" s="6" t="n">
        <v>1</v>
      </c>
      <c r="J34" s="6" t="n">
        <v>1</v>
      </c>
      <c r="K34" s="8" t="n">
        <v>2420.01</v>
      </c>
      <c r="L34" s="8" t="n">
        <v>2420.01</v>
      </c>
      <c r="M34" s="8" t="n">
        <v>0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41260903839251000152550030000052331135756040</t>
        </is>
      </c>
    </row>
    <row r="35">
      <c r="A35" s="6" t="n">
        <v>5235</v>
      </c>
      <c r="B35" s="6" t="inlineStr">
        <is>
          <t>3</t>
        </is>
      </c>
      <c r="C35" s="7" t="n">
        <v>46286</v>
      </c>
      <c r="D35" s="6" t="inlineStr">
        <is>
          <t>JOSE DOMINGOS LINARES LTDA</t>
        </is>
      </c>
      <c r="E35" s="6" t="inlineStr">
        <is>
          <t>03839251000152</t>
        </is>
      </c>
      <c r="F35" s="6" t="inlineStr">
        <is>
          <t>PR</t>
        </is>
      </c>
      <c r="G35" s="6" t="inlineStr">
        <is>
          <t>Autorizada</t>
        </is>
      </c>
      <c r="H35" s="6" t="inlineStr">
        <is>
          <t>5924</t>
        </is>
      </c>
      <c r="I35" s="6" t="n">
        <v>1</v>
      </c>
      <c r="J35" s="6" t="n">
        <v>1</v>
      </c>
      <c r="K35" s="8" t="n">
        <v>1760</v>
      </c>
      <c r="L35" s="8" t="n">
        <v>1760</v>
      </c>
      <c r="M35" s="8" t="n">
        <v>0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41260903839251000152550030000052351191452986</t>
        </is>
      </c>
    </row>
    <row r="36">
      <c r="A36" s="6" t="n">
        <v>55874</v>
      </c>
      <c r="B36" s="6" t="inlineStr">
        <is>
          <t>1</t>
        </is>
      </c>
      <c r="C36" s="7" t="n">
        <v>46286</v>
      </c>
      <c r="D36" s="6" t="inlineStr">
        <is>
          <t>Mix Perfumaria</t>
        </is>
      </c>
      <c r="E36" s="6" t="inlineStr">
        <is>
          <t>06237330000181</t>
        </is>
      </c>
      <c r="F36" s="6" t="inlineStr">
        <is>
          <t>PR</t>
        </is>
      </c>
      <c r="G36" s="6" t="inlineStr">
        <is>
          <t>Autorizada</t>
        </is>
      </c>
      <c r="H36" s="6" t="inlineStr">
        <is>
          <t>5901</t>
        </is>
      </c>
      <c r="I36" s="6" t="n">
        <v>1</v>
      </c>
      <c r="J36" s="6" t="n">
        <v>1</v>
      </c>
      <c r="K36" s="8" t="n">
        <v>600</v>
      </c>
      <c r="L36" s="8" t="n">
        <v>600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41260906237330000181550010000558741118273450</t>
        </is>
      </c>
    </row>
    <row r="37">
      <c r="A37" s="6" t="n">
        <v>4551</v>
      </c>
      <c r="B37" s="6" t="inlineStr">
        <is>
          <t>2</t>
        </is>
      </c>
      <c r="C37" s="7" t="n">
        <v>46286</v>
      </c>
      <c r="D37" s="6" t="inlineStr">
        <is>
          <t>BB COSMETICOS LTDA</t>
        </is>
      </c>
      <c r="E37" s="6" t="inlineStr">
        <is>
          <t>21822008000103</t>
        </is>
      </c>
      <c r="F37" s="6" t="inlineStr">
        <is>
          <t>PR</t>
        </is>
      </c>
      <c r="G37" s="6" t="inlineStr">
        <is>
          <t>Autorizada</t>
        </is>
      </c>
      <c r="H37" s="6" t="inlineStr">
        <is>
          <t>5901</t>
        </is>
      </c>
      <c r="I37" s="6" t="n">
        <v>5</v>
      </c>
      <c r="J37" s="6" t="n">
        <v>5</v>
      </c>
      <c r="K37" s="8" t="n">
        <v>65</v>
      </c>
      <c r="L37" s="8" t="n">
        <v>65</v>
      </c>
      <c r="M37" s="8" t="n">
        <v>0</v>
      </c>
      <c r="N37" s="8" t="n">
        <v>0</v>
      </c>
      <c r="O37" s="8" t="n">
        <v>0</v>
      </c>
      <c r="P37" s="8" t="n">
        <v>0</v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41260921822008000103550020000045511028307079</t>
        </is>
      </c>
    </row>
    <row r="38">
      <c r="A38" s="6" t="n">
        <v>275966</v>
      </c>
      <c r="B38" s="6" t="inlineStr">
        <is>
          <t>55</t>
        </is>
      </c>
      <c r="C38" s="7" t="n">
        <v>46287</v>
      </c>
      <c r="D38" s="6" t="inlineStr">
        <is>
          <t>MCASSAB COMERCIO E INDUSTRIA LTDA</t>
        </is>
      </c>
      <c r="E38" s="6" t="inlineStr">
        <is>
          <t>49698723003110</t>
        </is>
      </c>
      <c r="F38" s="6" t="inlineStr">
        <is>
          <t>SP</t>
        </is>
      </c>
      <c r="G38" s="6" t="inlineStr">
        <is>
          <t>Autorizada</t>
        </is>
      </c>
      <c r="H38" s="6" t="inlineStr">
        <is>
          <t>6102</t>
        </is>
      </c>
      <c r="I38" s="6" t="n">
        <v>1</v>
      </c>
      <c r="J38" s="6" t="n">
        <v>1</v>
      </c>
      <c r="K38" s="8" t="n">
        <v>3873.74</v>
      </c>
      <c r="L38" s="8" t="n">
        <v>3873.74</v>
      </c>
      <c r="M38" s="8" t="n">
        <v>154.95</v>
      </c>
      <c r="N38" s="8" t="n">
        <v>154.95</v>
      </c>
      <c r="O38" s="8" t="n">
        <v>0</v>
      </c>
      <c r="P38" s="8" t="n">
        <v>0</v>
      </c>
      <c r="Q38" s="8" t="n">
        <v>0</v>
      </c>
      <c r="R38" s="8" t="n">
        <v>0</v>
      </c>
      <c r="S38" s="6" t="inlineStr">
        <is>
          <t>OK</t>
        </is>
      </c>
      <c r="T38" s="6" t="inlineStr">
        <is>
          <t>35260949698723003110550550002759661838341135</t>
        </is>
      </c>
    </row>
    <row r="39">
      <c r="A39" s="6" t="n">
        <v>48241</v>
      </c>
      <c r="B39" s="6" t="inlineStr">
        <is>
          <t>1</t>
        </is>
      </c>
      <c r="C39" s="7" t="n">
        <v>46288</v>
      </c>
      <c r="D39" s="6" t="inlineStr">
        <is>
          <t>HS INKLASER LTDA</t>
        </is>
      </c>
      <c r="E39" s="6" t="inlineStr">
        <is>
          <t>18858535000163</t>
        </is>
      </c>
      <c r="F39" s="6" t="inlineStr">
        <is>
          <t>SP</t>
        </is>
      </c>
      <c r="G39" s="6" t="inlineStr">
        <is>
          <t>Autorizada</t>
        </is>
      </c>
      <c r="H39" s="6" t="inlineStr">
        <is>
          <t>6102</t>
        </is>
      </c>
      <c r="I39" s="6" t="n">
        <v>1</v>
      </c>
      <c r="J39" s="6" t="n">
        <v>1</v>
      </c>
      <c r="K39" s="8" t="n">
        <v>1074.5</v>
      </c>
      <c r="L39" s="8" t="n">
        <v>1074.5</v>
      </c>
      <c r="M39" s="8" t="n">
        <v>125.11</v>
      </c>
      <c r="N39" s="8" t="n">
        <v>125.11</v>
      </c>
      <c r="O39" s="8" t="n">
        <v>31.95</v>
      </c>
      <c r="P39" s="8" t="n">
        <v>31.95</v>
      </c>
      <c r="Q39" s="8" t="n">
        <v>0</v>
      </c>
      <c r="R39" s="8" t="n">
        <v>0</v>
      </c>
      <c r="S39" s="6" t="inlineStr">
        <is>
          <t>OK</t>
        </is>
      </c>
      <c r="T39" s="6" t="inlineStr">
        <is>
          <t>35260918858535000163550010000482411465753374</t>
        </is>
      </c>
    </row>
    <row r="40">
      <c r="A40" s="6" t="n">
        <v>141811</v>
      </c>
      <c r="B40" s="6" t="inlineStr">
        <is>
          <t>1</t>
        </is>
      </c>
      <c r="C40" s="7" t="n">
        <v>46288</v>
      </c>
      <c r="D40" s="6" t="inlineStr">
        <is>
          <t>SCENTEC ESSENCIAS E FRAGRANCIAS LTDA</t>
        </is>
      </c>
      <c r="E40" s="6" t="inlineStr">
        <is>
          <t>62514971000107</t>
        </is>
      </c>
      <c r="F40" s="6" t="inlineStr">
        <is>
          <t>SP</t>
        </is>
      </c>
      <c r="G40" s="6" t="inlineStr">
        <is>
          <t>Autorizada</t>
        </is>
      </c>
      <c r="H40" s="6" t="inlineStr">
        <is>
          <t>6101</t>
        </is>
      </c>
      <c r="I40" s="6" t="n">
        <v>1</v>
      </c>
      <c r="J40" s="6" t="n">
        <v>1</v>
      </c>
      <c r="K40" s="8" t="n">
        <v>4794.99</v>
      </c>
      <c r="L40" s="8" t="n">
        <v>4794.99</v>
      </c>
      <c r="M40" s="8" t="n">
        <v>557.29</v>
      </c>
      <c r="N40" s="8" t="n">
        <v>557.29</v>
      </c>
      <c r="O40" s="8" t="n">
        <v>150.93</v>
      </c>
      <c r="P40" s="8" t="n">
        <v>150.93</v>
      </c>
      <c r="Q40" s="8" t="n">
        <v>0</v>
      </c>
      <c r="R40" s="8" t="n">
        <v>0</v>
      </c>
      <c r="S40" s="6" t="inlineStr">
        <is>
          <t>OK</t>
        </is>
      </c>
      <c r="T40" s="6" t="inlineStr">
        <is>
          <t>35260962514971000107550010001418111026832844</t>
        </is>
      </c>
    </row>
    <row r="41">
      <c r="A41" s="6" t="n">
        <v>55913</v>
      </c>
      <c r="B41" s="6" t="inlineStr">
        <is>
          <t>1</t>
        </is>
      </c>
      <c r="C41" s="7" t="n">
        <v>46288</v>
      </c>
      <c r="D41" s="6" t="inlineStr">
        <is>
          <t>Mix Perfumaria</t>
        </is>
      </c>
      <c r="E41" s="6" t="inlineStr">
        <is>
          <t>06237330000181</t>
        </is>
      </c>
      <c r="F41" s="6" t="inlineStr">
        <is>
          <t>PR</t>
        </is>
      </c>
      <c r="G41" s="6" t="inlineStr">
        <is>
          <t>Autorizada</t>
        </is>
      </c>
      <c r="H41" s="6" t="inlineStr">
        <is>
          <t>5901</t>
        </is>
      </c>
      <c r="I41" s="6" t="n">
        <v>1</v>
      </c>
      <c r="J41" s="6" t="n">
        <v>1</v>
      </c>
      <c r="K41" s="8" t="n">
        <v>556.5</v>
      </c>
      <c r="L41" s="8" t="n">
        <v>556.5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6" t="inlineStr">
        <is>
          <t>OK</t>
        </is>
      </c>
      <c r="T41" s="6" t="inlineStr">
        <is>
          <t>41260906237330000181550010000559131118294105</t>
        </is>
      </c>
    </row>
    <row r="42">
      <c r="A42" s="6" t="n">
        <v>14838</v>
      </c>
      <c r="B42" s="6" t="inlineStr">
        <is>
          <t>1</t>
        </is>
      </c>
      <c r="C42" s="7" t="n">
        <v>46288</v>
      </c>
      <c r="D42" s="6" t="inlineStr">
        <is>
          <t>Mix Cosmeticos Ltda</t>
        </is>
      </c>
      <c r="E42" s="6" t="inlineStr">
        <is>
          <t>27697083000176</t>
        </is>
      </c>
      <c r="F42" s="6" t="inlineStr">
        <is>
          <t>MS</t>
        </is>
      </c>
      <c r="G42" s="6" t="inlineStr">
        <is>
          <t>Autorizada</t>
        </is>
      </c>
      <c r="H42" s="6" t="inlineStr">
        <is>
          <t>6901</t>
        </is>
      </c>
      <c r="I42" s="6" t="n">
        <v>1</v>
      </c>
      <c r="J42" s="6" t="n">
        <v>1</v>
      </c>
      <c r="K42" s="8" t="n">
        <v>948</v>
      </c>
      <c r="L42" s="8" t="n">
        <v>948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50260927697083000176550010000148381118293998</t>
        </is>
      </c>
    </row>
    <row r="43">
      <c r="A43" s="6" t="n">
        <v>391</v>
      </c>
      <c r="B43" s="6" t="inlineStr">
        <is>
          <t>7</t>
        </is>
      </c>
      <c r="C43" s="7" t="n">
        <v>46293</v>
      </c>
      <c r="D43" s="6" t="inlineStr">
        <is>
          <t>CHEMYUNION LTDA</t>
        </is>
      </c>
      <c r="E43" s="6" t="inlineStr">
        <is>
          <t>58309709000820</t>
        </is>
      </c>
      <c r="F43" s="6" t="inlineStr">
        <is>
          <t>MG</t>
        </is>
      </c>
      <c r="G43" s="6" t="inlineStr">
        <is>
          <t>Autorizada</t>
        </is>
      </c>
      <c r="H43" s="6" t="inlineStr">
        <is>
          <t>6949</t>
        </is>
      </c>
      <c r="I43" s="6" t="n">
        <v>1</v>
      </c>
      <c r="J43" s="6" t="n">
        <v>1</v>
      </c>
      <c r="K43" s="8" t="n">
        <v>8472.040000000001</v>
      </c>
      <c r="L43" s="8" t="n">
        <v>8472.040000000001</v>
      </c>
      <c r="M43" s="8" t="n">
        <v>0</v>
      </c>
      <c r="N43" s="8" t="n">
        <v>0</v>
      </c>
      <c r="O43" s="8" t="n">
        <v>0</v>
      </c>
      <c r="P43" s="8" t="n">
        <v>0</v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31260958309709000820550070000003911550019201</t>
        </is>
      </c>
    </row>
    <row r="44">
      <c r="A44" s="6" t="n">
        <v>19303</v>
      </c>
      <c r="B44" s="6" t="inlineStr">
        <is>
          <t>2</t>
        </is>
      </c>
      <c r="C44" s="7" t="n">
        <v>46294</v>
      </c>
      <c r="D44" s="6" t="inlineStr">
        <is>
          <t>CHEMYUNION LTDA</t>
        </is>
      </c>
      <c r="E44" s="6" t="inlineStr">
        <is>
          <t>58309709000820</t>
        </is>
      </c>
      <c r="F44" s="6" t="inlineStr">
        <is>
          <t>MG</t>
        </is>
      </c>
      <c r="G44" s="6" t="inlineStr">
        <is>
          <t>Autorizada</t>
        </is>
      </c>
      <c r="H44" s="6" t="inlineStr">
        <is>
          <t>6101</t>
        </is>
      </c>
      <c r="I44" s="6" t="n">
        <v>1</v>
      </c>
      <c r="J44" s="6" t="n">
        <v>1</v>
      </c>
      <c r="K44" s="8" t="n">
        <v>8747.379999999999</v>
      </c>
      <c r="L44" s="8" t="n">
        <v>8747.379999999999</v>
      </c>
      <c r="M44" s="8" t="n">
        <v>1016.64</v>
      </c>
      <c r="N44" s="8" t="n">
        <v>1016.64</v>
      </c>
      <c r="O44" s="8" t="n">
        <v>275.34</v>
      </c>
      <c r="P44" s="8" t="n">
        <v>275.34</v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31260958309709000820550020000193031662295529</t>
        </is>
      </c>
    </row>
    <row r="45">
      <c r="A45" s="6" t="n">
        <v>392</v>
      </c>
      <c r="B45" s="6" t="inlineStr">
        <is>
          <t>7</t>
        </is>
      </c>
      <c r="C45" s="7" t="n">
        <v>46294</v>
      </c>
      <c r="D45" s="6" t="inlineStr">
        <is>
          <t>CHEMYUNION LTDA</t>
        </is>
      </c>
      <c r="E45" s="6" t="inlineStr">
        <is>
          <t>58309709000820</t>
        </is>
      </c>
      <c r="F45" s="6" t="inlineStr">
        <is>
          <t>MG</t>
        </is>
      </c>
      <c r="G45" s="6" t="inlineStr">
        <is>
          <t>Autorizada</t>
        </is>
      </c>
      <c r="H45" s="6" t="inlineStr">
        <is>
          <t>6949</t>
        </is>
      </c>
      <c r="I45" s="6" t="n">
        <v>1</v>
      </c>
      <c r="J45" s="6" t="n">
        <v>1</v>
      </c>
      <c r="K45" s="8" t="n">
        <v>275.34</v>
      </c>
      <c r="L45" s="8" t="n">
        <v>275.34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31260958309709000820550070000003921611175930</t>
        </is>
      </c>
    </row>
    <row r="46">
      <c r="A46" s="6" t="n">
        <v>42285</v>
      </c>
      <c r="B46" s="6" t="inlineStr">
        <is>
          <t>1</t>
        </is>
      </c>
      <c r="C46" s="7" t="n">
        <v>46294</v>
      </c>
      <c r="D46" s="6" t="inlineStr">
        <is>
          <t>PROVITAL DO BRASIL COM. DE INSUMOS PARA COSMETICOS LTDA</t>
        </is>
      </c>
      <c r="E46" s="6" t="inlineStr">
        <is>
          <t>11340087000162</t>
        </is>
      </c>
      <c r="F46" s="6" t="inlineStr">
        <is>
          <t>SP</t>
        </is>
      </c>
      <c r="G46" s="6" t="inlineStr">
        <is>
          <t>Autorizada</t>
        </is>
      </c>
      <c r="H46" s="6" t="inlineStr">
        <is>
          <t>6102</t>
        </is>
      </c>
      <c r="I46" s="6" t="n">
        <v>1</v>
      </c>
      <c r="J46" s="6" t="n">
        <v>1</v>
      </c>
      <c r="K46" s="8" t="n">
        <v>4278.84</v>
      </c>
      <c r="L46" s="8" t="n">
        <v>4278.84</v>
      </c>
      <c r="M46" s="8" t="n">
        <v>160.71</v>
      </c>
      <c r="N46" s="8" t="n">
        <v>160.71</v>
      </c>
      <c r="O46" s="8" t="n">
        <v>261.15</v>
      </c>
      <c r="P46" s="8" t="n">
        <v>261.15</v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35260911340087000162550010000422851305252223</t>
        </is>
      </c>
    </row>
    <row r="47">
      <c r="A47" s="6" t="n">
        <v>5382</v>
      </c>
      <c r="B47" s="6" t="inlineStr">
        <is>
          <t>3</t>
        </is>
      </c>
      <c r="C47" s="7" t="n">
        <v>46294</v>
      </c>
      <c r="D47" s="6" t="inlineStr">
        <is>
          <t>JOSE DOMINGOS LINARES LTDA</t>
        </is>
      </c>
      <c r="E47" s="6" t="inlineStr">
        <is>
          <t>03839251000152</t>
        </is>
      </c>
      <c r="F47" s="6" t="inlineStr">
        <is>
          <t>PR</t>
        </is>
      </c>
      <c r="G47" s="6" t="inlineStr">
        <is>
          <t>Autorizada</t>
        </is>
      </c>
      <c r="H47" s="6" t="inlineStr">
        <is>
          <t>5949</t>
        </is>
      </c>
      <c r="I47" s="6" t="n">
        <v>1</v>
      </c>
      <c r="J47" s="6" t="n">
        <v>1</v>
      </c>
      <c r="K47" s="8" t="n">
        <v>1893</v>
      </c>
      <c r="L47" s="8" t="n">
        <v>1893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41260903839251000152550030000053821102007626</t>
        </is>
      </c>
    </row>
    <row r="48">
      <c r="A48" s="6" t="n">
        <v>56004</v>
      </c>
      <c r="B48" s="6" t="inlineStr">
        <is>
          <t>1</t>
        </is>
      </c>
      <c r="C48" s="7" t="n">
        <v>46294</v>
      </c>
      <c r="D48" s="6" t="inlineStr">
        <is>
          <t>Mix Perfumaria</t>
        </is>
      </c>
      <c r="E48" s="6" t="inlineStr">
        <is>
          <t>06237330000181</t>
        </is>
      </c>
      <c r="F48" s="6" t="inlineStr">
        <is>
          <t>PR</t>
        </is>
      </c>
      <c r="G48" s="6" t="inlineStr">
        <is>
          <t>Autorizada</t>
        </is>
      </c>
      <c r="H48" s="6" t="inlineStr">
        <is>
          <t>5901</t>
        </is>
      </c>
      <c r="I48" s="6" t="n">
        <v>1</v>
      </c>
      <c r="J48" s="6" t="n">
        <v>1</v>
      </c>
      <c r="K48" s="8" t="n">
        <v>300</v>
      </c>
      <c r="L48" s="8" t="n">
        <v>300</v>
      </c>
      <c r="M48" s="8" t="n">
        <v>0</v>
      </c>
      <c r="N48" s="8" t="n">
        <v>0</v>
      </c>
      <c r="O48" s="8" t="n">
        <v>0</v>
      </c>
      <c r="P48" s="8" t="n">
        <v>0</v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41260906237330000181550010000560041118322920</t>
        </is>
      </c>
    </row>
    <row r="49">
      <c r="A49" s="6" t="n">
        <v>222098</v>
      </c>
      <c r="B49" s="6" t="inlineStr">
        <is>
          <t>1</t>
        </is>
      </c>
      <c r="C49" s="7" t="n">
        <v>46294</v>
      </c>
      <c r="D49" s="6" t="inlineStr">
        <is>
          <t>FARMANILQUIMA COM. ANILINAS E PRODS.QUIM.LTDA</t>
        </is>
      </c>
      <c r="E49" s="6" t="inlineStr">
        <is>
          <t>76509488000149</t>
        </is>
      </c>
      <c r="F49" s="6" t="inlineStr">
        <is>
          <t>PR</t>
        </is>
      </c>
      <c r="G49" s="6" t="inlineStr">
        <is>
          <t>Autorizada</t>
        </is>
      </c>
      <c r="H49" s="6" t="inlineStr">
        <is>
          <t>5102</t>
        </is>
      </c>
      <c r="I49" s="6" t="n">
        <v>1</v>
      </c>
      <c r="J49" s="6" t="n">
        <v>1</v>
      </c>
      <c r="K49" s="8" t="n">
        <v>200</v>
      </c>
      <c r="L49" s="8" t="n">
        <v>200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41260976509488000149550010002220981017634246</t>
        </is>
      </c>
    </row>
    <row r="50">
      <c r="A50" s="6" t="n">
        <v>14856</v>
      </c>
      <c r="B50" s="6" t="inlineStr">
        <is>
          <t>1</t>
        </is>
      </c>
      <c r="C50" s="7" t="n">
        <v>46294</v>
      </c>
      <c r="D50" s="6" t="inlineStr">
        <is>
          <t>Mix Cosmeticos Ltda</t>
        </is>
      </c>
      <c r="E50" s="6" t="inlineStr">
        <is>
          <t>27697083000176</t>
        </is>
      </c>
      <c r="F50" s="6" t="inlineStr">
        <is>
          <t>MS</t>
        </is>
      </c>
      <c r="G50" s="6" t="inlineStr">
        <is>
          <t>Autorizada</t>
        </is>
      </c>
      <c r="H50" s="6" t="inlineStr">
        <is>
          <t>6901</t>
        </is>
      </c>
      <c r="I50" s="6" t="n">
        <v>1</v>
      </c>
      <c r="J50" s="6" t="n">
        <v>1</v>
      </c>
      <c r="K50" s="8" t="n">
        <v>600</v>
      </c>
      <c r="L50" s="8" t="n">
        <v>600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6" t="inlineStr">
        <is>
          <t>OK</t>
        </is>
      </c>
      <c r="T50" s="6" t="inlineStr">
        <is>
          <t>50260927697083000176550010000148561118323143</t>
        </is>
      </c>
    </row>
    <row r="51">
      <c r="A51" s="6" t="n">
        <v>38175</v>
      </c>
      <c r="B51" s="6" t="inlineStr">
        <is>
          <t>1</t>
        </is>
      </c>
      <c r="C51" s="7" t="n">
        <v>46295</v>
      </c>
      <c r="D51" s="6" t="inlineStr">
        <is>
          <t>ALLOXY ESPECIALIDADES QUIMICAS LTDA</t>
        </is>
      </c>
      <c r="E51" s="6" t="inlineStr">
        <is>
          <t>16987597000140</t>
        </is>
      </c>
      <c r="F51" s="6" t="inlineStr">
        <is>
          <t>PR</t>
        </is>
      </c>
      <c r="G51" s="6" t="inlineStr">
        <is>
          <t>Autorizada</t>
        </is>
      </c>
      <c r="H51" s="6" t="inlineStr">
        <is>
          <t>5101</t>
        </is>
      </c>
      <c r="I51" s="6" t="n">
        <v>1</v>
      </c>
      <c r="J51" s="6" t="n">
        <v>1</v>
      </c>
      <c r="K51" s="8" t="n">
        <v>5593.5</v>
      </c>
      <c r="L51" s="8" t="n">
        <v>5593.5</v>
      </c>
      <c r="M51" s="8" t="n">
        <v>671.22</v>
      </c>
      <c r="N51" s="8" t="n">
        <v>671.22</v>
      </c>
      <c r="O51" s="8" t="n">
        <v>0</v>
      </c>
      <c r="P51" s="8" t="n">
        <v>0</v>
      </c>
      <c r="Q51" s="8" t="n">
        <v>0</v>
      </c>
      <c r="R51" s="8" t="n">
        <v>0</v>
      </c>
      <c r="S51" s="6" t="inlineStr">
        <is>
          <t>OK</t>
        </is>
      </c>
      <c r="T51" s="6" t="inlineStr">
        <is>
          <t>41260916987597000140550010000381751288422874</t>
        </is>
      </c>
    </row>
    <row r="52">
      <c r="A52" s="6" t="n">
        <v>42</v>
      </c>
      <c r="B52" s="6" t="inlineStr">
        <is>
          <t>1</t>
        </is>
      </c>
      <c r="C52" s="7" t="n">
        <v>46295</v>
      </c>
      <c r="D52" s="6" t="inlineStr">
        <is>
          <t>MERCKPAR COMERCIAL LTDA</t>
        </is>
      </c>
      <c r="E52" s="6" t="inlineStr">
        <is>
          <t>63460684000124</t>
        </is>
      </c>
      <c r="F52" s="6" t="inlineStr">
        <is>
          <t>PR</t>
        </is>
      </c>
      <c r="G52" s="6" t="inlineStr">
        <is>
          <t>Autorizada</t>
        </is>
      </c>
      <c r="H52" s="6" t="inlineStr">
        <is>
          <t>5102</t>
        </is>
      </c>
      <c r="I52" s="6" t="n">
        <v>1</v>
      </c>
      <c r="J52" s="6" t="n">
        <v>1</v>
      </c>
      <c r="K52" s="8" t="n">
        <v>1180</v>
      </c>
      <c r="L52" s="8" t="n">
        <v>1180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6" t="inlineStr">
        <is>
          <t>OK</t>
        </is>
      </c>
      <c r="T52" s="6" t="inlineStr">
        <is>
          <t>41260963460684000124550010000000421742919846</t>
        </is>
      </c>
    </row>
    <row r="53">
      <c r="A53" s="6" t="n">
        <v>97145</v>
      </c>
      <c r="B53" s="6" t="inlineStr">
        <is>
          <t>1</t>
        </is>
      </c>
      <c r="C53" s="7" t="n">
        <v>46295</v>
      </c>
      <c r="D53" s="6" t="inlineStr">
        <is>
          <t>Supermercado Boza Ltda</t>
        </is>
      </c>
      <c r="E53" s="6" t="inlineStr">
        <is>
          <t>73419905000174</t>
        </is>
      </c>
      <c r="F53" s="6" t="inlineStr">
        <is>
          <t>PR</t>
        </is>
      </c>
      <c r="G53" s="6" t="inlineStr">
        <is>
          <t>Autorizada</t>
        </is>
      </c>
      <c r="H53" s="6" t="inlineStr">
        <is>
          <t>5102</t>
        </is>
      </c>
      <c r="I53" s="6" t="n">
        <v>4</v>
      </c>
      <c r="J53" s="6" t="n">
        <v>4</v>
      </c>
      <c r="K53" s="8" t="n">
        <v>389.77</v>
      </c>
      <c r="L53" s="8" t="n">
        <v>389.77</v>
      </c>
      <c r="M53" s="8" t="n">
        <v>5.4</v>
      </c>
      <c r="N53" s="8" t="n">
        <v>5.4</v>
      </c>
      <c r="O53" s="8" t="n">
        <v>0</v>
      </c>
      <c r="P53" s="8" t="n">
        <v>0</v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41260973419905000174550010000971451002693820</t>
        </is>
      </c>
    </row>
    <row r="54">
      <c r="A54" s="12" t="inlineStr">
        <is>
          <t>Total</t>
        </is>
      </c>
      <c r="K54" s="13">
        <f>SUM(K5:K53)</f>
        <v/>
      </c>
      <c r="L54" s="13">
        <f>SUM(L5:L53)</f>
        <v/>
      </c>
      <c r="M54" s="13">
        <f>SUM(M5:M53)</f>
        <v/>
      </c>
      <c r="N54" s="13">
        <f>SUM(N5:N53)</f>
        <v/>
      </c>
      <c r="O54" s="13">
        <f>SUM(O5:O53)</f>
        <v/>
      </c>
      <c r="P54" s="13">
        <f>SUM(P5:P53)</f>
        <v/>
      </c>
      <c r="Q54" s="13">
        <f>SUM(Q5:Q53)</f>
        <v/>
      </c>
      <c r="R54" s="13">
        <f>SUM(R5:R53)</f>
        <v/>
      </c>
    </row>
  </sheetData>
  <autoFilter ref="A4:T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0" customWidth="1" min="3" max="3"/>
    <col width="32" customWidth="1" min="4" max="4"/>
    <col width="16" customWidth="1" min="5" max="5"/>
    <col width="7" customWidth="1" min="6" max="6"/>
    <col width="6" customWidth="1" min="7" max="7"/>
    <col width="26" customWidth="1" min="8" max="8"/>
    <col width="10" customWidth="1" min="9" max="9"/>
    <col width="8" customWidth="1" min="10" max="10"/>
    <col width="10" customWidth="1" min="11" max="11"/>
    <col width="10" customWidth="1" min="12" max="12"/>
    <col width="9" customWidth="1" min="13" max="13"/>
    <col width="9" customWidth="1" min="14" max="14"/>
    <col width="40" customWidth="1" min="15" max="15"/>
    <col width="46" customWidth="1" min="16" max="16"/>
    <col width="46" customWidth="1" min="17" max="17"/>
  </cols>
  <sheetData>
    <row r="1">
      <c r="A1" s="1" t="inlineStr">
        <is>
          <t>CT-e</t>
        </is>
      </c>
    </row>
    <row r="2">
      <c r="A2" s="2" t="inlineStr">
        <is>
          <t>XML x Relatorio_CTe (SIEG) - todos os CT-e em que a Cosmetici aparece. Amarelo = Cosmetici tomadora sem XML; cinza = tomador é outra empresa ou cancelado.</t>
        </is>
      </c>
    </row>
    <row r="4" ht="30" customHeight="1">
      <c r="A4" s="5" t="inlineStr">
        <is>
          <t>CT-e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Transportadora</t>
        </is>
      </c>
      <c r="E4" s="5" t="inlineStr">
        <is>
          <t>CNPJ</t>
        </is>
      </c>
      <c r="F4" s="5" t="inlineStr">
        <is>
          <t>Trajeto</t>
        </is>
      </c>
      <c r="G4" s="5" t="inlineStr">
        <is>
          <t>CFOP</t>
        </is>
      </c>
      <c r="H4" s="5" t="inlineStr">
        <is>
          <t>Tomador</t>
        </is>
      </c>
      <c r="I4" s="5" t="inlineStr">
        <is>
          <t>Situação</t>
        </is>
      </c>
      <c r="J4" s="5" t="inlineStr">
        <is>
          <t>XML na pasta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NF-e transportada</t>
        </is>
      </c>
      <c r="P4" s="5" t="inlineStr">
        <is>
          <t>Resultado</t>
        </is>
      </c>
      <c r="Q4" s="5" t="inlineStr">
        <is>
          <t>Chave</t>
        </is>
      </c>
    </row>
    <row r="5">
      <c r="A5" s="9" t="n">
        <v>2043498</v>
      </c>
      <c r="B5" s="9" t="inlineStr">
        <is>
          <t>1</t>
        </is>
      </c>
      <c r="C5" s="10" t="n">
        <v>46267</v>
      </c>
      <c r="D5" s="9" t="inlineStr">
        <is>
          <t>CURITIBA - EXPRESSO SAO MIGUEL S/A</t>
        </is>
      </c>
      <c r="E5" s="9" t="inlineStr">
        <is>
          <t>00428307002301</t>
        </is>
      </c>
      <c r="F5" s="9" t="inlineStr">
        <is>
          <t>PR-SC</t>
        </is>
      </c>
      <c r="G5" s="9" t="inlineStr">
        <is>
          <t>6353</t>
        </is>
      </c>
      <c r="H5" s="9" t="inlineStr">
        <is>
          <t>tomador 09344397000103</t>
        </is>
      </c>
      <c r="I5" s="9" t="inlineStr">
        <is>
          <t>Autorizado</t>
        </is>
      </c>
      <c r="J5" s="9" t="inlineStr">
        <is>
          <t>Não</t>
        </is>
      </c>
      <c r="K5" s="11" t="n"/>
      <c r="L5" s="11" t="n">
        <v>106</v>
      </c>
      <c r="M5" s="11" t="n"/>
      <c r="N5" s="11" t="n">
        <v>12.27</v>
      </c>
      <c r="O5" s="9" t="inlineStr">
        <is>
          <t>8936/33039048000162</t>
        </is>
      </c>
      <c r="P5" s="9" t="inlineStr">
        <is>
          <t>Sem XML na pasta (tomador é outra empresa)</t>
        </is>
      </c>
      <c r="Q5" s="9" t="inlineStr">
        <is>
          <t>41260900428307002301570010020434981020434985</t>
        </is>
      </c>
    </row>
    <row r="6">
      <c r="A6" s="9" t="n">
        <v>2043500</v>
      </c>
      <c r="B6" s="9" t="inlineStr">
        <is>
          <t>1</t>
        </is>
      </c>
      <c r="C6" s="10" t="n">
        <v>46267</v>
      </c>
      <c r="D6" s="9" t="inlineStr">
        <is>
          <t>CURITIBA - EXPRESSO SAO MIGUEL S/A</t>
        </is>
      </c>
      <c r="E6" s="9" t="inlineStr">
        <is>
          <t>00428307002301</t>
        </is>
      </c>
      <c r="F6" s="9" t="inlineStr">
        <is>
          <t>PR-SC</t>
        </is>
      </c>
      <c r="G6" s="9" t="inlineStr">
        <is>
          <t>6353</t>
        </is>
      </c>
      <c r="H6" s="9" t="inlineStr">
        <is>
          <t>tomador 17666331000168</t>
        </is>
      </c>
      <c r="I6" s="9" t="inlineStr">
        <is>
          <t>Autorizado</t>
        </is>
      </c>
      <c r="J6" s="9" t="inlineStr">
        <is>
          <t>Não</t>
        </is>
      </c>
      <c r="K6" s="11" t="n"/>
      <c r="L6" s="11" t="n">
        <v>161</v>
      </c>
      <c r="M6" s="11" t="n"/>
      <c r="N6" s="11" t="n">
        <v>18.87</v>
      </c>
      <c r="O6" s="9" t="inlineStr">
        <is>
          <t>8941/33039048000162</t>
        </is>
      </c>
      <c r="P6" s="9" t="inlineStr">
        <is>
          <t>Sem XML na pasta (tomador é outra empresa)</t>
        </is>
      </c>
      <c r="Q6" s="9" t="inlineStr">
        <is>
          <t>41260900428307002301570010020435001020435000</t>
        </is>
      </c>
    </row>
    <row r="7">
      <c r="A7" s="9" t="n">
        <v>2043501</v>
      </c>
      <c r="B7" s="9" t="inlineStr">
        <is>
          <t>1</t>
        </is>
      </c>
      <c r="C7" s="10" t="n">
        <v>46267</v>
      </c>
      <c r="D7" s="9" t="inlineStr">
        <is>
          <t>CURITIBA - EXPRESSO SAO MIGUEL S/A</t>
        </is>
      </c>
      <c r="E7" s="9" t="inlineStr">
        <is>
          <t>00428307002301</t>
        </is>
      </c>
      <c r="F7" s="9" t="inlineStr">
        <is>
          <t>PR-PR</t>
        </is>
      </c>
      <c r="G7" s="9" t="inlineStr">
        <is>
          <t>5353</t>
        </is>
      </c>
      <c r="H7" s="9" t="inlineStr">
        <is>
          <t>tomador 06237330000181</t>
        </is>
      </c>
      <c r="I7" s="9" t="inlineStr">
        <is>
          <t>Autorizado</t>
        </is>
      </c>
      <c r="J7" s="9" t="inlineStr">
        <is>
          <t>Não</t>
        </is>
      </c>
      <c r="K7" s="11" t="n"/>
      <c r="L7" s="11" t="n">
        <v>582</v>
      </c>
      <c r="M7" s="11" t="n"/>
      <c r="N7" s="11" t="n">
        <v>0</v>
      </c>
      <c r="O7" s="9" t="inlineStr">
        <is>
          <t>8945/33039048000162</t>
        </is>
      </c>
      <c r="P7" s="9" t="inlineStr">
        <is>
          <t>Sem XML na pasta (tomador é outra empresa)</t>
        </is>
      </c>
      <c r="Q7" s="9" t="inlineStr">
        <is>
          <t>41260900428307002301570010020435011020435016</t>
        </is>
      </c>
    </row>
    <row r="8">
      <c r="A8" s="9" t="n">
        <v>4683984</v>
      </c>
      <c r="B8" s="9" t="inlineStr">
        <is>
          <t>3</t>
        </is>
      </c>
      <c r="C8" s="10" t="n">
        <v>46268</v>
      </c>
      <c r="D8" s="9" t="inlineStr">
        <is>
          <t>RODONAVES TRANSPORTES E ENCOMENDAS LTDA</t>
        </is>
      </c>
      <c r="E8" s="9" t="inlineStr">
        <is>
          <t>44914992003820</t>
        </is>
      </c>
      <c r="F8" s="9" t="inlineStr">
        <is>
          <t>PR-SP</t>
        </is>
      </c>
      <c r="G8" s="9" t="inlineStr">
        <is>
          <t>6352</t>
        </is>
      </c>
      <c r="H8" s="9" t="inlineStr">
        <is>
          <t>Cosmetici tomadora</t>
        </is>
      </c>
      <c r="I8" s="9" t="inlineStr">
        <is>
          <t>Cancelado</t>
        </is>
      </c>
      <c r="J8" s="9" t="inlineStr">
        <is>
          <t>Não</t>
        </is>
      </c>
      <c r="K8" s="11" t="n"/>
      <c r="L8" s="11" t="n">
        <v>172.64</v>
      </c>
      <c r="M8" s="11" t="n"/>
      <c r="N8" s="11" t="n">
        <v>19.87</v>
      </c>
      <c r="O8" s="9" t="inlineStr">
        <is>
          <t>8953/33039048000162</t>
        </is>
      </c>
      <c r="P8" s="9" t="inlineStr">
        <is>
          <t>CT-e cancelado - status "Cancelamento" no relatório</t>
        </is>
      </c>
      <c r="Q8" s="9" t="inlineStr">
        <is>
          <t>41260944914992003820570030046839841046839848</t>
        </is>
      </c>
    </row>
    <row r="9">
      <c r="A9" s="14" t="n">
        <v>4687986</v>
      </c>
      <c r="B9" s="14" t="inlineStr">
        <is>
          <t>3</t>
        </is>
      </c>
      <c r="C9" s="15" t="n">
        <v>46268</v>
      </c>
      <c r="D9" s="14" t="inlineStr">
        <is>
          <t>RODONAVES TRANSPORTES E ENCOMENDAS LTDA</t>
        </is>
      </c>
      <c r="E9" s="14" t="inlineStr">
        <is>
          <t>44914992003820</t>
        </is>
      </c>
      <c r="F9" s="14" t="inlineStr">
        <is>
          <t>PR-SP</t>
        </is>
      </c>
      <c r="G9" s="14" t="inlineStr">
        <is>
          <t>6352</t>
        </is>
      </c>
      <c r="H9" s="14" t="inlineStr">
        <is>
          <t>Cosmetici tomadora</t>
        </is>
      </c>
      <c r="I9" s="14" t="inlineStr">
        <is>
          <t>Autorizado</t>
        </is>
      </c>
      <c r="J9" s="14" t="inlineStr">
        <is>
          <t>Não</t>
        </is>
      </c>
      <c r="K9" s="16" t="n"/>
      <c r="L9" s="16" t="n">
        <v>172.64</v>
      </c>
      <c r="M9" s="16" t="n"/>
      <c r="N9" s="16" t="n">
        <v>19.87</v>
      </c>
      <c r="O9" s="14" t="inlineStr">
        <is>
          <t>8953/33039048000162</t>
        </is>
      </c>
      <c r="P9" s="14" t="inlineStr">
        <is>
          <t>Sem XML na pasta (Cosmetici tomadora - pedir o XML)</t>
        </is>
      </c>
      <c r="Q9" s="14" t="inlineStr">
        <is>
          <t>41260944914992003820570030046879861046879869</t>
        </is>
      </c>
    </row>
    <row r="10">
      <c r="A10" s="6" t="n">
        <v>5597996</v>
      </c>
      <c r="B10" s="6" t="inlineStr">
        <is>
          <t>1</t>
        </is>
      </c>
      <c r="C10" s="7" t="n">
        <v>46269</v>
      </c>
      <c r="D10" s="6" t="inlineStr">
        <is>
          <t>CAXIAS DO SUL - EXPRESSO SAO MIGUEL S/A</t>
        </is>
      </c>
      <c r="E10" s="6" t="inlineStr">
        <is>
          <t>00428307000600</t>
        </is>
      </c>
      <c r="F10" s="6" t="inlineStr">
        <is>
          <t>RS-PR</t>
        </is>
      </c>
      <c r="G10" s="6" t="inlineStr">
        <is>
          <t>6352</t>
        </is>
      </c>
      <c r="H10" s="6" t="inlineStr">
        <is>
          <t>Cosmetici tomadora</t>
        </is>
      </c>
      <c r="I10" s="6" t="inlineStr">
        <is>
          <t>Autorizado</t>
        </is>
      </c>
      <c r="J10" s="6" t="inlineStr">
        <is>
          <t>Sim</t>
        </is>
      </c>
      <c r="K10" s="8" t="n">
        <v>301.49</v>
      </c>
      <c r="L10" s="8" t="n">
        <v>301.49</v>
      </c>
      <c r="M10" s="8" t="n">
        <v>36.18</v>
      </c>
      <c r="N10" s="8" t="n">
        <v>36.18</v>
      </c>
      <c r="O10" s="6" t="inlineStr">
        <is>
          <t>2564/54079636000108</t>
        </is>
      </c>
      <c r="P10" s="6" t="inlineStr">
        <is>
          <t>OK</t>
        </is>
      </c>
      <c r="Q10" s="6" t="inlineStr">
        <is>
          <t>43260900428307000600570010055979961055979961</t>
        </is>
      </c>
    </row>
    <row r="11">
      <c r="A11" s="9" t="n">
        <v>2052194</v>
      </c>
      <c r="B11" s="9" t="inlineStr">
        <is>
          <t>1</t>
        </is>
      </c>
      <c r="C11" s="10" t="n">
        <v>46273</v>
      </c>
      <c r="D11" s="9" t="inlineStr">
        <is>
          <t>CURITIBA - EXPRESSO SAO MIGUEL S/A</t>
        </is>
      </c>
      <c r="E11" s="9" t="inlineStr">
        <is>
          <t>00428307002301</t>
        </is>
      </c>
      <c r="F11" s="9" t="inlineStr">
        <is>
          <t>PR-PR</t>
        </is>
      </c>
      <c r="G11" s="9" t="inlineStr">
        <is>
          <t>5353</t>
        </is>
      </c>
      <c r="H11" s="9" t="inlineStr">
        <is>
          <t>tomador 18074269000188</t>
        </is>
      </c>
      <c r="I11" s="9" t="inlineStr">
        <is>
          <t>Autorizado</t>
        </is>
      </c>
      <c r="J11" s="9" t="inlineStr">
        <is>
          <t>Não</t>
        </is>
      </c>
      <c r="K11" s="11" t="n"/>
      <c r="L11" s="11" t="n">
        <v>180</v>
      </c>
      <c r="M11" s="11" t="n"/>
      <c r="N11" s="11" t="n">
        <v>0</v>
      </c>
      <c r="O11" s="9" t="inlineStr">
        <is>
          <t>8959/33039048000162</t>
        </is>
      </c>
      <c r="P11" s="9" t="inlineStr">
        <is>
          <t>Sem XML na pasta (tomador é outra empresa)</t>
        </is>
      </c>
      <c r="Q11" s="9" t="inlineStr">
        <is>
          <t>41260900428307002301570010020521941020521946</t>
        </is>
      </c>
    </row>
    <row r="12">
      <c r="A12" s="14" t="n">
        <v>3999629</v>
      </c>
      <c r="B12" s="14" t="inlineStr">
        <is>
          <t>0</t>
        </is>
      </c>
      <c r="C12" s="15" t="n">
        <v>46274</v>
      </c>
      <c r="D12" s="14" t="inlineStr">
        <is>
          <t>BRASPRESS TRANSPORTES URGENTES LTDA</t>
        </is>
      </c>
      <c r="E12" s="14" t="inlineStr">
        <is>
          <t>48740351000327</t>
        </is>
      </c>
      <c r="F12" s="14" t="inlineStr">
        <is>
          <t>PR-MA</t>
        </is>
      </c>
      <c r="G12" s="14" t="inlineStr">
        <is>
          <t>6352</t>
        </is>
      </c>
      <c r="H12" s="14" t="inlineStr">
        <is>
          <t>Cosmetici tomadora</t>
        </is>
      </c>
      <c r="I12" s="14" t="inlineStr">
        <is>
          <t>Autorizado</t>
        </is>
      </c>
      <c r="J12" s="14" t="inlineStr">
        <is>
          <t>Não</t>
        </is>
      </c>
      <c r="K12" s="16" t="n"/>
      <c r="L12" s="16" t="n">
        <v>249.59</v>
      </c>
      <c r="M12" s="16" t="n"/>
      <c r="N12" s="16" t="n">
        <v>17.18</v>
      </c>
      <c r="O12" s="14" t="inlineStr">
        <is>
          <t>8949/33039048000162</t>
        </is>
      </c>
      <c r="P12" s="14" t="inlineStr">
        <is>
          <t>Sem XML na pasta (Cosmetici tomadora - pedir o XML)</t>
        </is>
      </c>
      <c r="Q12" s="14" t="inlineStr">
        <is>
          <t>41260948740351000327570000039996291544246881</t>
        </is>
      </c>
    </row>
    <row r="13">
      <c r="A13" s="14" t="n">
        <v>3999630</v>
      </c>
      <c r="B13" s="14" t="inlineStr">
        <is>
          <t>0</t>
        </is>
      </c>
      <c r="C13" s="15" t="n">
        <v>46274</v>
      </c>
      <c r="D13" s="14" t="inlineStr">
        <is>
          <t>BRASPRESS TRANSPORTES URGENTES LTDA</t>
        </is>
      </c>
      <c r="E13" s="14" t="inlineStr">
        <is>
          <t>48740351000327</t>
        </is>
      </c>
      <c r="F13" s="14" t="inlineStr">
        <is>
          <t>PR-PA</t>
        </is>
      </c>
      <c r="G13" s="14" t="inlineStr">
        <is>
          <t>6352</t>
        </is>
      </c>
      <c r="H13" s="14" t="inlineStr">
        <is>
          <t>Cosmetici tomadora</t>
        </is>
      </c>
      <c r="I13" s="14" t="inlineStr">
        <is>
          <t>Autorizado</t>
        </is>
      </c>
      <c r="J13" s="14" t="inlineStr">
        <is>
          <t>Não</t>
        </is>
      </c>
      <c r="K13" s="16" t="n"/>
      <c r="L13" s="16" t="n">
        <v>264.86</v>
      </c>
      <c r="M13" s="16" t="n"/>
      <c r="N13" s="16" t="n">
        <v>18.25</v>
      </c>
      <c r="O13" s="14" t="inlineStr">
        <is>
          <t>8946/33039048000162</t>
        </is>
      </c>
      <c r="P13" s="14" t="inlineStr">
        <is>
          <t>Sem XML na pasta (Cosmetici tomadora - pedir o XML)</t>
        </is>
      </c>
      <c r="Q13" s="14" t="inlineStr">
        <is>
          <t>41260948740351000327570000039996301101761800</t>
        </is>
      </c>
    </row>
    <row r="14">
      <c r="A14" s="14" t="n">
        <v>36425929</v>
      </c>
      <c r="B14" s="14" t="inlineStr">
        <is>
          <t>999</t>
        </is>
      </c>
      <c r="C14" s="15" t="n">
        <v>46276</v>
      </c>
      <c r="D14" s="14" t="inlineStr">
        <is>
          <t>TEX COURIER S.A</t>
        </is>
      </c>
      <c r="E14" s="14" t="inlineStr">
        <is>
          <t>73939449000193</t>
        </is>
      </c>
      <c r="F14" s="14" t="inlineStr">
        <is>
          <t>SP-PR</t>
        </is>
      </c>
      <c r="G14" s="14" t="inlineStr">
        <is>
          <t>6353</t>
        </is>
      </c>
      <c r="H14" s="14" t="inlineStr">
        <is>
          <t>Cosmetici tomadora</t>
        </is>
      </c>
      <c r="I14" s="14" t="inlineStr">
        <is>
          <t>Autorizado</t>
        </is>
      </c>
      <c r="J14" s="14" t="inlineStr">
        <is>
          <t>Não</t>
        </is>
      </c>
      <c r="K14" s="16" t="n"/>
      <c r="L14" s="16" t="n">
        <v>54.83</v>
      </c>
      <c r="M14" s="16" t="n"/>
      <c r="N14" s="16" t="n">
        <v>6.58</v>
      </c>
      <c r="O14" s="14" t="inlineStr">
        <is>
          <t>994/30415972000108</t>
        </is>
      </c>
      <c r="P14" s="14" t="inlineStr">
        <is>
          <t>Sem XML na pasta (Cosmetici tomadora - pedir o XML)</t>
        </is>
      </c>
      <c r="Q14" s="14" t="inlineStr">
        <is>
          <t>35260973939449000193579990364259291604264536</t>
        </is>
      </c>
    </row>
    <row r="15">
      <c r="A15" s="9" t="n">
        <v>2060731</v>
      </c>
      <c r="B15" s="9" t="inlineStr">
        <is>
          <t>1</t>
        </is>
      </c>
      <c r="C15" s="10" t="n">
        <v>46276</v>
      </c>
      <c r="D15" s="9" t="inlineStr">
        <is>
          <t>CURITIBA - EXPRESSO SAO MIGUEL S/A</t>
        </is>
      </c>
      <c r="E15" s="9" t="inlineStr">
        <is>
          <t>00428307002301</t>
        </is>
      </c>
      <c r="F15" s="9" t="inlineStr">
        <is>
          <t>PR-PR</t>
        </is>
      </c>
      <c r="G15" s="9" t="inlineStr">
        <is>
          <t>5353</t>
        </is>
      </c>
      <c r="H15" s="9" t="inlineStr">
        <is>
          <t>tomador 06237330000181</t>
        </is>
      </c>
      <c r="I15" s="9" t="inlineStr">
        <is>
          <t>Autorizado</t>
        </is>
      </c>
      <c r="J15" s="9" t="inlineStr">
        <is>
          <t>Não</t>
        </is>
      </c>
      <c r="K15" s="11" t="n"/>
      <c r="L15" s="11" t="n">
        <v>664</v>
      </c>
      <c r="M15" s="11" t="n"/>
      <c r="N15" s="11" t="n">
        <v>0</v>
      </c>
      <c r="O15" s="9" t="inlineStr">
        <is>
          <t>8875/33039048000162</t>
        </is>
      </c>
      <c r="P15" s="9" t="inlineStr">
        <is>
          <t>Sem XML na pasta (tomador é outra empresa)</t>
        </is>
      </c>
      <c r="Q15" s="9" t="inlineStr">
        <is>
          <t>41260900428307002301570010020607311020607317</t>
        </is>
      </c>
    </row>
    <row r="16">
      <c r="A16" s="9" t="n">
        <v>536512</v>
      </c>
      <c r="B16" s="9" t="inlineStr">
        <is>
          <t>10</t>
        </is>
      </c>
      <c r="C16" s="10" t="n">
        <v>46280</v>
      </c>
      <c r="D16" s="9" t="inlineStr">
        <is>
          <t>AGEX TRANSPORTES URGENTES LTDA</t>
        </is>
      </c>
      <c r="E16" s="9" t="inlineStr">
        <is>
          <t>18016343000452</t>
        </is>
      </c>
      <c r="F16" s="9" t="inlineStr">
        <is>
          <t>PR-MS</t>
        </is>
      </c>
      <c r="G16" s="9" t="inlineStr">
        <is>
          <t>6353</t>
        </is>
      </c>
      <c r="H16" s="9" t="inlineStr">
        <is>
          <t>tomador 27697083000176</t>
        </is>
      </c>
      <c r="I16" s="9" t="inlineStr">
        <is>
          <t>Autorizado</t>
        </is>
      </c>
      <c r="J16" s="9" t="inlineStr">
        <is>
          <t>Não</t>
        </is>
      </c>
      <c r="K16" s="11" t="n"/>
      <c r="L16" s="11" t="n">
        <v>671.13</v>
      </c>
      <c r="M16" s="11" t="n"/>
      <c r="N16" s="11" t="n">
        <v>45.35</v>
      </c>
      <c r="O16" s="9" t="inlineStr">
        <is>
          <t>8874/33039048000162</t>
        </is>
      </c>
      <c r="P16" s="9" t="inlineStr">
        <is>
          <t>Sem XML na pasta (tomador é outra empresa)</t>
        </is>
      </c>
      <c r="Q16" s="9" t="inlineStr">
        <is>
          <t>41260918016343000452570100005365121005163162</t>
        </is>
      </c>
    </row>
    <row r="17">
      <c r="A17" s="14" t="n">
        <v>17817538</v>
      </c>
      <c r="B17" s="14" t="inlineStr">
        <is>
          <t>1</t>
        </is>
      </c>
      <c r="C17" s="15" t="n">
        <v>46281</v>
      </c>
      <c r="D17" s="14" t="inlineStr">
        <is>
          <t>TEX COURIER S.A</t>
        </is>
      </c>
      <c r="E17" s="14" t="inlineStr">
        <is>
          <t>73939449002056</t>
        </is>
      </c>
      <c r="F17" s="14" t="inlineStr">
        <is>
          <t>PR-SP</t>
        </is>
      </c>
      <c r="G17" s="14" t="inlineStr">
        <is>
          <t>6353</t>
        </is>
      </c>
      <c r="H17" s="14" t="inlineStr">
        <is>
          <t>Cosmetici tomadora</t>
        </is>
      </c>
      <c r="I17" s="14" t="inlineStr">
        <is>
          <t>Autorizado</t>
        </is>
      </c>
      <c r="J17" s="14" t="inlineStr">
        <is>
          <t>Não</t>
        </is>
      </c>
      <c r="K17" s="16" t="n"/>
      <c r="L17" s="16" t="n">
        <v>40.22</v>
      </c>
      <c r="M17" s="16" t="n"/>
      <c r="N17" s="16" t="n">
        <v>4.83</v>
      </c>
      <c r="O17" s="14" t="inlineStr">
        <is>
          <t>1284/30415972000108</t>
        </is>
      </c>
      <c r="P17" s="14" t="inlineStr">
        <is>
          <t>Sem XML na pasta (Cosmetici tomadora - pedir o XML)</t>
        </is>
      </c>
      <c r="Q17" s="14" t="inlineStr">
        <is>
          <t>41260973939449002056570010178175381661666021</t>
        </is>
      </c>
    </row>
    <row r="18">
      <c r="A18" s="14" t="n">
        <v>17817833</v>
      </c>
      <c r="B18" s="14" t="inlineStr">
        <is>
          <t>1</t>
        </is>
      </c>
      <c r="C18" s="15" t="n">
        <v>46281</v>
      </c>
      <c r="D18" s="14" t="inlineStr">
        <is>
          <t>TEX COURIER S.A</t>
        </is>
      </c>
      <c r="E18" s="14" t="inlineStr">
        <is>
          <t>73939449002056</t>
        </is>
      </c>
      <c r="F18" s="14" t="inlineStr">
        <is>
          <t>PR-MG</t>
        </is>
      </c>
      <c r="G18" s="14" t="inlineStr">
        <is>
          <t>6353</t>
        </is>
      </c>
      <c r="H18" s="14" t="inlineStr">
        <is>
          <t>Cosmetici tomadora</t>
        </is>
      </c>
      <c r="I18" s="14" t="inlineStr">
        <is>
          <t>Autorizado</t>
        </is>
      </c>
      <c r="J18" s="14" t="inlineStr">
        <is>
          <t>Não</t>
        </is>
      </c>
      <c r="K18" s="16" t="n"/>
      <c r="L18" s="16" t="n">
        <v>55.55</v>
      </c>
      <c r="M18" s="16" t="n"/>
      <c r="N18" s="16" t="n">
        <v>6.67</v>
      </c>
      <c r="O18" s="14" t="inlineStr">
        <is>
          <t>1282/30415972000108</t>
        </is>
      </c>
      <c r="P18" s="14" t="inlineStr">
        <is>
          <t>Sem XML na pasta (Cosmetici tomadora - pedir o XML)</t>
        </is>
      </c>
      <c r="Q18" s="14" t="inlineStr">
        <is>
          <t>41260973939449002056570010178178331686344389</t>
        </is>
      </c>
    </row>
    <row r="19">
      <c r="A19" s="14" t="n">
        <v>17826831</v>
      </c>
      <c r="B19" s="14" t="inlineStr">
        <is>
          <t>1</t>
        </is>
      </c>
      <c r="C19" s="15" t="n">
        <v>46282</v>
      </c>
      <c r="D19" s="14" t="inlineStr">
        <is>
          <t>TEX COURIER S.A</t>
        </is>
      </c>
      <c r="E19" s="14" t="inlineStr">
        <is>
          <t>73939449002056</t>
        </is>
      </c>
      <c r="F19" s="14" t="inlineStr">
        <is>
          <t>PR-MG</t>
        </is>
      </c>
      <c r="G19" s="14" t="inlineStr">
        <is>
          <t>6353</t>
        </is>
      </c>
      <c r="H19" s="14" t="inlineStr">
        <is>
          <t>Cosmetici tomadora</t>
        </is>
      </c>
      <c r="I19" s="14" t="inlineStr">
        <is>
          <t>Autorizado</t>
        </is>
      </c>
      <c r="J19" s="14" t="inlineStr">
        <is>
          <t>Não</t>
        </is>
      </c>
      <c r="K19" s="16" t="n"/>
      <c r="L19" s="16" t="n">
        <v>55.85</v>
      </c>
      <c r="M19" s="16" t="n"/>
      <c r="N19" s="16" t="n">
        <v>6.7</v>
      </c>
      <c r="O19" s="14" t="inlineStr">
        <is>
          <t>1288/30415972000108</t>
        </is>
      </c>
      <c r="P19" s="14" t="inlineStr">
        <is>
          <t>Sem XML na pasta (Cosmetici tomadora - pedir o XML)</t>
        </is>
      </c>
      <c r="Q19" s="14" t="inlineStr">
        <is>
          <t>41260973939449002056570010178268311888893400</t>
        </is>
      </c>
    </row>
    <row r="20">
      <c r="A20" s="6" t="n">
        <v>25709</v>
      </c>
      <c r="B20" s="6" t="inlineStr">
        <is>
          <t>3</t>
        </is>
      </c>
      <c r="C20" s="7" t="n">
        <v>46283</v>
      </c>
      <c r="D20" s="6" t="inlineStr">
        <is>
          <t>TRANS TOMAZ TRANSPORTES RODOV DE CARGAS EIREL</t>
        </is>
      </c>
      <c r="E20" s="6" t="inlineStr">
        <is>
          <t>03867083000290</t>
        </is>
      </c>
      <c r="F20" s="6" t="inlineStr">
        <is>
          <t>SP-PR</t>
        </is>
      </c>
      <c r="G20" s="6" t="inlineStr">
        <is>
          <t>6353</t>
        </is>
      </c>
      <c r="H20" s="6" t="inlineStr">
        <is>
          <t>Cosmetici tomadora</t>
        </is>
      </c>
      <c r="I20" s="6" t="inlineStr">
        <is>
          <t>Autorizado</t>
        </is>
      </c>
      <c r="J20" s="6" t="inlineStr">
        <is>
          <t>Sim</t>
        </is>
      </c>
      <c r="K20" s="8" t="n">
        <v>116.03</v>
      </c>
      <c r="L20" s="8" t="n">
        <v>116.03</v>
      </c>
      <c r="M20" s="8" t="n">
        <v>13.92</v>
      </c>
      <c r="N20" s="8" t="n">
        <v>13.92</v>
      </c>
      <c r="O20" s="6" t="inlineStr">
        <is>
          <t>30338/67598292000187</t>
        </is>
      </c>
      <c r="P20" s="6" t="inlineStr">
        <is>
          <t>OK</t>
        </is>
      </c>
      <c r="Q20" s="6" t="inlineStr">
        <is>
          <t>35260903867083000290570030000257091000483871</t>
        </is>
      </c>
    </row>
    <row r="21">
      <c r="A21" s="14" t="n">
        <v>4010194</v>
      </c>
      <c r="B21" s="14" t="inlineStr">
        <is>
          <t>0</t>
        </is>
      </c>
      <c r="C21" s="15" t="n">
        <v>46283</v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PR-BA</t>
        </is>
      </c>
      <c r="G21" s="14" t="inlineStr">
        <is>
          <t>6352</t>
        </is>
      </c>
      <c r="H21" s="14" t="inlineStr">
        <is>
          <t>Cosmetici tomadora</t>
        </is>
      </c>
      <c r="I21" s="14" t="inlineStr">
        <is>
          <t>Autorizado</t>
        </is>
      </c>
      <c r="J21" s="14" t="inlineStr">
        <is>
          <t>Não</t>
        </is>
      </c>
      <c r="K21" s="16" t="n"/>
      <c r="L21" s="16" t="n">
        <v>507.65</v>
      </c>
      <c r="M21" s="16" t="n"/>
      <c r="N21" s="16" t="n">
        <v>34.96</v>
      </c>
      <c r="O21" s="14" t="inlineStr">
        <is>
          <t>8974/33039048000162</t>
        </is>
      </c>
      <c r="P21" s="14" t="inlineStr">
        <is>
          <t>Sem XML na pasta (Cosmetici tomadora - pedir o XML)</t>
        </is>
      </c>
      <c r="Q21" s="14" t="inlineStr">
        <is>
          <t>41260948740351000327570000040101941868875491</t>
        </is>
      </c>
    </row>
    <row r="22">
      <c r="A22" s="6" t="n">
        <v>9836</v>
      </c>
      <c r="B22" s="6" t="inlineStr">
        <is>
          <t>1</t>
        </is>
      </c>
      <c r="C22" s="7" t="n">
        <v>46286</v>
      </c>
      <c r="D22" s="6" t="inlineStr">
        <is>
          <t>J.A. DE LUCCA TRANSPORTADORA</t>
        </is>
      </c>
      <c r="E22" s="6" t="inlineStr">
        <is>
          <t>21619455000160</t>
        </is>
      </c>
      <c r="F22" s="6" t="inlineStr">
        <is>
          <t>SP-SP</t>
        </is>
      </c>
      <c r="G22" s="6" t="inlineStr">
        <is>
          <t>5352</t>
        </is>
      </c>
      <c r="H22" s="6" t="inlineStr">
        <is>
          <t>tomador 59610485000188</t>
        </is>
      </c>
      <c r="I22" s="6" t="inlineStr">
        <is>
          <t>Autorizado</t>
        </is>
      </c>
      <c r="J22" s="6" t="inlineStr">
        <is>
          <t>Sim</t>
        </is>
      </c>
      <c r="K22" s="8" t="n">
        <v>415.94</v>
      </c>
      <c r="L22" s="8" t="n">
        <v>415.94</v>
      </c>
      <c r="M22" s="8" t="n">
        <v>0</v>
      </c>
      <c r="N22" s="8" t="n">
        <v>0</v>
      </c>
      <c r="O22" s="6" t="inlineStr">
        <is>
          <t>117690/59610485000188</t>
        </is>
      </c>
      <c r="P22" s="6" t="inlineStr">
        <is>
          <t>OK</t>
        </is>
      </c>
      <c r="Q22" s="6" t="inlineStr">
        <is>
          <t>35260921619455000160570010000098361762928900</t>
        </is>
      </c>
    </row>
    <row r="23">
      <c r="A23" s="9" t="n">
        <v>2079446</v>
      </c>
      <c r="B23" s="9" t="inlineStr">
        <is>
          <t>1</t>
        </is>
      </c>
      <c r="C23" s="10" t="n">
        <v>46286</v>
      </c>
      <c r="D23" s="9" t="inlineStr">
        <is>
          <t>CURITIBA - EXPRESSO SAO MIGUEL S/A</t>
        </is>
      </c>
      <c r="E23" s="9" t="inlineStr">
        <is>
          <t>00428307002301</t>
        </is>
      </c>
      <c r="F23" s="9" t="inlineStr">
        <is>
          <t>PR-SC</t>
        </is>
      </c>
      <c r="G23" s="9" t="inlineStr">
        <is>
          <t>6353</t>
        </is>
      </c>
      <c r="H23" s="9" t="inlineStr">
        <is>
          <t>tomador 17666331000168</t>
        </is>
      </c>
      <c r="I23" s="9" t="inlineStr">
        <is>
          <t>Autorizado</t>
        </is>
      </c>
      <c r="J23" s="9" t="inlineStr">
        <is>
          <t>Não</t>
        </is>
      </c>
      <c r="K23" s="11" t="n"/>
      <c r="L23" s="11" t="n">
        <v>88</v>
      </c>
      <c r="M23" s="11" t="n"/>
      <c r="N23" s="11" t="n">
        <v>10.11</v>
      </c>
      <c r="O23" s="9" t="inlineStr">
        <is>
          <t>8985/33039048000162</t>
        </is>
      </c>
      <c r="P23" s="9" t="inlineStr">
        <is>
          <t>Sem XML na pasta (tomador é outra empresa)</t>
        </is>
      </c>
      <c r="Q23" s="9" t="inlineStr">
        <is>
          <t>41260900428307002301570010020794461020794460</t>
        </is>
      </c>
    </row>
    <row r="24">
      <c r="A24" s="14" t="n">
        <v>2079447</v>
      </c>
      <c r="B24" s="14" t="inlineStr">
        <is>
          <t>1</t>
        </is>
      </c>
      <c r="C24" s="15" t="n">
        <v>46286</v>
      </c>
      <c r="D24" s="14" t="inlineStr">
        <is>
          <t>CURITIBA - EXPRESSO SAO MIGUEL S/A</t>
        </is>
      </c>
      <c r="E24" s="14" t="inlineStr">
        <is>
          <t>00428307002301</t>
        </is>
      </c>
      <c r="F24" s="14" t="inlineStr">
        <is>
          <t>PR-SC</t>
        </is>
      </c>
      <c r="G24" s="14" t="inlineStr">
        <is>
          <t>6352</t>
        </is>
      </c>
      <c r="H24" s="14" t="inlineStr">
        <is>
          <t>Cosmetici tomadora</t>
        </is>
      </c>
      <c r="I24" s="14" t="inlineStr">
        <is>
          <t>Autorizado</t>
        </is>
      </c>
      <c r="J24" s="14" t="inlineStr">
        <is>
          <t>Não</t>
        </is>
      </c>
      <c r="K24" s="16" t="n"/>
      <c r="L24" s="16" t="n">
        <v>81.81999999999999</v>
      </c>
      <c r="M24" s="16" t="n"/>
      <c r="N24" s="16" t="n">
        <v>9.359999999999999</v>
      </c>
      <c r="O24" s="14" t="inlineStr">
        <is>
          <t>8987/33039048000162</t>
        </is>
      </c>
      <c r="P24" s="14" t="inlineStr">
        <is>
          <t>Sem XML na pasta (Cosmetici tomadora - pedir o XML)</t>
        </is>
      </c>
      <c r="Q24" s="14" t="inlineStr">
        <is>
          <t>41260900428307002301570010020794471020794476</t>
        </is>
      </c>
    </row>
    <row r="25">
      <c r="A25" s="9" t="n">
        <v>2079448</v>
      </c>
      <c r="B25" s="9" t="inlineStr">
        <is>
          <t>1</t>
        </is>
      </c>
      <c r="C25" s="10" t="n">
        <v>46286</v>
      </c>
      <c r="D25" s="9" t="inlineStr">
        <is>
          <t>CURITIBA - EXPRESSO SAO MIGUEL S/A</t>
        </is>
      </c>
      <c r="E25" s="9" t="inlineStr">
        <is>
          <t>00428307002301</t>
        </is>
      </c>
      <c r="F25" s="9" t="inlineStr">
        <is>
          <t>PR-PR</t>
        </is>
      </c>
      <c r="G25" s="9" t="inlineStr">
        <is>
          <t>5353</t>
        </is>
      </c>
      <c r="H25" s="9" t="inlineStr">
        <is>
          <t>tomador 06237330000181</t>
        </is>
      </c>
      <c r="I25" s="9" t="inlineStr">
        <is>
          <t>Autorizado</t>
        </is>
      </c>
      <c r="J25" s="9" t="inlineStr">
        <is>
          <t>Não</t>
        </is>
      </c>
      <c r="K25" s="11" t="n"/>
      <c r="L25" s="11" t="n">
        <v>502</v>
      </c>
      <c r="M25" s="11" t="n"/>
      <c r="N25" s="11" t="n">
        <v>0</v>
      </c>
      <c r="O25" s="9" t="inlineStr">
        <is>
          <t>8992/33039048000162</t>
        </is>
      </c>
      <c r="P25" s="9" t="inlineStr">
        <is>
          <t>Sem XML na pasta (tomador é outra empresa)</t>
        </is>
      </c>
      <c r="Q25" s="9" t="inlineStr">
        <is>
          <t>41260900428307002301570010020794481020794481</t>
        </is>
      </c>
    </row>
    <row r="26">
      <c r="A26" s="14" t="n">
        <v>2081291</v>
      </c>
      <c r="B26" s="14" t="inlineStr">
        <is>
          <t>1</t>
        </is>
      </c>
      <c r="C26" s="15" t="n">
        <v>46286</v>
      </c>
      <c r="D26" s="14" t="inlineStr">
        <is>
          <t>CURITIBA - EXPRESSO SAO MIGUEL S/A</t>
        </is>
      </c>
      <c r="E26" s="14" t="inlineStr">
        <is>
          <t>00428307002301</t>
        </is>
      </c>
      <c r="F26" s="14" t="inlineStr">
        <is>
          <t>PR-RS</t>
        </is>
      </c>
      <c r="G26" s="14" t="inlineStr">
        <is>
          <t>6352</t>
        </is>
      </c>
      <c r="H26" s="14" t="inlineStr">
        <is>
          <t>Cosmetici tomadora</t>
        </is>
      </c>
      <c r="I26" s="14" t="inlineStr">
        <is>
          <t>Autorizado</t>
        </is>
      </c>
      <c r="J26" s="14" t="inlineStr">
        <is>
          <t>Não</t>
        </is>
      </c>
      <c r="K26" s="16" t="n"/>
      <c r="L26" s="16" t="n">
        <v>115.56</v>
      </c>
      <c r="M26" s="16" t="n"/>
      <c r="N26" s="16" t="n">
        <v>13.41</v>
      </c>
      <c r="O26" s="14" t="inlineStr">
        <is>
          <t>8991/33039048000162</t>
        </is>
      </c>
      <c r="P26" s="14" t="inlineStr">
        <is>
          <t>Sem XML na pasta (Cosmetici tomadora - pedir o XML)</t>
        </is>
      </c>
      <c r="Q26" s="14" t="inlineStr">
        <is>
          <t>41260900428307002301570010020812911020812916</t>
        </is>
      </c>
    </row>
    <row r="27">
      <c r="A27" s="14" t="n">
        <v>2081292</v>
      </c>
      <c r="B27" s="14" t="inlineStr">
        <is>
          <t>1</t>
        </is>
      </c>
      <c r="C27" s="15" t="n">
        <v>46286</v>
      </c>
      <c r="D27" s="14" t="inlineStr">
        <is>
          <t>CURITIBA - EXPRESSO SAO MIGUEL S/A</t>
        </is>
      </c>
      <c r="E27" s="14" t="inlineStr">
        <is>
          <t>00428307002301</t>
        </is>
      </c>
      <c r="F27" s="14" t="inlineStr">
        <is>
          <t>PR-RS</t>
        </is>
      </c>
      <c r="G27" s="14" t="inlineStr">
        <is>
          <t>6352</t>
        </is>
      </c>
      <c r="H27" s="14" t="inlineStr">
        <is>
          <t>Cosmetici tomadora</t>
        </is>
      </c>
      <c r="I27" s="14" t="inlineStr">
        <is>
          <t>Autorizado</t>
        </is>
      </c>
      <c r="J27" s="14" t="inlineStr">
        <is>
          <t>Não</t>
        </is>
      </c>
      <c r="K27" s="16" t="n"/>
      <c r="L27" s="16" t="n">
        <v>138.62</v>
      </c>
      <c r="M27" s="16" t="n"/>
      <c r="N27" s="16" t="n">
        <v>16.18</v>
      </c>
      <c r="O27" s="14" t="inlineStr">
        <is>
          <t>8996/33039048000162</t>
        </is>
      </c>
      <c r="P27" s="14" t="inlineStr">
        <is>
          <t>Sem XML na pasta (Cosmetici tomadora - pedir o XML)</t>
        </is>
      </c>
      <c r="Q27" s="14" t="inlineStr">
        <is>
          <t>41260900428307002301570010020812921020812921</t>
        </is>
      </c>
    </row>
    <row r="28">
      <c r="A28" s="14" t="n">
        <v>4011462</v>
      </c>
      <c r="B28" s="14" t="inlineStr">
        <is>
          <t>0</t>
        </is>
      </c>
      <c r="C28" s="15" t="n">
        <v>46286</v>
      </c>
      <c r="D28" s="14" t="inlineStr">
        <is>
          <t>BRASPRESS TRANSPORTES URGENTES LTDA</t>
        </is>
      </c>
      <c r="E28" s="14" t="inlineStr">
        <is>
          <t>48740351000327</t>
        </is>
      </c>
      <c r="F28" s="14" t="inlineStr">
        <is>
          <t>PR-CE</t>
        </is>
      </c>
      <c r="G28" s="14" t="inlineStr">
        <is>
          <t>6352</t>
        </is>
      </c>
      <c r="H28" s="14" t="inlineStr">
        <is>
          <t>Cosmetici tomadora</t>
        </is>
      </c>
      <c r="I28" s="14" t="inlineStr">
        <is>
          <t>Autorizado</t>
        </is>
      </c>
      <c r="J28" s="14" t="inlineStr">
        <is>
          <t>Não</t>
        </is>
      </c>
      <c r="K28" s="16" t="n"/>
      <c r="L28" s="16" t="n">
        <v>280.52</v>
      </c>
      <c r="M28" s="16" t="n"/>
      <c r="N28" s="16" t="n">
        <v>19.35</v>
      </c>
      <c r="O28" s="14" t="inlineStr">
        <is>
          <t>8983/33039048000162</t>
        </is>
      </c>
      <c r="P28" s="14" t="inlineStr">
        <is>
          <t>Sem XML na pasta (Cosmetici tomadora - pedir o XML)</t>
        </is>
      </c>
      <c r="Q28" s="14" t="inlineStr">
        <is>
          <t>41260948740351000327570000040114621516701249</t>
        </is>
      </c>
    </row>
    <row r="29">
      <c r="A29" s="9" t="n">
        <v>4011463</v>
      </c>
      <c r="B29" s="9" t="inlineStr">
        <is>
          <t>0</t>
        </is>
      </c>
      <c r="C29" s="10" t="n">
        <v>46286</v>
      </c>
      <c r="D29" s="9" t="inlineStr">
        <is>
          <t>BRASPRESS TRANSPORTES URGENTES LTDA</t>
        </is>
      </c>
      <c r="E29" s="9" t="inlineStr">
        <is>
          <t>48740351000327</t>
        </is>
      </c>
      <c r="F29" s="9" t="inlineStr">
        <is>
          <t>PR-RJ</t>
        </is>
      </c>
      <c r="G29" s="9" t="inlineStr">
        <is>
          <t>6352</t>
        </is>
      </c>
      <c r="H29" s="9" t="inlineStr">
        <is>
          <t>tomador 05268903000171</t>
        </is>
      </c>
      <c r="I29" s="9" t="inlineStr">
        <is>
          <t>Autorizado</t>
        </is>
      </c>
      <c r="J29" s="9" t="inlineStr">
        <is>
          <t>Não</t>
        </is>
      </c>
      <c r="K29" s="11" t="n"/>
      <c r="L29" s="11" t="n">
        <v>110.94</v>
      </c>
      <c r="M29" s="11" t="n"/>
      <c r="N29" s="11" t="n">
        <v>12.82</v>
      </c>
      <c r="O29" s="9" t="inlineStr">
        <is>
          <t>8994/33039048000162</t>
        </is>
      </c>
      <c r="P29" s="9" t="inlineStr">
        <is>
          <t>Sem XML na pasta (tomador é outra empresa)</t>
        </is>
      </c>
      <c r="Q29" s="9" t="inlineStr">
        <is>
          <t>41260948740351000327570000040114631964587846</t>
        </is>
      </c>
    </row>
    <row r="30">
      <c r="A30" s="6" t="n">
        <v>1106604</v>
      </c>
      <c r="B30" s="6" t="inlineStr">
        <is>
          <t>1</t>
        </is>
      </c>
      <c r="C30" s="7" t="n">
        <v>46287</v>
      </c>
      <c r="D30" s="6" t="inlineStr">
        <is>
          <t>TRANSAL TRANSPORTADORA SALVAN LTDA</t>
        </is>
      </c>
      <c r="E30" s="6" t="inlineStr">
        <is>
          <t>00214121000217</t>
        </is>
      </c>
      <c r="F30" s="6" t="inlineStr">
        <is>
          <t>SP-PR</t>
        </is>
      </c>
      <c r="G30" s="6" t="inlineStr">
        <is>
          <t>6352</t>
        </is>
      </c>
      <c r="H30" s="6" t="inlineStr">
        <is>
          <t>tomador 49698723003110</t>
        </is>
      </c>
      <c r="I30" s="6" t="inlineStr">
        <is>
          <t>Autorizado</t>
        </is>
      </c>
      <c r="J30" s="6" t="inlineStr">
        <is>
          <t>Sim</t>
        </is>
      </c>
      <c r="K30" s="8" t="n">
        <v>170.66</v>
      </c>
      <c r="L30" s="8" t="n">
        <v>170.66</v>
      </c>
      <c r="M30" s="8" t="n">
        <v>20.48</v>
      </c>
      <c r="N30" s="8" t="n">
        <v>20.48</v>
      </c>
      <c r="O30" s="6" t="inlineStr">
        <is>
          <t>275966/49698723003110</t>
        </is>
      </c>
      <c r="P30" s="6" t="inlineStr">
        <is>
          <t>OK</t>
        </is>
      </c>
      <c r="Q30" s="6" t="inlineStr">
        <is>
          <t>35260900214121000217570010011066041079491008</t>
        </is>
      </c>
    </row>
    <row r="31">
      <c r="A31" s="6" t="n">
        <v>25910</v>
      </c>
      <c r="B31" s="6" t="inlineStr">
        <is>
          <t>3</t>
        </is>
      </c>
      <c r="C31" s="7" t="n">
        <v>46287</v>
      </c>
      <c r="D31" s="6" t="inlineStr">
        <is>
          <t>TRANS TOMAZ TRANSPORTES RODOV DE CARGAS EIREL</t>
        </is>
      </c>
      <c r="E31" s="6" t="inlineStr">
        <is>
          <t>03867083000290</t>
        </is>
      </c>
      <c r="F31" s="6" t="inlineStr">
        <is>
          <t>SP-PR</t>
        </is>
      </c>
      <c r="G31" s="6" t="inlineStr">
        <is>
          <t>6353</t>
        </is>
      </c>
      <c r="H31" s="6" t="inlineStr">
        <is>
          <t>Cosmetici tomadora</t>
        </is>
      </c>
      <c r="I31" s="6" t="inlineStr">
        <is>
          <t>Autorizado</t>
        </is>
      </c>
      <c r="J31" s="6" t="inlineStr">
        <is>
          <t>Sim</t>
        </is>
      </c>
      <c r="K31" s="8" t="n">
        <v>812.3</v>
      </c>
      <c r="L31" s="8" t="n">
        <v>812.3</v>
      </c>
      <c r="M31" s="8" t="n">
        <v>97.48</v>
      </c>
      <c r="N31" s="8" t="n">
        <v>97.48</v>
      </c>
      <c r="O31" s="6" t="inlineStr">
        <is>
          <t>117690/59610485000188</t>
        </is>
      </c>
      <c r="P31" s="6" t="inlineStr">
        <is>
          <t>OK</t>
        </is>
      </c>
      <c r="Q31" s="6" t="inlineStr">
        <is>
          <t>35260903867083000290570030000259101000487488</t>
        </is>
      </c>
    </row>
    <row r="32">
      <c r="A32" s="6" t="n">
        <v>11891</v>
      </c>
      <c r="B32" s="6" t="inlineStr">
        <is>
          <t>1</t>
        </is>
      </c>
      <c r="C32" s="7" t="n">
        <v>46288</v>
      </c>
      <c r="D32" s="6" t="inlineStr">
        <is>
          <t>CLARO TRANSPORTES E LOGISTICA</t>
        </is>
      </c>
      <c r="E32" s="6" t="inlineStr">
        <is>
          <t>03812091001200</t>
        </is>
      </c>
      <c r="F32" s="6" t="inlineStr">
        <is>
          <t>SP-PR</t>
        </is>
      </c>
      <c r="G32" s="6" t="inlineStr">
        <is>
          <t>6357</t>
        </is>
      </c>
      <c r="H32" s="6" t="inlineStr">
        <is>
          <t>tomador 66229009000187</t>
        </is>
      </c>
      <c r="I32" s="6" t="inlineStr">
        <is>
          <t>Autorizado</t>
        </is>
      </c>
      <c r="J32" s="6" t="inlineStr">
        <is>
          <t>Sim</t>
        </is>
      </c>
      <c r="K32" s="8" t="n">
        <v>258.4</v>
      </c>
      <c r="L32" s="8" t="n">
        <v>258.4</v>
      </c>
      <c r="M32" s="8" t="n">
        <v>31.01</v>
      </c>
      <c r="N32" s="8" t="n">
        <v>31.01</v>
      </c>
      <c r="O32" s="6" t="inlineStr">
        <is>
          <t>8112/34970658000148</t>
        </is>
      </c>
      <c r="P32" s="6" t="inlineStr">
        <is>
          <t>OK</t>
        </is>
      </c>
      <c r="Q32" s="6" t="inlineStr">
        <is>
          <t>35260903812091001200570010000118911002325123</t>
        </is>
      </c>
    </row>
    <row r="33">
      <c r="A33" s="6" t="n">
        <v>11892</v>
      </c>
      <c r="B33" s="6" t="inlineStr">
        <is>
          <t>1</t>
        </is>
      </c>
      <c r="C33" s="7" t="n">
        <v>46288</v>
      </c>
      <c r="D33" s="6" t="inlineStr">
        <is>
          <t>CLARO TRANSPORTES E LOGISTICA</t>
        </is>
      </c>
      <c r="E33" s="6" t="inlineStr">
        <is>
          <t>03812091001200</t>
        </is>
      </c>
      <c r="F33" s="6" t="inlineStr">
        <is>
          <t>SP-PR</t>
        </is>
      </c>
      <c r="G33" s="6" t="inlineStr">
        <is>
          <t>6357</t>
        </is>
      </c>
      <c r="H33" s="6" t="inlineStr">
        <is>
          <t>tomador 66229009000187</t>
        </is>
      </c>
      <c r="I33" s="6" t="inlineStr">
        <is>
          <t>Autorizado</t>
        </is>
      </c>
      <c r="J33" s="6" t="inlineStr">
        <is>
          <t>Sim</t>
        </is>
      </c>
      <c r="K33" s="8" t="n">
        <v>301.68</v>
      </c>
      <c r="L33" s="8" t="n">
        <v>301.68</v>
      </c>
      <c r="M33" s="8" t="n">
        <v>36.2</v>
      </c>
      <c r="N33" s="8" t="n">
        <v>36.2</v>
      </c>
      <c r="O33" s="6" t="inlineStr">
        <is>
          <t>8099/39237959000180</t>
        </is>
      </c>
      <c r="P33" s="6" t="inlineStr">
        <is>
          <t>OK</t>
        </is>
      </c>
      <c r="Q33" s="6" t="inlineStr">
        <is>
          <t>35260903812091001200570010000118921002325139</t>
        </is>
      </c>
    </row>
    <row r="34">
      <c r="A34" s="9" t="n">
        <v>2085389</v>
      </c>
      <c r="B34" s="9" t="inlineStr">
        <is>
          <t>1</t>
        </is>
      </c>
      <c r="C34" s="10" t="n">
        <v>46288</v>
      </c>
      <c r="D34" s="9" t="inlineStr">
        <is>
          <t>CURITIBA - EXPRESSO SAO MIGUEL S/A</t>
        </is>
      </c>
      <c r="E34" s="9" t="inlineStr">
        <is>
          <t>00428307002301</t>
        </is>
      </c>
      <c r="F34" s="9" t="inlineStr">
        <is>
          <t>PR-PR</t>
        </is>
      </c>
      <c r="G34" s="9" t="inlineStr">
        <is>
          <t>5353</t>
        </is>
      </c>
      <c r="H34" s="9" t="inlineStr">
        <is>
          <t>tomador 32232914000174</t>
        </is>
      </c>
      <c r="I34" s="9" t="inlineStr">
        <is>
          <t>Autorizado</t>
        </is>
      </c>
      <c r="J34" s="9" t="inlineStr">
        <is>
          <t>Não</t>
        </is>
      </c>
      <c r="K34" s="11" t="n"/>
      <c r="L34" s="11" t="n">
        <v>101</v>
      </c>
      <c r="M34" s="11" t="n"/>
      <c r="N34" s="11" t="n">
        <v>0</v>
      </c>
      <c r="O34" s="9" t="inlineStr">
        <is>
          <t>9007/33039048000162</t>
        </is>
      </c>
      <c r="P34" s="9" t="inlineStr">
        <is>
          <t>Sem XML na pasta (tomador é outra empresa)</t>
        </is>
      </c>
      <c r="Q34" s="9" t="inlineStr">
        <is>
          <t>41260900428307002301570010020853891020853898</t>
        </is>
      </c>
    </row>
    <row r="35">
      <c r="A35" s="9" t="n">
        <v>2085390</v>
      </c>
      <c r="B35" s="9" t="inlineStr">
        <is>
          <t>1</t>
        </is>
      </c>
      <c r="C35" s="10" t="n">
        <v>46288</v>
      </c>
      <c r="D35" s="9" t="inlineStr">
        <is>
          <t>CURITIBA - EXPRESSO SAO MIGUEL S/A</t>
        </is>
      </c>
      <c r="E35" s="9" t="inlineStr">
        <is>
          <t>00428307002301</t>
        </is>
      </c>
      <c r="F35" s="9" t="inlineStr">
        <is>
          <t>PR-PR</t>
        </is>
      </c>
      <c r="G35" s="9" t="inlineStr">
        <is>
          <t>5353</t>
        </is>
      </c>
      <c r="H35" s="9" t="inlineStr">
        <is>
          <t>tomador 06237330000181</t>
        </is>
      </c>
      <c r="I35" s="9" t="inlineStr">
        <is>
          <t>Autorizado</t>
        </is>
      </c>
      <c r="J35" s="9" t="inlineStr">
        <is>
          <t>Não</t>
        </is>
      </c>
      <c r="K35" s="11" t="n"/>
      <c r="L35" s="11" t="n">
        <v>472</v>
      </c>
      <c r="M35" s="11" t="n"/>
      <c r="N35" s="11" t="n">
        <v>0</v>
      </c>
      <c r="O35" s="9" t="inlineStr">
        <is>
          <t>9002/33039048000162</t>
        </is>
      </c>
      <c r="P35" s="9" t="inlineStr">
        <is>
          <t>Sem XML na pasta (tomador é outra empresa)</t>
        </is>
      </c>
      <c r="Q35" s="9" t="inlineStr">
        <is>
          <t>41260900428307002301570010020853901020853902</t>
        </is>
      </c>
    </row>
    <row r="36">
      <c r="A36" s="9" t="n">
        <v>538070</v>
      </c>
      <c r="B36" s="9" t="inlineStr">
        <is>
          <t>10</t>
        </is>
      </c>
      <c r="C36" s="10" t="n">
        <v>46288</v>
      </c>
      <c r="D36" s="9" t="inlineStr">
        <is>
          <t>AGEX TRANSPORTES URGENTES LTDA</t>
        </is>
      </c>
      <c r="E36" s="9" t="inlineStr">
        <is>
          <t>18016343000452</t>
        </is>
      </c>
      <c r="F36" s="9" t="inlineStr">
        <is>
          <t>PR-MS</t>
        </is>
      </c>
      <c r="G36" s="9" t="inlineStr">
        <is>
          <t>6353</t>
        </is>
      </c>
      <c r="H36" s="9" t="inlineStr">
        <is>
          <t>tomador 27697083000176</t>
        </is>
      </c>
      <c r="I36" s="9" t="inlineStr">
        <is>
          <t>Autorizado</t>
        </is>
      </c>
      <c r="J36" s="9" t="inlineStr">
        <is>
          <t>Não</t>
        </is>
      </c>
      <c r="K36" s="11" t="n"/>
      <c r="L36" s="11" t="n">
        <v>1878.72</v>
      </c>
      <c r="M36" s="11" t="n"/>
      <c r="N36" s="11" t="n">
        <v>125.8</v>
      </c>
      <c r="O36" s="9" t="inlineStr">
        <is>
          <t>9004/33039048000162</t>
        </is>
      </c>
      <c r="P36" s="9" t="inlineStr">
        <is>
          <t>Sem XML na pasta (tomador é outra empresa)</t>
        </is>
      </c>
      <c r="Q36" s="9" t="inlineStr">
        <is>
          <t>41260918016343000452570100005380701005234499</t>
        </is>
      </c>
    </row>
    <row r="37">
      <c r="A37" s="14" t="n">
        <v>4014896</v>
      </c>
      <c r="B37" s="14" t="inlineStr">
        <is>
          <t>0</t>
        </is>
      </c>
      <c r="C37" s="15" t="n">
        <v>46288</v>
      </c>
      <c r="D37" s="14" t="inlineStr">
        <is>
          <t>BRASPRESS TRANSPORTES URGENTES LTDA</t>
        </is>
      </c>
      <c r="E37" s="14" t="inlineStr">
        <is>
          <t>48740351000327</t>
        </is>
      </c>
      <c r="F37" s="14" t="inlineStr">
        <is>
          <t>PR-RJ</t>
        </is>
      </c>
      <c r="G37" s="14" t="inlineStr">
        <is>
          <t>6352</t>
        </is>
      </c>
      <c r="H37" s="14" t="inlineStr">
        <is>
          <t>Cosmetici tomadora</t>
        </is>
      </c>
      <c r="I37" s="14" t="inlineStr">
        <is>
          <t>Autorizado</t>
        </is>
      </c>
      <c r="J37" s="14" t="inlineStr">
        <is>
          <t>Não</t>
        </is>
      </c>
      <c r="K37" s="16" t="n"/>
      <c r="L37" s="16" t="n">
        <v>240.43</v>
      </c>
      <c r="M37" s="16" t="n"/>
      <c r="N37" s="16" t="n">
        <v>28.36</v>
      </c>
      <c r="O37" s="14" t="inlineStr">
        <is>
          <t>8998/33039048000162</t>
        </is>
      </c>
      <c r="P37" s="14" t="inlineStr">
        <is>
          <t>Sem XML na pasta (Cosmetici tomadora - pedir o XML)</t>
        </is>
      </c>
      <c r="Q37" s="14" t="inlineStr">
        <is>
          <t>41260948740351000327570000040148961341484558</t>
        </is>
      </c>
    </row>
    <row r="38">
      <c r="A38" s="14" t="n">
        <v>4016484</v>
      </c>
      <c r="B38" s="14" t="inlineStr">
        <is>
          <t>0</t>
        </is>
      </c>
      <c r="C38" s="15" t="n">
        <v>46289</v>
      </c>
      <c r="D38" s="14" t="inlineStr">
        <is>
          <t>BRASPRESS TRANSPORTES URGENTES LTDA</t>
        </is>
      </c>
      <c r="E38" s="14" t="inlineStr">
        <is>
          <t>48740351000327</t>
        </is>
      </c>
      <c r="F38" s="14" t="inlineStr">
        <is>
          <t>PR-CE</t>
        </is>
      </c>
      <c r="G38" s="14" t="inlineStr">
        <is>
          <t>6352</t>
        </is>
      </c>
      <c r="H38" s="14" t="inlineStr">
        <is>
          <t>Cosmetici tomadora</t>
        </is>
      </c>
      <c r="I38" s="14" t="inlineStr">
        <is>
          <t>Autorizado</t>
        </is>
      </c>
      <c r="J38" s="14" t="inlineStr">
        <is>
          <t>Não</t>
        </is>
      </c>
      <c r="K38" s="16" t="n"/>
      <c r="L38" s="16" t="n">
        <v>692.92</v>
      </c>
      <c r="M38" s="16" t="n"/>
      <c r="N38" s="16" t="n">
        <v>47.93</v>
      </c>
      <c r="O38" s="14" t="inlineStr">
        <is>
          <t>9010/33039048000162</t>
        </is>
      </c>
      <c r="P38" s="14" t="inlineStr">
        <is>
          <t>Sem XML na pasta (Cosmetici tomadora - pedir o XML)</t>
        </is>
      </c>
      <c r="Q38" s="14" t="inlineStr">
        <is>
          <t>41260948740351000327570000040164841595451461</t>
        </is>
      </c>
    </row>
    <row r="39">
      <c r="A39" s="14" t="n">
        <v>17890190</v>
      </c>
      <c r="B39" s="14" t="inlineStr">
        <is>
          <t>1</t>
        </is>
      </c>
      <c r="C39" s="15" t="n">
        <v>46289</v>
      </c>
      <c r="D39" s="14" t="inlineStr">
        <is>
          <t>TEX COURIER S.A</t>
        </is>
      </c>
      <c r="E39" s="14" t="inlineStr">
        <is>
          <t>73939449002056</t>
        </is>
      </c>
      <c r="F39" s="14" t="inlineStr">
        <is>
          <t>PR-PE</t>
        </is>
      </c>
      <c r="G39" s="14" t="inlineStr">
        <is>
          <t>6353</t>
        </is>
      </c>
      <c r="H39" s="14" t="inlineStr">
        <is>
          <t>Cosmetici tomadora</t>
        </is>
      </c>
      <c r="I39" s="14" t="inlineStr">
        <is>
          <t>Autorizado</t>
        </is>
      </c>
      <c r="J39" s="14" t="inlineStr">
        <is>
          <t>Não</t>
        </is>
      </c>
      <c r="K39" s="16" t="n"/>
      <c r="L39" s="16" t="n">
        <v>221.5</v>
      </c>
      <c r="M39" s="16" t="n"/>
      <c r="N39" s="16" t="n">
        <v>15.51</v>
      </c>
      <c r="O39" s="14" t="inlineStr">
        <is>
          <t>1354/30415972000108</t>
        </is>
      </c>
      <c r="P39" s="14" t="inlineStr">
        <is>
          <t>Sem XML na pasta (Cosmetici tomadora - pedir o XML)</t>
        </is>
      </c>
      <c r="Q39" s="14" t="inlineStr">
        <is>
          <t>41260973939449002056570010178901901579809677</t>
        </is>
      </c>
    </row>
    <row r="40">
      <c r="A40" s="14" t="n">
        <v>17890191</v>
      </c>
      <c r="B40" s="14" t="inlineStr">
        <is>
          <t>1</t>
        </is>
      </c>
      <c r="C40" s="15" t="n">
        <v>46289</v>
      </c>
      <c r="D40" s="14" t="inlineStr">
        <is>
          <t>TEX COURIER S.A</t>
        </is>
      </c>
      <c r="E40" s="14" t="inlineStr">
        <is>
          <t>73939449002056</t>
        </is>
      </c>
      <c r="F40" s="14" t="inlineStr">
        <is>
          <t>PR-SP</t>
        </is>
      </c>
      <c r="G40" s="14" t="inlineStr">
        <is>
          <t>6353</t>
        </is>
      </c>
      <c r="H40" s="14" t="inlineStr">
        <is>
          <t>Cosmetici tomadora</t>
        </is>
      </c>
      <c r="I40" s="14" t="inlineStr">
        <is>
          <t>Autorizado</t>
        </is>
      </c>
      <c r="J40" s="14" t="inlineStr">
        <is>
          <t>Não</t>
        </is>
      </c>
      <c r="K40" s="16" t="n"/>
      <c r="L40" s="16" t="n">
        <v>47.65</v>
      </c>
      <c r="M40" s="16" t="n"/>
      <c r="N40" s="16" t="n">
        <v>5.72</v>
      </c>
      <c r="O40" s="14" t="inlineStr">
        <is>
          <t>1355/30415972000108</t>
        </is>
      </c>
      <c r="P40" s="14" t="inlineStr">
        <is>
          <t>Sem XML na pasta (Cosmetici tomadora - pedir o XML)</t>
        </is>
      </c>
      <c r="Q40" s="14" t="inlineStr">
        <is>
          <t>41260973939449002056570010178901911551237919</t>
        </is>
      </c>
    </row>
    <row r="41">
      <c r="A41" s="6" t="n">
        <v>26411</v>
      </c>
      <c r="B41" s="6" t="inlineStr">
        <is>
          <t>3</t>
        </is>
      </c>
      <c r="C41" s="7" t="n">
        <v>46290</v>
      </c>
      <c r="D41" s="6" t="inlineStr">
        <is>
          <t>TRANS TOMAZ TRANSPORTES RODOV DE CARGAS EIREL</t>
        </is>
      </c>
      <c r="E41" s="6" t="inlineStr">
        <is>
          <t>03867083000290</t>
        </is>
      </c>
      <c r="F41" s="6" t="inlineStr">
        <is>
          <t>SP-PR</t>
        </is>
      </c>
      <c r="G41" s="6" t="inlineStr">
        <is>
          <t>6353</t>
        </is>
      </c>
      <c r="H41" s="6" t="inlineStr">
        <is>
          <t>Cosmetici tomadora</t>
        </is>
      </c>
      <c r="I41" s="6" t="inlineStr">
        <is>
          <t>Autorizado</t>
        </is>
      </c>
      <c r="J41" s="6" t="inlineStr">
        <is>
          <t>Sim</t>
        </is>
      </c>
      <c r="K41" s="8" t="n">
        <v>126.02</v>
      </c>
      <c r="L41" s="8" t="n">
        <v>126.02</v>
      </c>
      <c r="M41" s="8" t="n">
        <v>15.12</v>
      </c>
      <c r="N41" s="8" t="n">
        <v>15.12</v>
      </c>
      <c r="O41" s="6" t="inlineStr">
        <is>
          <t>141811/62514971000107</t>
        </is>
      </c>
      <c r="P41" s="6" t="inlineStr">
        <is>
          <t>OK</t>
        </is>
      </c>
      <c r="Q41" s="6" t="inlineStr">
        <is>
          <t>35260903867083000290570030000264111000496392</t>
        </is>
      </c>
    </row>
    <row r="42">
      <c r="A42" s="14" t="n">
        <v>17896252</v>
      </c>
      <c r="B42" s="14" t="inlineStr">
        <is>
          <t>1</t>
        </is>
      </c>
      <c r="C42" s="15" t="n">
        <v>46290</v>
      </c>
      <c r="D42" s="14" t="inlineStr">
        <is>
          <t>TEX COURIER S.A</t>
        </is>
      </c>
      <c r="E42" s="14" t="inlineStr">
        <is>
          <t>73939449002056</t>
        </is>
      </c>
      <c r="F42" s="14" t="inlineStr">
        <is>
          <t>PR-SP</t>
        </is>
      </c>
      <c r="G42" s="14" t="inlineStr">
        <is>
          <t>6353</t>
        </is>
      </c>
      <c r="H42" s="14" t="inlineStr">
        <is>
          <t>Cosmetici tomadora</t>
        </is>
      </c>
      <c r="I42" s="14" t="inlineStr">
        <is>
          <t>Autorizado</t>
        </is>
      </c>
      <c r="J42" s="14" t="inlineStr">
        <is>
          <t>Não</t>
        </is>
      </c>
      <c r="K42" s="16" t="n"/>
      <c r="L42" s="16" t="n">
        <v>38.66</v>
      </c>
      <c r="M42" s="16" t="n"/>
      <c r="N42" s="16" t="n">
        <v>4.64</v>
      </c>
      <c r="O42" s="14" t="inlineStr">
        <is>
          <t>1380/30415972000108</t>
        </is>
      </c>
      <c r="P42" s="14" t="inlineStr">
        <is>
          <t>Sem XML na pasta (Cosmetici tomadora - pedir o XML)</t>
        </is>
      </c>
      <c r="Q42" s="14" t="inlineStr">
        <is>
          <t>41260973939449002056570010178962521387579519</t>
        </is>
      </c>
    </row>
    <row r="43">
      <c r="A43" s="14" t="n">
        <v>17901568</v>
      </c>
      <c r="B43" s="14" t="inlineStr">
        <is>
          <t>1</t>
        </is>
      </c>
      <c r="C43" s="15" t="n">
        <v>46290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PR-SC</t>
        </is>
      </c>
      <c r="G43" s="14" t="inlineStr">
        <is>
          <t>6353</t>
        </is>
      </c>
      <c r="H43" s="14" t="inlineStr">
        <is>
          <t>Cosmetici tomadora</t>
        </is>
      </c>
      <c r="I43" s="14" t="inlineStr">
        <is>
          <t>Autorizado</t>
        </is>
      </c>
      <c r="J43" s="14" t="inlineStr">
        <is>
          <t>Não</t>
        </is>
      </c>
      <c r="K43" s="16" t="n"/>
      <c r="L43" s="16" t="n">
        <v>20.82</v>
      </c>
      <c r="M43" s="16" t="n"/>
      <c r="N43" s="16" t="n">
        <v>2.5</v>
      </c>
      <c r="O43" s="14" t="inlineStr">
        <is>
          <t>1396/30415972000108</t>
        </is>
      </c>
      <c r="P43" s="14" t="inlineStr">
        <is>
          <t>Sem XML na pasta (Cosmetici tomadora - pedir o XML)</t>
        </is>
      </c>
      <c r="Q43" s="14" t="inlineStr">
        <is>
          <t>41260973939449002056570010179015681681992936</t>
        </is>
      </c>
    </row>
    <row r="44">
      <c r="A44" s="14" t="n">
        <v>17901582</v>
      </c>
      <c r="B44" s="14" t="inlineStr">
        <is>
          <t>1</t>
        </is>
      </c>
      <c r="C44" s="15" t="n">
        <v>46290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PR-SP</t>
        </is>
      </c>
      <c r="G44" s="14" t="inlineStr">
        <is>
          <t>6353</t>
        </is>
      </c>
      <c r="H44" s="14" t="inlineStr">
        <is>
          <t>Cosmetici tomadora</t>
        </is>
      </c>
      <c r="I44" s="14" t="inlineStr">
        <is>
          <t>Autorizado</t>
        </is>
      </c>
      <c r="J44" s="14" t="inlineStr">
        <is>
          <t>Não</t>
        </is>
      </c>
      <c r="K44" s="16" t="n"/>
      <c r="L44" s="16" t="n">
        <v>51.09</v>
      </c>
      <c r="M44" s="16" t="n"/>
      <c r="N44" s="16" t="n">
        <v>6.13</v>
      </c>
      <c r="O44" s="14" t="inlineStr">
        <is>
          <t>1397/30415972000108</t>
        </is>
      </c>
      <c r="P44" s="14" t="inlineStr">
        <is>
          <t>Sem XML na pasta (Cosmetici tomadora - pedir o XML)</t>
        </is>
      </c>
      <c r="Q44" s="14" t="inlineStr">
        <is>
          <t>41260973939449002056570010179015821611093770</t>
        </is>
      </c>
    </row>
    <row r="45">
      <c r="A45" s="14" t="n">
        <v>17901583</v>
      </c>
      <c r="B45" s="14" t="inlineStr">
        <is>
          <t>1</t>
        </is>
      </c>
      <c r="C45" s="15" t="n">
        <v>46290</v>
      </c>
      <c r="D45" s="14" t="inlineStr">
        <is>
          <t>TEX COURIER S.A</t>
        </is>
      </c>
      <c r="E45" s="14" t="inlineStr">
        <is>
          <t>73939449002056</t>
        </is>
      </c>
      <c r="F45" s="14" t="inlineStr">
        <is>
          <t>PR-RS</t>
        </is>
      </c>
      <c r="G45" s="14" t="inlineStr">
        <is>
          <t>6353</t>
        </is>
      </c>
      <c r="H45" s="14" t="inlineStr">
        <is>
          <t>Cosmetici tomadora</t>
        </is>
      </c>
      <c r="I45" s="14" t="inlineStr">
        <is>
          <t>Autorizado</t>
        </is>
      </c>
      <c r="J45" s="14" t="inlineStr">
        <is>
          <t>Não</t>
        </is>
      </c>
      <c r="K45" s="16" t="n"/>
      <c r="L45" s="16" t="n">
        <v>19.44</v>
      </c>
      <c r="M45" s="16" t="n"/>
      <c r="N45" s="16" t="n">
        <v>2.33</v>
      </c>
      <c r="O45" s="14" t="inlineStr">
        <is>
          <t>1392/30415972000108</t>
        </is>
      </c>
      <c r="P45" s="14" t="inlineStr">
        <is>
          <t>Sem XML na pasta (Cosmetici tomadora - pedir o XML)</t>
        </is>
      </c>
      <c r="Q45" s="14" t="inlineStr">
        <is>
          <t>41260973939449002056570010179015831130565736</t>
        </is>
      </c>
    </row>
    <row r="46">
      <c r="A46" s="14" t="n">
        <v>17901596</v>
      </c>
      <c r="B46" s="14" t="inlineStr">
        <is>
          <t>1</t>
        </is>
      </c>
      <c r="C46" s="15" t="n">
        <v>46290</v>
      </c>
      <c r="D46" s="14" t="inlineStr">
        <is>
          <t>TEX COURIER S.A</t>
        </is>
      </c>
      <c r="E46" s="14" t="inlineStr">
        <is>
          <t>73939449002056</t>
        </is>
      </c>
      <c r="F46" s="14" t="inlineStr">
        <is>
          <t>PR-SP</t>
        </is>
      </c>
      <c r="G46" s="14" t="inlineStr">
        <is>
          <t>6353</t>
        </is>
      </c>
      <c r="H46" s="14" t="inlineStr">
        <is>
          <t>Cosmetici tomadora</t>
        </is>
      </c>
      <c r="I46" s="14" t="inlineStr">
        <is>
          <t>Autorizado</t>
        </is>
      </c>
      <c r="J46" s="14" t="inlineStr">
        <is>
          <t>Não</t>
        </is>
      </c>
      <c r="K46" s="16" t="n"/>
      <c r="L46" s="16" t="n">
        <v>22.97</v>
      </c>
      <c r="M46" s="16" t="n"/>
      <c r="N46" s="16" t="n">
        <v>2.76</v>
      </c>
      <c r="O46" s="14" t="inlineStr">
        <is>
          <t>1379/30415972000108</t>
        </is>
      </c>
      <c r="P46" s="14" t="inlineStr">
        <is>
          <t>Sem XML na pasta (Cosmetici tomadora - pedir o XML)</t>
        </is>
      </c>
      <c r="Q46" s="14" t="inlineStr">
        <is>
          <t>41260973939449002056570010179015961538845580</t>
        </is>
      </c>
    </row>
    <row r="47">
      <c r="A47" s="14" t="n">
        <v>17901597</v>
      </c>
      <c r="B47" s="14" t="inlineStr">
        <is>
          <t>1</t>
        </is>
      </c>
      <c r="C47" s="15" t="n">
        <v>46290</v>
      </c>
      <c r="D47" s="14" t="inlineStr">
        <is>
          <t>TEX COURIER S.A</t>
        </is>
      </c>
      <c r="E47" s="14" t="inlineStr">
        <is>
          <t>73939449002056</t>
        </is>
      </c>
      <c r="F47" s="14" t="inlineStr">
        <is>
          <t>PR-MG</t>
        </is>
      </c>
      <c r="G47" s="14" t="inlineStr">
        <is>
          <t>6353</t>
        </is>
      </c>
      <c r="H47" s="14" t="inlineStr">
        <is>
          <t>Cosmetici tomadora</t>
        </is>
      </c>
      <c r="I47" s="14" t="inlineStr">
        <is>
          <t>Autorizado</t>
        </is>
      </c>
      <c r="J47" s="14" t="inlineStr">
        <is>
          <t>Não</t>
        </is>
      </c>
      <c r="K47" s="16" t="n"/>
      <c r="L47" s="16" t="n">
        <v>26.16</v>
      </c>
      <c r="M47" s="16" t="n"/>
      <c r="N47" s="16" t="n">
        <v>3.14</v>
      </c>
      <c r="O47" s="14" t="inlineStr">
        <is>
          <t>1390/30415972000108</t>
        </is>
      </c>
      <c r="P47" s="14" t="inlineStr">
        <is>
          <t>Sem XML na pasta (Cosmetici tomadora - pedir o XML)</t>
        </is>
      </c>
      <c r="Q47" s="14" t="inlineStr">
        <is>
          <t>41260973939449002056570010179015971354021905</t>
        </is>
      </c>
    </row>
    <row r="48">
      <c r="A48" s="14" t="n">
        <v>17901624</v>
      </c>
      <c r="B48" s="14" t="inlineStr">
        <is>
          <t>1</t>
        </is>
      </c>
      <c r="C48" s="15" t="n">
        <v>46290</v>
      </c>
      <c r="D48" s="14" t="inlineStr">
        <is>
          <t>TEX COURIER S.A</t>
        </is>
      </c>
      <c r="E48" s="14" t="inlineStr">
        <is>
          <t>73939449002056</t>
        </is>
      </c>
      <c r="F48" s="14" t="inlineStr">
        <is>
          <t>PR-DF</t>
        </is>
      </c>
      <c r="G48" s="14" t="inlineStr">
        <is>
          <t>6353</t>
        </is>
      </c>
      <c r="H48" s="14" t="inlineStr">
        <is>
          <t>Cosmetici tomadora</t>
        </is>
      </c>
      <c r="I48" s="14" t="inlineStr">
        <is>
          <t>Autorizado</t>
        </is>
      </c>
      <c r="J48" s="14" t="inlineStr">
        <is>
          <t>Não</t>
        </is>
      </c>
      <c r="K48" s="16" t="n"/>
      <c r="L48" s="16" t="n">
        <v>28.31</v>
      </c>
      <c r="M48" s="16" t="n"/>
      <c r="N48" s="16" t="n">
        <v>1.98</v>
      </c>
      <c r="O48" s="14" t="inlineStr">
        <is>
          <t>1377/30415972000108</t>
        </is>
      </c>
      <c r="P48" s="14" t="inlineStr">
        <is>
          <t>Sem XML na pasta (Cosmetici tomadora - pedir o XML)</t>
        </is>
      </c>
      <c r="Q48" s="14" t="inlineStr">
        <is>
          <t>41260973939449002056570010179016241104385135</t>
        </is>
      </c>
    </row>
    <row r="49">
      <c r="A49" s="14" t="n">
        <v>2095396</v>
      </c>
      <c r="B49" s="14" t="inlineStr">
        <is>
          <t>1</t>
        </is>
      </c>
      <c r="C49" s="15" t="n">
        <v>46293</v>
      </c>
      <c r="D49" s="14" t="inlineStr">
        <is>
          <t>CURITIBA - EXPRESSO SAO MIGUEL S/A</t>
        </is>
      </c>
      <c r="E49" s="14" t="inlineStr">
        <is>
          <t>00428307002301</t>
        </is>
      </c>
      <c r="F49" s="14" t="inlineStr">
        <is>
          <t>PR-RS</t>
        </is>
      </c>
      <c r="G49" s="14" t="inlineStr">
        <is>
          <t>6352</t>
        </is>
      </c>
      <c r="H49" s="14" t="inlineStr">
        <is>
          <t>Cosmetici tomadora</t>
        </is>
      </c>
      <c r="I49" s="14" t="inlineStr">
        <is>
          <t>Autorizado</t>
        </is>
      </c>
      <c r="J49" s="14" t="inlineStr">
        <is>
          <t>Não</t>
        </is>
      </c>
      <c r="K49" s="16" t="n"/>
      <c r="L49" s="16" t="n">
        <v>146.44</v>
      </c>
      <c r="M49" s="16" t="n"/>
      <c r="N49" s="16" t="n">
        <v>17.12</v>
      </c>
      <c r="O49" s="14" t="inlineStr">
        <is>
          <t>9015/33039048000162</t>
        </is>
      </c>
      <c r="P49" s="14" t="inlineStr">
        <is>
          <t>Sem XML na pasta (Cosmetici tomadora - pedir o XML)</t>
        </is>
      </c>
      <c r="Q49" s="14" t="inlineStr">
        <is>
          <t>41260900428307002301570010020953961020953963</t>
        </is>
      </c>
    </row>
    <row r="50">
      <c r="A50" s="6" t="n">
        <v>6152</v>
      </c>
      <c r="B50" s="6" t="inlineStr">
        <is>
          <t>1</t>
        </is>
      </c>
      <c r="C50" s="7" t="n">
        <v>46293</v>
      </c>
      <c r="D50" s="6" t="inlineStr">
        <is>
          <t>TOPCON EXPRESS TRANSPORTE E LOGISTICA LTDA</t>
        </is>
      </c>
      <c r="E50" s="6" t="inlineStr">
        <is>
          <t>14222849000114</t>
        </is>
      </c>
      <c r="F50" s="6" t="inlineStr">
        <is>
          <t>SP-PR</t>
        </is>
      </c>
      <c r="G50" s="6" t="inlineStr">
        <is>
          <t>6932</t>
        </is>
      </c>
      <c r="H50" s="6" t="inlineStr">
        <is>
          <t>tomador 03812091000239</t>
        </is>
      </c>
      <c r="I50" s="6" t="inlineStr">
        <is>
          <t>Autorizado</t>
        </is>
      </c>
      <c r="J50" s="6" t="inlineStr">
        <is>
          <t>Sim</t>
        </is>
      </c>
      <c r="K50" s="8" t="n">
        <v>45</v>
      </c>
      <c r="L50" s="8" t="n">
        <v>45</v>
      </c>
      <c r="M50" s="8" t="n">
        <v>0</v>
      </c>
      <c r="N50" s="8" t="n">
        <v>0</v>
      </c>
      <c r="O50" s="6" t="inlineStr">
        <is>
          <t>8099/39237959000180</t>
        </is>
      </c>
      <c r="P50" s="6" t="inlineStr">
        <is>
          <t>OK</t>
        </is>
      </c>
      <c r="Q50" s="6" t="inlineStr">
        <is>
          <t>41260914222849000114570010000061521000069767</t>
        </is>
      </c>
    </row>
    <row r="51">
      <c r="A51" s="6" t="n">
        <v>6153</v>
      </c>
      <c r="B51" s="6" t="inlineStr">
        <is>
          <t>1</t>
        </is>
      </c>
      <c r="C51" s="7" t="n">
        <v>46293</v>
      </c>
      <c r="D51" s="6" t="inlineStr">
        <is>
          <t>TOPCON EXPRESS TRANSPORTE E LOGISTICA LTDA</t>
        </is>
      </c>
      <c r="E51" s="6" t="inlineStr">
        <is>
          <t>14222849000114</t>
        </is>
      </c>
      <c r="F51" s="6" t="inlineStr">
        <is>
          <t>SP-PR</t>
        </is>
      </c>
      <c r="G51" s="6" t="inlineStr">
        <is>
          <t>6932</t>
        </is>
      </c>
      <c r="H51" s="6" t="inlineStr">
        <is>
          <t>tomador 03812091000239</t>
        </is>
      </c>
      <c r="I51" s="6" t="inlineStr">
        <is>
          <t>Autorizado</t>
        </is>
      </c>
      <c r="J51" s="6" t="inlineStr">
        <is>
          <t>Sim</t>
        </is>
      </c>
      <c r="K51" s="8" t="n">
        <v>45</v>
      </c>
      <c r="L51" s="8" t="n">
        <v>45</v>
      </c>
      <c r="M51" s="8" t="n">
        <v>0</v>
      </c>
      <c r="N51" s="8" t="n">
        <v>0</v>
      </c>
      <c r="O51" s="6" t="inlineStr">
        <is>
          <t>8112/34970658000148</t>
        </is>
      </c>
      <c r="P51" s="6" t="inlineStr">
        <is>
          <t>OK</t>
        </is>
      </c>
      <c r="Q51" s="6" t="inlineStr">
        <is>
          <t>41260914222849000114570010000061531000069772</t>
        </is>
      </c>
    </row>
    <row r="52">
      <c r="A52" s="14" t="n">
        <v>17915091</v>
      </c>
      <c r="B52" s="14" t="inlineStr">
        <is>
          <t>1</t>
        </is>
      </c>
      <c r="C52" s="15" t="n">
        <v>46293</v>
      </c>
      <c r="D52" s="14" t="inlineStr">
        <is>
          <t>TEX COURIER S.A</t>
        </is>
      </c>
      <c r="E52" s="14" t="inlineStr">
        <is>
          <t>73939449002056</t>
        </is>
      </c>
      <c r="F52" s="14" t="inlineStr">
        <is>
          <t>PR-RS</t>
        </is>
      </c>
      <c r="G52" s="14" t="inlineStr">
        <is>
          <t>6353</t>
        </is>
      </c>
      <c r="H52" s="14" t="inlineStr">
        <is>
          <t>Cosmetici tomadora</t>
        </is>
      </c>
      <c r="I52" s="14" t="inlineStr">
        <is>
          <t>Autorizado</t>
        </is>
      </c>
      <c r="J52" s="14" t="inlineStr">
        <is>
          <t>Não</t>
        </is>
      </c>
      <c r="K52" s="16" t="n"/>
      <c r="L52" s="16" t="n">
        <v>27.56</v>
      </c>
      <c r="M52" s="16" t="n"/>
      <c r="N52" s="16" t="n">
        <v>3.31</v>
      </c>
      <c r="O52" s="14" t="inlineStr">
        <is>
          <t>1407/30415972000108</t>
        </is>
      </c>
      <c r="P52" s="14" t="inlineStr">
        <is>
          <t>Sem XML na pasta (Cosmetici tomadora - pedir o XML)</t>
        </is>
      </c>
      <c r="Q52" s="14" t="inlineStr">
        <is>
          <t>41260973939449002056570010179150911045858097</t>
        </is>
      </c>
    </row>
    <row r="53">
      <c r="A53" s="14" t="n">
        <v>2098798</v>
      </c>
      <c r="B53" s="14" t="inlineStr">
        <is>
          <t>1</t>
        </is>
      </c>
      <c r="C53" s="15" t="n">
        <v>46294</v>
      </c>
      <c r="D53" s="14" t="inlineStr">
        <is>
          <t>CURITIBA - EXPRESSO SAO MIGUEL S/A</t>
        </is>
      </c>
      <c r="E53" s="14" t="inlineStr">
        <is>
          <t>00428307002301</t>
        </is>
      </c>
      <c r="F53" s="14" t="inlineStr">
        <is>
          <t>PR-RS</t>
        </is>
      </c>
      <c r="G53" s="14" t="inlineStr">
        <is>
          <t>6352</t>
        </is>
      </c>
      <c r="H53" s="14" t="inlineStr">
        <is>
          <t>Cosmetici tomadora</t>
        </is>
      </c>
      <c r="I53" s="14" t="inlineStr">
        <is>
          <t>Autorizado</t>
        </is>
      </c>
      <c r="J53" s="14" t="inlineStr">
        <is>
          <t>Não</t>
        </is>
      </c>
      <c r="K53" s="16" t="n"/>
      <c r="L53" s="16" t="n">
        <v>445.46</v>
      </c>
      <c r="M53" s="16" t="n"/>
      <c r="N53" s="16" t="n">
        <v>52.09</v>
      </c>
      <c r="O53" s="14" t="inlineStr">
        <is>
          <t>9017/33039048000162</t>
        </is>
      </c>
      <c r="P53" s="14" t="inlineStr">
        <is>
          <t>Sem XML na pasta (Cosmetici tomadora - pedir o XML)</t>
        </is>
      </c>
      <c r="Q53" s="14" t="inlineStr">
        <is>
          <t>41260900428307002301570010020987981020987981</t>
        </is>
      </c>
    </row>
    <row r="54">
      <c r="A54" s="14" t="n">
        <v>17924737</v>
      </c>
      <c r="B54" s="14" t="inlineStr">
        <is>
          <t>1</t>
        </is>
      </c>
      <c r="C54" s="15" t="n">
        <v>46294</v>
      </c>
      <c r="D54" s="14" t="inlineStr">
        <is>
          <t>TEX COURIER S.A</t>
        </is>
      </c>
      <c r="E54" s="14" t="inlineStr">
        <is>
          <t>73939449002056</t>
        </is>
      </c>
      <c r="F54" s="14" t="inlineStr">
        <is>
          <t>PR-MG</t>
        </is>
      </c>
      <c r="G54" s="14" t="inlineStr">
        <is>
          <t>6353</t>
        </is>
      </c>
      <c r="H54" s="14" t="inlineStr">
        <is>
          <t>Cosmetici tomadora</t>
        </is>
      </c>
      <c r="I54" s="14" t="inlineStr">
        <is>
          <t>Autorizado</t>
        </is>
      </c>
      <c r="J54" s="14" t="inlineStr">
        <is>
          <t>Não</t>
        </is>
      </c>
      <c r="K54" s="16" t="n"/>
      <c r="L54" s="16" t="n">
        <v>55.04</v>
      </c>
      <c r="M54" s="16" t="n"/>
      <c r="N54" s="16" t="n">
        <v>6.6</v>
      </c>
      <c r="O54" s="14" t="inlineStr">
        <is>
          <t>1442/30415972000108</t>
        </is>
      </c>
      <c r="P54" s="14" t="inlineStr">
        <is>
          <t>Sem XML na pasta (Cosmetici tomadora - pedir o XML)</t>
        </is>
      </c>
      <c r="Q54" s="14" t="inlineStr">
        <is>
          <t>41260973939449002056570010179247371948650364</t>
        </is>
      </c>
    </row>
    <row r="55">
      <c r="A55" s="14" t="n">
        <v>17924803</v>
      </c>
      <c r="B55" s="14" t="inlineStr">
        <is>
          <t>1</t>
        </is>
      </c>
      <c r="C55" s="15" t="n">
        <v>46294</v>
      </c>
      <c r="D55" s="14" t="inlineStr">
        <is>
          <t>TEX COURIER S.A</t>
        </is>
      </c>
      <c r="E55" s="14" t="inlineStr">
        <is>
          <t>73939449002056</t>
        </is>
      </c>
      <c r="F55" s="14" t="inlineStr">
        <is>
          <t>PR-MG</t>
        </is>
      </c>
      <c r="G55" s="14" t="inlineStr">
        <is>
          <t>6353</t>
        </is>
      </c>
      <c r="H55" s="14" t="inlineStr">
        <is>
          <t>Cosmetici tomadora</t>
        </is>
      </c>
      <c r="I55" s="14" t="inlineStr">
        <is>
          <t>Autorizado</t>
        </is>
      </c>
      <c r="J55" s="14" t="inlineStr">
        <is>
          <t>Não</t>
        </is>
      </c>
      <c r="K55" s="16" t="n"/>
      <c r="L55" s="16" t="n">
        <v>28.56</v>
      </c>
      <c r="M55" s="16" t="n"/>
      <c r="N55" s="16" t="n">
        <v>3.43</v>
      </c>
      <c r="O55" s="14" t="inlineStr">
        <is>
          <t>1438/30415972000108</t>
        </is>
      </c>
      <c r="P55" s="14" t="inlineStr">
        <is>
          <t>Sem XML na pasta (Cosmetici tomadora - pedir o XML)</t>
        </is>
      </c>
      <c r="Q55" s="14" t="inlineStr">
        <is>
          <t>41260973939449002056570010179248031905329170</t>
        </is>
      </c>
    </row>
    <row r="56">
      <c r="A56" s="14" t="n">
        <v>17924811</v>
      </c>
      <c r="B56" s="14" t="inlineStr">
        <is>
          <t>1</t>
        </is>
      </c>
      <c r="C56" s="15" t="n">
        <v>46294</v>
      </c>
      <c r="D56" s="14" t="inlineStr">
        <is>
          <t>TEX COURIER S.A</t>
        </is>
      </c>
      <c r="E56" s="14" t="inlineStr">
        <is>
          <t>73939449002056</t>
        </is>
      </c>
      <c r="F56" s="14" t="inlineStr">
        <is>
          <t>PR-RS</t>
        </is>
      </c>
      <c r="G56" s="14" t="inlineStr">
        <is>
          <t>6353</t>
        </is>
      </c>
      <c r="H56" s="14" t="inlineStr">
        <is>
          <t>Cosmetici tomadora</t>
        </is>
      </c>
      <c r="I56" s="14" t="inlineStr">
        <is>
          <t>Autorizado</t>
        </is>
      </c>
      <c r="J56" s="14" t="inlineStr">
        <is>
          <t>Não</t>
        </is>
      </c>
      <c r="K56" s="16" t="n"/>
      <c r="L56" s="16" t="n">
        <v>24.74</v>
      </c>
      <c r="M56" s="16" t="n"/>
      <c r="N56" s="16" t="n">
        <v>2.97</v>
      </c>
      <c r="O56" s="14" t="inlineStr">
        <is>
          <t>1409/30415972000108</t>
        </is>
      </c>
      <c r="P56" s="14" t="inlineStr">
        <is>
          <t>Sem XML na pasta (Cosmetici tomadora - pedir o XML)</t>
        </is>
      </c>
      <c r="Q56" s="14" t="inlineStr">
        <is>
          <t>41260973939449002056570010179248111268602370</t>
        </is>
      </c>
    </row>
    <row r="57">
      <c r="A57" s="6" t="n">
        <v>26730</v>
      </c>
      <c r="B57" s="6" t="inlineStr">
        <is>
          <t>3</t>
        </is>
      </c>
      <c r="C57" s="7" t="n">
        <v>46295</v>
      </c>
      <c r="D57" s="6" t="inlineStr">
        <is>
          <t>TRANS TOMAZ TRANSPORTES RODOV DE CARGAS EIREL</t>
        </is>
      </c>
      <c r="E57" s="6" t="inlineStr">
        <is>
          <t>03867083000290</t>
        </is>
      </c>
      <c r="F57" s="6" t="inlineStr">
        <is>
          <t>SP-PR</t>
        </is>
      </c>
      <c r="G57" s="6" t="inlineStr">
        <is>
          <t>6353</t>
        </is>
      </c>
      <c r="H57" s="6" t="inlineStr">
        <is>
          <t>Cosmetici tomadora</t>
        </is>
      </c>
      <c r="I57" s="6" t="inlineStr">
        <is>
          <t>Autorizado</t>
        </is>
      </c>
      <c r="J57" s="6" t="inlineStr">
        <is>
          <t>Sim</t>
        </is>
      </c>
      <c r="K57" s="8" t="n">
        <v>188.49</v>
      </c>
      <c r="L57" s="8" t="n">
        <v>188.49</v>
      </c>
      <c r="M57" s="8" t="n">
        <v>22.62</v>
      </c>
      <c r="N57" s="8" t="n">
        <v>22.62</v>
      </c>
      <c r="O57" s="6" t="inlineStr">
        <is>
          <t>19303/58309709000820</t>
        </is>
      </c>
      <c r="P57" s="6" t="inlineStr">
        <is>
          <t>OK</t>
        </is>
      </c>
      <c r="Q57" s="6" t="inlineStr">
        <is>
          <t>35260903867083000290570030000267301000504028</t>
        </is>
      </c>
    </row>
    <row r="58">
      <c r="A58" s="6" t="n">
        <v>7245</v>
      </c>
      <c r="B58" s="6" t="inlineStr">
        <is>
          <t>2</t>
        </is>
      </c>
      <c r="C58" s="7" t="n">
        <v>46295</v>
      </c>
      <c r="D58" s="6" t="inlineStr">
        <is>
          <t>TRANSPORTADORA SABIA DE MARILI</t>
        </is>
      </c>
      <c r="E58" s="6" t="inlineStr">
        <is>
          <t>59512962000172</t>
        </is>
      </c>
      <c r="F58" s="6" t="inlineStr">
        <is>
          <t>MG-SP</t>
        </is>
      </c>
      <c r="G58" s="6" t="inlineStr">
        <is>
          <t>6932</t>
        </is>
      </c>
      <c r="H58" s="6" t="inlineStr">
        <is>
          <t>tomador 58309709000820</t>
        </is>
      </c>
      <c r="I58" s="6" t="inlineStr">
        <is>
          <t>Autorizado</t>
        </is>
      </c>
      <c r="J58" s="6" t="inlineStr">
        <is>
          <t>Sim</t>
        </is>
      </c>
      <c r="K58" s="8" t="n">
        <v>499.42</v>
      </c>
      <c r="L58" s="8" t="n">
        <v>499.42</v>
      </c>
      <c r="M58" s="8" t="n">
        <v>0</v>
      </c>
      <c r="N58" s="8" t="n">
        <v>0</v>
      </c>
      <c r="O58" s="6" t="inlineStr">
        <is>
          <t>19303/58309709000820</t>
        </is>
      </c>
      <c r="P58" s="6" t="inlineStr">
        <is>
          <t>OK</t>
        </is>
      </c>
      <c r="Q58" s="6" t="inlineStr">
        <is>
          <t>35260959512962000172570020000072451001308896</t>
        </is>
      </c>
    </row>
    <row r="59">
      <c r="A59" s="9" t="n">
        <v>2101677</v>
      </c>
      <c r="B59" s="9" t="inlineStr">
        <is>
          <t>1</t>
        </is>
      </c>
      <c r="C59" s="10" t="n">
        <v>46295</v>
      </c>
      <c r="D59" s="9" t="inlineStr">
        <is>
          <t>CURITIBA - EXPRESSO SAO MIGUEL S/A</t>
        </is>
      </c>
      <c r="E59" s="9" t="inlineStr">
        <is>
          <t>00428307002301</t>
        </is>
      </c>
      <c r="F59" s="9" t="inlineStr">
        <is>
          <t>PR-SC</t>
        </is>
      </c>
      <c r="G59" s="9" t="inlineStr">
        <is>
          <t>6353</t>
        </is>
      </c>
      <c r="H59" s="9" t="inlineStr">
        <is>
          <t>tomador 17666331000168</t>
        </is>
      </c>
      <c r="I59" s="9" t="inlineStr">
        <is>
          <t>Autorizado</t>
        </is>
      </c>
      <c r="J59" s="9" t="inlineStr">
        <is>
          <t>Não</t>
        </is>
      </c>
      <c r="K59" s="11" t="n"/>
      <c r="L59" s="11" t="n">
        <v>112</v>
      </c>
      <c r="M59" s="11" t="n"/>
      <c r="N59" s="11" t="n">
        <v>12.99</v>
      </c>
      <c r="O59" s="9" t="inlineStr">
        <is>
          <t>9027/33039048000162</t>
        </is>
      </c>
      <c r="P59" s="9" t="inlineStr">
        <is>
          <t>Sem XML na pasta (tomador é outra empresa)</t>
        </is>
      </c>
      <c r="Q59" s="9" t="inlineStr">
        <is>
          <t>41260900428307002301570010021016771021016770</t>
        </is>
      </c>
    </row>
    <row r="60">
      <c r="A60" s="9" t="n">
        <v>2101678</v>
      </c>
      <c r="B60" s="9" t="inlineStr">
        <is>
          <t>1</t>
        </is>
      </c>
      <c r="C60" s="10" t="n">
        <v>46295</v>
      </c>
      <c r="D60" s="9" t="inlineStr">
        <is>
          <t>CURITIBA - EXPRESSO SAO MIGUEL S/A</t>
        </is>
      </c>
      <c r="E60" s="9" t="inlineStr">
        <is>
          <t>00428307002301</t>
        </is>
      </c>
      <c r="F60" s="9" t="inlineStr">
        <is>
          <t>PR-PR</t>
        </is>
      </c>
      <c r="G60" s="9" t="inlineStr">
        <is>
          <t>5353</t>
        </is>
      </c>
      <c r="H60" s="9" t="inlineStr">
        <is>
          <t>tomador 06237330000181</t>
        </is>
      </c>
      <c r="I60" s="9" t="inlineStr">
        <is>
          <t>Autorizado</t>
        </is>
      </c>
      <c r="J60" s="9" t="inlineStr">
        <is>
          <t>Não</t>
        </is>
      </c>
      <c r="K60" s="11" t="n"/>
      <c r="L60" s="11" t="n">
        <v>286</v>
      </c>
      <c r="M60" s="11" t="n"/>
      <c r="N60" s="11" t="n">
        <v>0</v>
      </c>
      <c r="O60" s="9" t="inlineStr">
        <is>
          <t>9023/33039048000162</t>
        </is>
      </c>
      <c r="P60" s="9" t="inlineStr">
        <is>
          <t>Sem XML na pasta (tomador é outra empresa)</t>
        </is>
      </c>
      <c r="Q60" s="9" t="inlineStr">
        <is>
          <t>41260900428307002301570010021016781021016785</t>
        </is>
      </c>
    </row>
    <row r="61">
      <c r="A61" s="9" t="n">
        <v>539506</v>
      </c>
      <c r="B61" s="9" t="inlineStr">
        <is>
          <t>10</t>
        </is>
      </c>
      <c r="C61" s="10" t="n">
        <v>46295</v>
      </c>
      <c r="D61" s="9" t="inlineStr">
        <is>
          <t>AGEX TRANSPORTES URGENTES LTDA</t>
        </is>
      </c>
      <c r="E61" s="9" t="inlineStr">
        <is>
          <t>18016343000452</t>
        </is>
      </c>
      <c r="F61" s="9" t="inlineStr">
        <is>
          <t>PR-MS</t>
        </is>
      </c>
      <c r="G61" s="9" t="inlineStr">
        <is>
          <t>6353</t>
        </is>
      </c>
      <c r="H61" s="9" t="inlineStr">
        <is>
          <t>tomador 27697083000176</t>
        </is>
      </c>
      <c r="I61" s="9" t="inlineStr">
        <is>
          <t>Autorizado</t>
        </is>
      </c>
      <c r="J61" s="9" t="inlineStr">
        <is>
          <t>Não</t>
        </is>
      </c>
      <c r="K61" s="11" t="n"/>
      <c r="L61" s="11" t="n">
        <v>1212.45</v>
      </c>
      <c r="M61" s="11" t="n"/>
      <c r="N61" s="11" t="n">
        <v>81.61</v>
      </c>
      <c r="O61" s="9" t="inlineStr">
        <is>
          <t>9025/33039048000162</t>
        </is>
      </c>
      <c r="P61" s="9" t="inlineStr">
        <is>
          <t>Sem XML na pasta (tomador é outra empresa)</t>
        </is>
      </c>
      <c r="Q61" s="9" t="inlineStr">
        <is>
          <t>41260918016343000452570100005395061005299478</t>
        </is>
      </c>
    </row>
    <row r="62">
      <c r="A62" s="12" t="inlineStr">
        <is>
          <t>Total</t>
        </is>
      </c>
      <c r="K62" s="13">
        <f>SUM(K5:K61)</f>
        <v/>
      </c>
      <c r="L62" s="13">
        <f>SUM(L5:L61)</f>
        <v/>
      </c>
      <c r="M62" s="13">
        <f>SUM(M5:M61)</f>
        <v/>
      </c>
      <c r="N62" s="13">
        <f>SUM(N5:N61)</f>
        <v/>
      </c>
    </row>
  </sheetData>
  <autoFilter ref="A4:Q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7" customWidth="1" min="5" max="5"/>
    <col width="8" customWidth="1" min="6" max="6"/>
    <col width="24" customWidth="1" min="7" max="7"/>
    <col width="16" customWidth="1" min="8" max="8"/>
    <col width="11" customWidth="1" min="9" max="9"/>
    <col width="11" customWidth="1" min="10" max="10"/>
    <col width="10" customWidth="1" min="11" max="11"/>
    <col width="9" customWidth="1" min="12" max="12"/>
    <col width="9" customWidth="1" min="13" max="13"/>
    <col width="7" customWidth="1" min="14" max="14"/>
    <col width="9" customWidth="1" min="15" max="15"/>
    <col width="9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  <col width="10" customWidth="1" min="22" max="22"/>
    <col width="11" customWidth="1" min="23" max="23"/>
    <col width="11" customWidth="1" min="24" max="24"/>
    <col width="40" customWidth="1" min="25" max="25"/>
    <col width="50" customWidth="1" min="26" max="26"/>
  </cols>
  <sheetData>
    <row r="1">
      <c r="A1" s="1" t="inlineStr">
        <is>
          <t>NFS-e</t>
        </is>
      </c>
    </row>
    <row r="2">
      <c r="A2" s="2" t="inlineStr">
        <is>
          <t>XML (padrão nacional, pasta Doc's/Recebidas) x RelatorioNFS_ABRASF (SIEG). Valores como estão em cada documento.</t>
        </is>
      </c>
    </row>
    <row r="4" ht="30" customHeight="1">
      <c r="A4" s="5" t="inlineStr">
        <is>
          <t>NFS-e</t>
        </is>
      </c>
      <c r="B4" s="5" t="inlineStr">
        <is>
          <t>Emissão</t>
        </is>
      </c>
      <c r="C4" s="5" t="inlineStr">
        <is>
          <t>Prestador</t>
        </is>
      </c>
      <c r="D4" s="5" t="inlineStr">
        <is>
          <t>CNPJ</t>
        </is>
      </c>
      <c r="E4" s="5" t="inlineStr">
        <is>
          <t>Simples</t>
        </is>
      </c>
      <c r="F4" s="5" t="inlineStr">
        <is>
          <t>Cód. serviço</t>
        </is>
      </c>
      <c r="G4" s="5" t="inlineStr">
        <is>
          <t>Serviço</t>
        </is>
      </c>
      <c r="H4" s="5" t="inlineStr">
        <is>
          <t>Município incidência</t>
        </is>
      </c>
      <c r="I4" s="5" t="inlineStr">
        <is>
          <t>Valor XML</t>
        </is>
      </c>
      <c r="J4" s="5" t="inlineStr">
        <is>
          <t>Valor relatório</t>
        </is>
      </c>
      <c r="K4" s="5" t="inlineStr">
        <is>
          <t>Base ISS</t>
        </is>
      </c>
      <c r="L4" s="5" t="inlineStr">
        <is>
          <t>ISS XML</t>
        </is>
      </c>
      <c r="M4" s="5" t="inlineStr">
        <is>
          <t>ISS relatório</t>
        </is>
      </c>
      <c r="N4" s="5" t="inlineStr">
        <is>
          <t>ISS retido</t>
        </is>
      </c>
      <c r="O4" s="5" t="inlineStr">
        <is>
          <t>IRRF XML</t>
        </is>
      </c>
      <c r="P4" s="5" t="inlineStr">
        <is>
          <t>IRRF relatório</t>
        </is>
      </c>
      <c r="Q4" s="5" t="inlineStr">
        <is>
          <t>PIS (XML)</t>
        </is>
      </c>
      <c r="R4" s="5" t="inlineStr">
        <is>
          <t>COFINS (XML)</t>
        </is>
      </c>
      <c r="S4" s="5" t="inlineStr">
        <is>
          <t>CSLL retida (XML)</t>
        </is>
      </c>
      <c r="T4" s="5" t="inlineStr">
        <is>
          <t>INSS retido (XML)</t>
        </is>
      </c>
      <c r="U4" s="5" t="inlineStr">
        <is>
          <t>Total retido XML</t>
        </is>
      </c>
      <c r="V4" s="5" t="inlineStr">
        <is>
          <t>Total retido relatório</t>
        </is>
      </c>
      <c r="W4" s="5" t="inlineStr">
        <is>
          <t>Líquido XML</t>
        </is>
      </c>
      <c r="X4" s="5" t="inlineStr">
        <is>
          <t>Líquido relatório</t>
        </is>
      </c>
      <c r="Y4" s="5" t="inlineStr">
        <is>
          <t>Resultado</t>
        </is>
      </c>
      <c r="Z4" s="5" t="inlineStr">
        <is>
          <t>Chave</t>
        </is>
      </c>
    </row>
    <row r="5">
      <c r="A5" s="6" t="inlineStr">
        <is>
          <t>1547</t>
        </is>
      </c>
      <c r="B5" s="7" t="n">
        <v>46266</v>
      </c>
      <c r="C5" s="6" t="inlineStr">
        <is>
          <t>PENSU EXACTU COMERCIO E SERVICOS DE EQUIPAMENTOS METROLOGICOS LTDA</t>
        </is>
      </c>
      <c r="D5" s="6" t="inlineStr">
        <is>
          <t>07768652000110</t>
        </is>
      </c>
      <c r="E5" s="6" t="inlineStr">
        <is>
          <t>Sim</t>
        </is>
      </c>
      <c r="F5" s="6" t="inlineStr">
        <is>
          <t>170901</t>
        </is>
      </c>
      <c r="G5" s="6" t="inlineStr">
        <is>
          <t>Perícias, laudos, exames técnicos e análises técnicas.</t>
        </is>
      </c>
      <c r="H5" s="6" t="inlineStr">
        <is>
          <t>Curitiba</t>
        </is>
      </c>
      <c r="I5" s="8" t="n">
        <v>612.25</v>
      </c>
      <c r="J5" s="8" t="n">
        <v>612.25</v>
      </c>
      <c r="K5" s="8" t="n">
        <v>0</v>
      </c>
      <c r="L5" s="8" t="n">
        <v>0</v>
      </c>
      <c r="M5" s="8" t="n">
        <v>0</v>
      </c>
      <c r="N5" s="6" t="inlineStr">
        <is>
          <t>Não</t>
        </is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612.25</v>
      </c>
      <c r="X5" s="8" t="n">
        <v>612.25</v>
      </c>
      <c r="Y5" s="6" t="inlineStr">
        <is>
          <t>OK</t>
        </is>
      </c>
      <c r="Z5" s="6" t="inlineStr">
        <is>
          <t>41069022207768652000110000000000154726099373367718</t>
        </is>
      </c>
    </row>
    <row r="6">
      <c r="A6" s="6" t="inlineStr">
        <is>
          <t>2709747</t>
        </is>
      </c>
      <c r="B6" s="7" t="n">
        <v>46266</v>
      </c>
      <c r="C6" s="6" t="inlineStr">
        <is>
          <t>LIGGA SERVICOS EM TELECOM S.A.</t>
        </is>
      </c>
      <c r="D6" s="6" t="inlineStr">
        <is>
          <t>65649511000184</t>
        </is>
      </c>
      <c r="E6" s="6" t="inlineStr">
        <is>
          <t>Não</t>
        </is>
      </c>
      <c r="F6" s="6" t="inlineStr">
        <is>
          <t>310104</t>
        </is>
      </c>
      <c r="G6" s="6" t="inlineStr">
        <is>
          <t>Serviços técnicos em telecomunicações e congêneres.</t>
        </is>
      </c>
      <c r="H6" s="6" t="inlineStr">
        <is>
          <t>Curitiba</t>
        </is>
      </c>
      <c r="I6" s="8" t="n">
        <v>83.98999999999999</v>
      </c>
      <c r="J6" s="8" t="n">
        <v>83.98999999999999</v>
      </c>
      <c r="K6" s="8" t="n">
        <v>83.98999999999999</v>
      </c>
      <c r="L6" s="8" t="n">
        <v>4.2</v>
      </c>
      <c r="M6" s="8" t="n">
        <v>4.2</v>
      </c>
      <c r="N6" s="6" t="inlineStr">
        <is>
          <t>Não</t>
        </is>
      </c>
      <c r="O6" s="8" t="n">
        <v>0</v>
      </c>
      <c r="P6" s="8" t="n">
        <v>0</v>
      </c>
      <c r="Q6" s="8" t="n">
        <v>1.39</v>
      </c>
      <c r="R6" s="8" t="n">
        <v>6.38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83.98999999999999</v>
      </c>
      <c r="X6" s="8" t="n">
        <v>83.98999999999999</v>
      </c>
      <c r="Y6" s="6" t="inlineStr">
        <is>
          <t>OK</t>
        </is>
      </c>
      <c r="Z6" s="6" t="inlineStr">
        <is>
          <t>41069022265649511000184000000270974726090368715311</t>
        </is>
      </c>
    </row>
    <row r="7">
      <c r="A7" s="6" t="inlineStr">
        <is>
          <t>2709751</t>
        </is>
      </c>
      <c r="B7" s="7" t="n">
        <v>46266</v>
      </c>
      <c r="C7" s="6" t="inlineStr">
        <is>
          <t>LIGGA SERVICOS EM TELECOM S.A.</t>
        </is>
      </c>
      <c r="D7" s="6" t="inlineStr">
        <is>
          <t>65649511000184</t>
        </is>
      </c>
      <c r="E7" s="6" t="inlineStr">
        <is>
          <t>Não</t>
        </is>
      </c>
      <c r="F7" s="6" t="inlineStr">
        <is>
          <t>010902</t>
        </is>
      </c>
      <c r="G7" s="6" t="inlineStr">
        <is>
          <t>Disponibilização, sem cessão definitiva, de conteúdos de vídeo, imagem e texto por meio da internet, respeitada a imunidade de livros, jornais e periódicos (exceto a distribuição de conteúdos pelas prestadoras de Serviço de Acesso Condicionado, de que trata a Lei nº 12.485, de 12 de setembro de 2011, sujeita ao ICMS).</t>
        </is>
      </c>
      <c r="H7" s="6" t="inlineStr"/>
      <c r="I7" s="8" t="n">
        <v>195.97</v>
      </c>
      <c r="J7" s="8" t="n">
        <v>195.97</v>
      </c>
      <c r="K7" s="8" t="n">
        <v>0</v>
      </c>
      <c r="L7" s="8" t="n">
        <v>0</v>
      </c>
      <c r="M7" s="8" t="n">
        <v>0</v>
      </c>
      <c r="N7" s="6" t="inlineStr">
        <is>
          <t>Não</t>
        </is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195.97</v>
      </c>
      <c r="X7" s="8" t="n">
        <v>195.97</v>
      </c>
      <c r="Y7" s="6" t="inlineStr">
        <is>
          <t>OK</t>
        </is>
      </c>
      <c r="Z7" s="6" t="inlineStr">
        <is>
          <t>41069022265649511000184000000270975126095154324020</t>
        </is>
      </c>
    </row>
    <row r="8">
      <c r="A8" s="6" t="inlineStr">
        <is>
          <t>18</t>
        </is>
      </c>
      <c r="B8" s="7" t="n">
        <v>46266</v>
      </c>
      <c r="C8" s="6" t="inlineStr">
        <is>
          <t>GENESIS ALIANCA SERVICOS MEDICOS LTDA.</t>
        </is>
      </c>
      <c r="D8" s="6" t="inlineStr">
        <is>
          <t>67742984000157</t>
        </is>
      </c>
      <c r="E8" s="6" t="inlineStr">
        <is>
          <t>Não</t>
        </is>
      </c>
      <c r="F8" s="6" t="inlineStr">
        <is>
          <t>040102</t>
        </is>
      </c>
      <c r="G8" s="6" t="inlineStr">
        <is>
          <t>Biomedicina.</t>
        </is>
      </c>
      <c r="H8" s="6" t="inlineStr">
        <is>
          <t>Curitiba</t>
        </is>
      </c>
      <c r="I8" s="8" t="n">
        <v>728.14</v>
      </c>
      <c r="J8" s="8" t="n">
        <v>728.14</v>
      </c>
      <c r="K8" s="8" t="n">
        <v>728.14</v>
      </c>
      <c r="L8" s="8" t="n">
        <v>36.41</v>
      </c>
      <c r="M8" s="8" t="n">
        <v>36.41</v>
      </c>
      <c r="N8" s="6" t="inlineStr">
        <is>
          <t>Não</t>
        </is>
      </c>
      <c r="O8" s="8" t="n">
        <v>10.92</v>
      </c>
      <c r="P8" s="8" t="n">
        <v>10.92</v>
      </c>
      <c r="Q8" s="8" t="n">
        <v>4.73</v>
      </c>
      <c r="R8" s="8" t="n">
        <v>21.84</v>
      </c>
      <c r="S8" s="8" t="n">
        <v>0</v>
      </c>
      <c r="T8" s="8" t="n">
        <v>0</v>
      </c>
      <c r="U8" s="8" t="n">
        <v>10.92</v>
      </c>
      <c r="V8" s="8" t="n">
        <v>10.92</v>
      </c>
      <c r="W8" s="8" t="n">
        <v>717.22</v>
      </c>
      <c r="X8" s="8" t="n">
        <v>717.22</v>
      </c>
      <c r="Y8" s="6" t="inlineStr">
        <is>
          <t>OK</t>
        </is>
      </c>
      <c r="Z8" s="6" t="inlineStr">
        <is>
          <t>41069022267742984000157000000000001826091655988219</t>
        </is>
      </c>
    </row>
    <row r="9">
      <c r="A9" s="6" t="inlineStr">
        <is>
          <t>974</t>
        </is>
      </c>
      <c r="B9" s="7" t="n">
        <v>46266</v>
      </c>
      <c r="C9" s="6" t="inlineStr">
        <is>
          <t>TIPOGRAFIA IGUACU LTDA</t>
        </is>
      </c>
      <c r="D9" s="6" t="inlineStr">
        <is>
          <t>75114363000157</t>
        </is>
      </c>
      <c r="E9" s="6" t="inlineStr">
        <is>
          <t>Sim</t>
        </is>
      </c>
      <c r="F9" s="6" t="inlineStr">
        <is>
          <t>130501</t>
        </is>
      </c>
      <c r="G9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9" s="6" t="inlineStr">
        <is>
          <t>Curitiba</t>
        </is>
      </c>
      <c r="I9" s="8" t="n">
        <v>72.59999999999999</v>
      </c>
      <c r="J9" s="8" t="n">
        <v>72.59999999999999</v>
      </c>
      <c r="K9" s="8" t="n">
        <v>0</v>
      </c>
      <c r="L9" s="8" t="n">
        <v>0</v>
      </c>
      <c r="M9" s="8" t="n">
        <v>0</v>
      </c>
      <c r="N9" s="6" t="inlineStr">
        <is>
          <t>Não</t>
        </is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72.59999999999999</v>
      </c>
      <c r="X9" s="8" t="n">
        <v>72.59999999999999</v>
      </c>
      <c r="Y9" s="6" t="inlineStr">
        <is>
          <t>OK</t>
        </is>
      </c>
      <c r="Z9" s="6" t="inlineStr">
        <is>
          <t>41069022275114363000157000000000097426097081722597</t>
        </is>
      </c>
    </row>
    <row r="10">
      <c r="A10" s="6" t="inlineStr">
        <is>
          <t>817660</t>
        </is>
      </c>
      <c r="B10" s="7" t="n">
        <v>46266</v>
      </c>
      <c r="C10" s="6" t="inlineStr">
        <is>
          <t>DENTAL UNI - COOPERATIVA ODONTOLOGICA</t>
        </is>
      </c>
      <c r="D10" s="6" t="inlineStr">
        <is>
          <t>78738101000151</t>
        </is>
      </c>
      <c r="E10" s="6" t="inlineStr">
        <is>
          <t>Não</t>
        </is>
      </c>
      <c r="F10" s="6" t="inlineStr">
        <is>
          <t>042201</t>
        </is>
      </c>
      <c r="G10" s="6" t="inlineStr">
        <is>
          <t>Planos de medicina de grupo ou individual e convênios para prestação de assistência médica, hospitalar, odontológica e congêneres.</t>
        </is>
      </c>
      <c r="H10" s="6" t="inlineStr">
        <is>
          <t>Curitiba</t>
        </is>
      </c>
      <c r="I10" s="8" t="n">
        <v>107.56</v>
      </c>
      <c r="J10" s="8" t="n">
        <v>107.56</v>
      </c>
      <c r="K10" s="8" t="n">
        <v>18.29</v>
      </c>
      <c r="L10" s="8" t="n">
        <v>0.73</v>
      </c>
      <c r="M10" s="8" t="n">
        <v>0.73</v>
      </c>
      <c r="N10" s="6" t="inlineStr">
        <is>
          <t>Não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107.56</v>
      </c>
      <c r="X10" s="8" t="n">
        <v>107.56</v>
      </c>
      <c r="Y10" s="6" t="inlineStr">
        <is>
          <t>OK</t>
        </is>
      </c>
      <c r="Z10" s="6" t="inlineStr">
        <is>
          <t>41069022278738101000151000000081766026097784194236</t>
        </is>
      </c>
    </row>
    <row r="11">
      <c r="A11" s="6" t="inlineStr">
        <is>
          <t>507</t>
        </is>
      </c>
      <c r="B11" s="7" t="n">
        <v>46266</v>
      </c>
      <c r="C11" s="6" t="inlineStr">
        <is>
          <t>ANDRADE ENGENHARIA LTDA.</t>
        </is>
      </c>
      <c r="D11" s="6" t="inlineStr">
        <is>
          <t>80402860000190</t>
        </is>
      </c>
      <c r="E11" s="6" t="inlineStr">
        <is>
          <t>Sim</t>
        </is>
      </c>
      <c r="F11" s="6" t="inlineStr">
        <is>
          <t>170101</t>
        </is>
      </c>
      <c r="G11" s="6" t="inlineStr">
        <is>
          <t>Assessoria ou consultoria de qualquer natureza, não contida em outros itens desta lista.</t>
        </is>
      </c>
      <c r="H11" s="6" t="inlineStr">
        <is>
          <t>Curitiba</t>
        </is>
      </c>
      <c r="I11" s="8" t="n">
        <v>1124.56</v>
      </c>
      <c r="J11" s="8" t="n">
        <v>1124.56</v>
      </c>
      <c r="K11" s="8" t="n">
        <v>0</v>
      </c>
      <c r="L11" s="8" t="n">
        <v>0</v>
      </c>
      <c r="M11" s="8" t="n">
        <v>0</v>
      </c>
      <c r="N11" s="6" t="inlineStr">
        <is>
          <t>Não</t>
        </is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1124.56</v>
      </c>
      <c r="X11" s="8" t="n">
        <v>1124.56</v>
      </c>
      <c r="Y11" s="6" t="inlineStr">
        <is>
          <t>OK</t>
        </is>
      </c>
      <c r="Z11" s="6" t="inlineStr">
        <is>
          <t>41069022280402860000190000000000050726097638942622</t>
        </is>
      </c>
    </row>
    <row r="12">
      <c r="A12" s="6" t="inlineStr">
        <is>
          <t>469</t>
        </is>
      </c>
      <c r="B12" s="7" t="n">
        <v>46268</v>
      </c>
      <c r="C12" s="6" t="inlineStr">
        <is>
          <t>OFICINA DO IMPRESSO GRAFICA E EDITORA LTDA.</t>
        </is>
      </c>
      <c r="D12" s="6" t="inlineStr">
        <is>
          <t>00495545000116</t>
        </is>
      </c>
      <c r="E12" s="6" t="inlineStr">
        <is>
          <t>Não</t>
        </is>
      </c>
      <c r="F12" s="6" t="inlineStr">
        <is>
          <t>130501</t>
        </is>
      </c>
      <c r="G12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12" s="6" t="inlineStr">
        <is>
          <t>Curitiba</t>
        </is>
      </c>
      <c r="I12" s="8" t="n">
        <v>1998</v>
      </c>
      <c r="J12" s="8" t="n">
        <v>1998</v>
      </c>
      <c r="K12" s="8" t="n">
        <v>1998</v>
      </c>
      <c r="L12" s="8" t="n">
        <v>49.95</v>
      </c>
      <c r="M12" s="8" t="n">
        <v>49.95</v>
      </c>
      <c r="N12" s="6" t="inlineStr">
        <is>
          <t>Não</t>
        </is>
      </c>
      <c r="O12" s="8" t="n">
        <v>0</v>
      </c>
      <c r="P12" s="8" t="n">
        <v>0</v>
      </c>
      <c r="Q12" s="8" t="n">
        <v>12.99</v>
      </c>
      <c r="R12" s="8" t="n">
        <v>59.94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1998</v>
      </c>
      <c r="X12" s="8" t="n">
        <v>1998</v>
      </c>
      <c r="Y12" s="6" t="inlineStr">
        <is>
          <t>OK</t>
        </is>
      </c>
      <c r="Z12" s="6" t="inlineStr">
        <is>
          <t>41069022200495545000116000000000046926091708323044</t>
        </is>
      </c>
    </row>
    <row r="13">
      <c r="A13" s="6" t="inlineStr">
        <is>
          <t>8798</t>
        </is>
      </c>
      <c r="B13" s="7" t="n">
        <v>46268</v>
      </c>
      <c r="C13" s="6" t="inlineStr">
        <is>
          <t>DOM RICARDO HOTEL LTDA</t>
        </is>
      </c>
      <c r="D13" s="6" t="inlineStr">
        <is>
          <t>01790040000147</t>
        </is>
      </c>
      <c r="E13" s="6" t="inlineStr">
        <is>
          <t>Não</t>
        </is>
      </c>
      <c r="F13" s="6" t="inlineStr">
        <is>
          <t>090101</t>
        </is>
      </c>
      <c r="G13" s="6" t="inlineStr">
        <is>
          <t>Hospedagem em hotéis, hotelaria marítima e congêneres (o valor da alimentação e gorjeta, quando incluído no preço da diária, fica sujeito ao Imposto Sobre Serviços).</t>
        </is>
      </c>
      <c r="H13" s="6" t="inlineStr">
        <is>
          <t>São José dos Pinhais</t>
        </is>
      </c>
      <c r="I13" s="8" t="n">
        <v>3510.88</v>
      </c>
      <c r="J13" s="8" t="n">
        <v>3510.88</v>
      </c>
      <c r="K13" s="8" t="n">
        <v>3510.88</v>
      </c>
      <c r="L13" s="8" t="n">
        <v>175.54</v>
      </c>
      <c r="M13" s="8" t="n">
        <v>175.54</v>
      </c>
      <c r="N13" s="6" t="inlineStr">
        <is>
          <t>Não</t>
        </is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3510.88</v>
      </c>
      <c r="X13" s="8" t="n">
        <v>3510.88</v>
      </c>
      <c r="Y13" s="6" t="inlineStr">
        <is>
          <t>OK</t>
        </is>
      </c>
      <c r="Z13" s="6" t="inlineStr">
        <is>
          <t>41255062201790040000147000000000879826090020603825</t>
        </is>
      </c>
    </row>
    <row r="14">
      <c r="A14" s="6" t="inlineStr">
        <is>
          <t>45454</t>
        </is>
      </c>
      <c r="B14" s="7" t="n">
        <v>46273</v>
      </c>
      <c r="C14" s="6" t="inlineStr">
        <is>
          <t>GL HOTEIS LTDA</t>
        </is>
      </c>
      <c r="D14" s="6" t="inlineStr">
        <is>
          <t>48395289000111</t>
        </is>
      </c>
      <c r="E14" s="6" t="inlineStr">
        <is>
          <t>Não</t>
        </is>
      </c>
      <c r="F14" s="6" t="inlineStr">
        <is>
          <t>090101</t>
        </is>
      </c>
      <c r="G14" s="6" t="inlineStr">
        <is>
          <t>Hospedagem em hotéis, hotelaria marítima e congêneres (o valor da alimentação e gorjeta, quando incl</t>
        </is>
      </c>
      <c r="H14" s="6" t="inlineStr">
        <is>
          <t>São Paulo</t>
        </is>
      </c>
      <c r="I14" s="8" t="n">
        <v>12980</v>
      </c>
      <c r="J14" s="8" t="n">
        <v>12980</v>
      </c>
      <c r="K14" s="8" t="n">
        <v>12980</v>
      </c>
      <c r="L14" s="8" t="n">
        <v>649</v>
      </c>
      <c r="M14" s="8" t="n">
        <v>649</v>
      </c>
      <c r="N14" s="6" t="inlineStr">
        <is>
          <t>Não</t>
        </is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12980</v>
      </c>
      <c r="X14" s="8" t="n">
        <v>12980</v>
      </c>
      <c r="Y14" s="6" t="inlineStr">
        <is>
          <t>OK</t>
        </is>
      </c>
      <c r="Z14" s="6" t="inlineStr">
        <is>
          <t>35503081248395289000111000000004545426099076402305</t>
        </is>
      </c>
    </row>
    <row r="15">
      <c r="A15" s="6" t="inlineStr">
        <is>
          <t>908</t>
        </is>
      </c>
      <c r="B15" s="7" t="n">
        <v>46275</v>
      </c>
      <c r="C15" s="6" t="inlineStr">
        <is>
          <t>CRM TECNOLOGIA EM SISTEMAS DE INFORMACAO LTDA</t>
        </is>
      </c>
      <c r="D15" s="6" t="inlineStr">
        <is>
          <t>24891333000116</t>
        </is>
      </c>
      <c r="E15" s="6" t="inlineStr">
        <is>
          <t>Sim</t>
        </is>
      </c>
      <c r="F15" s="6" t="inlineStr">
        <is>
          <t>010101</t>
        </is>
      </c>
      <c r="G15" s="6" t="inlineStr">
        <is>
          <t>Análise e desenvolvimento de sistemas.</t>
        </is>
      </c>
      <c r="H15" s="6" t="inlineStr">
        <is>
          <t>Curitiba</t>
        </is>
      </c>
      <c r="I15" s="8" t="n">
        <v>2859.58</v>
      </c>
      <c r="J15" s="8" t="n">
        <v>2859.58</v>
      </c>
      <c r="K15" s="8" t="n">
        <v>0</v>
      </c>
      <c r="L15" s="8" t="n">
        <v>0</v>
      </c>
      <c r="M15" s="8" t="n">
        <v>0</v>
      </c>
      <c r="N15" s="6" t="inlineStr">
        <is>
          <t>Não</t>
        </is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2859.58</v>
      </c>
      <c r="X15" s="8" t="n">
        <v>2859.58</v>
      </c>
      <c r="Y15" s="6" t="inlineStr">
        <is>
          <t>OK</t>
        </is>
      </c>
      <c r="Z15" s="6" t="inlineStr">
        <is>
          <t>41069022224891333000116000000000090826090575270117</t>
        </is>
      </c>
    </row>
    <row r="16">
      <c r="A16" s="6" t="inlineStr">
        <is>
          <t>5588821</t>
        </is>
      </c>
      <c r="B16" s="7" t="n">
        <v>46276</v>
      </c>
      <c r="C16" s="6" t="inlineStr">
        <is>
          <t>FLASH TECNOLOGIA E  INSTITUICAO DE PAGAMENTO LTDA</t>
        </is>
      </c>
      <c r="D16" s="6" t="inlineStr">
        <is>
          <t>32223020000118</t>
        </is>
      </c>
      <c r="E16" s="6" t="inlineStr">
        <is>
          <t>Não</t>
        </is>
      </c>
      <c r="F16" s="6" t="inlineStr">
        <is>
          <t>171201</t>
        </is>
      </c>
      <c r="G16" s="6" t="inlineStr">
        <is>
          <t>Administração em geral, inclusive de bens e negócios de terceiros.</t>
        </is>
      </c>
      <c r="H16" s="6" t="inlineStr">
        <is>
          <t>São Paulo</t>
        </is>
      </c>
      <c r="I16" s="8" t="n">
        <v>6105</v>
      </c>
      <c r="J16" s="8" t="n">
        <v>6105</v>
      </c>
      <c r="K16" s="8" t="n">
        <v>0</v>
      </c>
      <c r="L16" s="8" t="n">
        <v>0</v>
      </c>
      <c r="M16" s="8" t="n">
        <v>0</v>
      </c>
      <c r="N16" s="6" t="inlineStr">
        <is>
          <t>Não</t>
        </is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6105</v>
      </c>
      <c r="X16" s="8" t="n">
        <v>6105</v>
      </c>
      <c r="Y16" s="6" t="inlineStr">
        <is>
          <t>OK</t>
        </is>
      </c>
      <c r="Z16" s="6" t="inlineStr">
        <is>
          <t>35503081232223020000118000000558882126097884718838</t>
        </is>
      </c>
    </row>
    <row r="17">
      <c r="A17" s="6" t="inlineStr">
        <is>
          <t>9530</t>
        </is>
      </c>
      <c r="B17" s="7" t="n">
        <v>46281</v>
      </c>
      <c r="C17" s="6" t="inlineStr">
        <is>
          <t>INSETCONTROL CONTROLE DE PRAGAS LTDA</t>
        </is>
      </c>
      <c r="D17" s="6" t="inlineStr">
        <is>
          <t>14309879000162</t>
        </is>
      </c>
      <c r="E17" s="6" t="inlineStr">
        <is>
          <t>Sim</t>
        </is>
      </c>
      <c r="F17" s="6" t="inlineStr">
        <is>
          <t>071301</t>
        </is>
      </c>
      <c r="G17" s="6" t="inlineStr">
        <is>
          <t>Dedetização, desinfecção, desinsetização, imunização, higienização, desratização, pulverização e congêneres.</t>
        </is>
      </c>
      <c r="H17" s="6" t="inlineStr">
        <is>
          <t>CAMPO GRANDE</t>
        </is>
      </c>
      <c r="I17" s="8" t="n">
        <v>730</v>
      </c>
      <c r="J17" s="8" t="n">
        <v>730</v>
      </c>
      <c r="K17" s="8" t="n">
        <v>730</v>
      </c>
      <c r="L17" s="8" t="n">
        <v>36.5</v>
      </c>
      <c r="M17" s="8" t="n">
        <v>36.5</v>
      </c>
      <c r="N17" s="6" t="inlineStr">
        <is>
          <t>Não</t>
        </is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730</v>
      </c>
      <c r="X17" s="8" t="n">
        <v>730</v>
      </c>
      <c r="Y17" s="6" t="inlineStr">
        <is>
          <t>OK</t>
        </is>
      </c>
      <c r="Z17" s="6" t="inlineStr">
        <is>
          <t>50027041214309879000162000000000953026090714785828</t>
        </is>
      </c>
    </row>
    <row r="18">
      <c r="A18" s="6" t="inlineStr">
        <is>
          <t>10</t>
        </is>
      </c>
      <c r="B18" s="7" t="n">
        <v>46281</v>
      </c>
      <c r="C18" s="6" t="inlineStr">
        <is>
          <t>BIOACTIVE - BIOTECNOLOGIA E DESENVOLVIMENTO DE COSMETICOS LTDA</t>
        </is>
      </c>
      <c r="D18" s="6" t="inlineStr">
        <is>
          <t>59684382000162</t>
        </is>
      </c>
      <c r="E18" s="6" t="inlineStr">
        <is>
          <t>Sim</t>
        </is>
      </c>
      <c r="F18" s="6" t="inlineStr">
        <is>
          <t>020101</t>
        </is>
      </c>
      <c r="G18" s="6" t="inlineStr">
        <is>
          <t>Serviços de pesquisas e desenvolvimento de qualquer natureza.</t>
        </is>
      </c>
      <c r="H18" s="6" t="inlineStr">
        <is>
          <t>Curitiba</t>
        </is>
      </c>
      <c r="I18" s="8" t="n">
        <v>1000</v>
      </c>
      <c r="J18" s="8" t="n">
        <v>1000</v>
      </c>
      <c r="K18" s="8" t="n">
        <v>0</v>
      </c>
      <c r="L18" s="8" t="n">
        <v>0</v>
      </c>
      <c r="M18" s="8" t="n">
        <v>0</v>
      </c>
      <c r="N18" s="6" t="inlineStr">
        <is>
          <t>Não</t>
        </is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1000</v>
      </c>
      <c r="X18" s="8" t="n">
        <v>1000</v>
      </c>
      <c r="Y18" s="6" t="inlineStr">
        <is>
          <t>OK</t>
        </is>
      </c>
      <c r="Z18" s="6" t="inlineStr">
        <is>
          <t>41069022259684382000162000000000001026098158485630</t>
        </is>
      </c>
    </row>
    <row r="19">
      <c r="A19" s="6" t="inlineStr">
        <is>
          <t>11</t>
        </is>
      </c>
      <c r="B19" s="7" t="n">
        <v>46281</v>
      </c>
      <c r="C19" s="6" t="inlineStr">
        <is>
          <t>BIOACTIVE - BIOTECNOLOGIA E DESENVOLVIMENTO DE COSMETICOS LTDA</t>
        </is>
      </c>
      <c r="D19" s="6" t="inlineStr">
        <is>
          <t>59684382000162</t>
        </is>
      </c>
      <c r="E19" s="6" t="inlineStr">
        <is>
          <t>Sim</t>
        </is>
      </c>
      <c r="F19" s="6" t="inlineStr">
        <is>
          <t>020101</t>
        </is>
      </c>
      <c r="G19" s="6" t="inlineStr">
        <is>
          <t>Serviços de pesquisas e desenvolvimento de qualquer natureza.</t>
        </is>
      </c>
      <c r="H19" s="6" t="inlineStr">
        <is>
          <t>Curitiba</t>
        </is>
      </c>
      <c r="I19" s="8" t="n">
        <v>7456.04</v>
      </c>
      <c r="J19" s="8" t="n">
        <v>7456.04</v>
      </c>
      <c r="K19" s="8" t="n">
        <v>0</v>
      </c>
      <c r="L19" s="8" t="n">
        <v>0</v>
      </c>
      <c r="M19" s="8" t="n">
        <v>0</v>
      </c>
      <c r="N19" s="6" t="inlineStr">
        <is>
          <t>Não</t>
        </is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7456.04</v>
      </c>
      <c r="X19" s="8" t="n">
        <v>7456.04</v>
      </c>
      <c r="Y19" s="6" t="inlineStr">
        <is>
          <t>OK</t>
        </is>
      </c>
      <c r="Z19" s="6" t="inlineStr">
        <is>
          <t>41069022259684382000162000000000001126096345619740</t>
        </is>
      </c>
    </row>
    <row r="20">
      <c r="A20" s="6" t="inlineStr">
        <is>
          <t>72</t>
        </is>
      </c>
      <c r="B20" s="7" t="n">
        <v>46282</v>
      </c>
      <c r="C20" s="6" t="inlineStr">
        <is>
          <t>SAVATEC COMERCIO E SERVIÇOS LTDA</t>
        </is>
      </c>
      <c r="D20" s="6" t="inlineStr">
        <is>
          <t>59087034000108</t>
        </is>
      </c>
      <c r="E20" s="6" t="inlineStr">
        <is>
          <t>Sim</t>
        </is>
      </c>
      <c r="F20" s="6" t="inlineStr">
        <is>
          <t>140101</t>
        </is>
      </c>
      <c r="G20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0" s="6" t="inlineStr">
        <is>
          <t>Araucária</t>
        </is>
      </c>
      <c r="I20" s="8" t="n">
        <v>1090</v>
      </c>
      <c r="J20" s="8" t="n">
        <v>1090</v>
      </c>
      <c r="K20" s="8" t="n">
        <v>1090</v>
      </c>
      <c r="L20" s="8" t="n">
        <v>21.91</v>
      </c>
      <c r="M20" s="8" t="n">
        <v>21.91</v>
      </c>
      <c r="N20" s="6" t="inlineStr">
        <is>
          <t>Não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1090</v>
      </c>
      <c r="X20" s="8" t="n">
        <v>1090</v>
      </c>
      <c r="Y20" s="6" t="inlineStr">
        <is>
          <t>OK</t>
        </is>
      </c>
      <c r="Z20" s="6" t="inlineStr">
        <is>
          <t>41018041259087034000108000000000007226090000000014</t>
        </is>
      </c>
    </row>
    <row r="21">
      <c r="A21" s="6" t="inlineStr">
        <is>
          <t>173228</t>
        </is>
      </c>
      <c r="B21" s="7" t="n">
        <v>46285</v>
      </c>
      <c r="C21" s="6" t="inlineStr">
        <is>
          <t>TECNOPONTO TECNOLOGIA AVANCADA EM CONTROLE DE PONTO E ACESSO LTDA</t>
        </is>
      </c>
      <c r="D21" s="6" t="inlineStr">
        <is>
          <t>77800407000128</t>
        </is>
      </c>
      <c r="E21" s="6" t="inlineStr">
        <is>
          <t>Não</t>
        </is>
      </c>
      <c r="F21" s="6" t="inlineStr">
        <is>
          <t>010701</t>
        </is>
      </c>
      <c r="G21" s="6" t="inlineStr">
        <is>
          <t>Suporte técnico em informática, inclusive instalação, configuração e manutenção de programas de computação e bancos de dados.</t>
        </is>
      </c>
      <c r="H21" s="6" t="inlineStr">
        <is>
          <t>Curitiba</t>
        </is>
      </c>
      <c r="I21" s="8" t="n">
        <v>74.90000000000001</v>
      </c>
      <c r="J21" s="8" t="n">
        <v>74.90000000000001</v>
      </c>
      <c r="K21" s="8" t="n">
        <v>74.90000000000001</v>
      </c>
      <c r="L21" s="8" t="n">
        <v>1.5</v>
      </c>
      <c r="M21" s="8" t="n">
        <v>1.5</v>
      </c>
      <c r="N21" s="6" t="inlineStr">
        <is>
          <t>Não</t>
        </is>
      </c>
      <c r="O21" s="8" t="n">
        <v>0</v>
      </c>
      <c r="P21" s="8" t="n">
        <v>0</v>
      </c>
      <c r="Q21" s="8" t="n">
        <v>0.49</v>
      </c>
      <c r="R21" s="8" t="n">
        <v>2.25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74.90000000000001</v>
      </c>
      <c r="X21" s="8" t="n">
        <v>74.90000000000001</v>
      </c>
      <c r="Y21" s="6" t="inlineStr">
        <is>
          <t>OK</t>
        </is>
      </c>
      <c r="Z21" s="6" t="inlineStr">
        <is>
          <t>41069022277800407000128000000017322826095713648820</t>
        </is>
      </c>
    </row>
    <row r="22">
      <c r="A22" s="6" t="inlineStr">
        <is>
          <t>9227</t>
        </is>
      </c>
      <c r="B22" s="7" t="n">
        <v>46287</v>
      </c>
      <c r="C22" s="6" t="inlineStr">
        <is>
          <t>PLUS SANTE EMERGENCIAS MEDICAS S.A.</t>
        </is>
      </c>
      <c r="D22" s="6" t="inlineStr">
        <is>
          <t>04523560000181</t>
        </is>
      </c>
      <c r="E22" s="6" t="inlineStr">
        <is>
          <t>Não</t>
        </is>
      </c>
      <c r="F22" s="6" t="inlineStr">
        <is>
          <t>042101</t>
        </is>
      </c>
      <c r="G22" s="6" t="inlineStr">
        <is>
          <t>Unidade de atendimento, assistência ou tratamento móvel e congêneres.</t>
        </is>
      </c>
      <c r="H22" s="6" t="inlineStr">
        <is>
          <t>Curitiba</t>
        </is>
      </c>
      <c r="I22" s="8" t="n">
        <v>342.3</v>
      </c>
      <c r="J22" s="8" t="n">
        <v>342.3</v>
      </c>
      <c r="K22" s="8" t="n">
        <v>342.3</v>
      </c>
      <c r="L22" s="8" t="n">
        <v>17.12</v>
      </c>
      <c r="M22" s="8" t="n">
        <v>17.12</v>
      </c>
      <c r="N22" s="6" t="inlineStr">
        <is>
          <t>Não</t>
        </is>
      </c>
      <c r="O22" s="8" t="n">
        <v>0</v>
      </c>
      <c r="P22" s="8" t="n">
        <v>0</v>
      </c>
      <c r="Q22" s="8" t="n">
        <v>2.22</v>
      </c>
      <c r="R22" s="8" t="n">
        <v>10.27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342.3</v>
      </c>
      <c r="X22" s="8" t="n">
        <v>342.3</v>
      </c>
      <c r="Y22" s="6" t="inlineStr">
        <is>
          <t>OK</t>
        </is>
      </c>
      <c r="Z22" s="6" t="inlineStr">
        <is>
          <t>41069022204523560000181000000000922726091381915688</t>
        </is>
      </c>
    </row>
    <row r="23">
      <c r="A23" s="6" t="inlineStr">
        <is>
          <t>243079</t>
        </is>
      </c>
      <c r="B23" s="7" t="n">
        <v>46287</v>
      </c>
      <c r="C23" s="6" t="inlineStr">
        <is>
          <t>NEXTAR TECNOLOGIA DE SOFTWARE LTDA</t>
        </is>
      </c>
      <c r="D23" s="6" t="inlineStr">
        <is>
          <t>04580911000196</t>
        </is>
      </c>
      <c r="E23" s="6" t="inlineStr">
        <is>
          <t>Não</t>
        </is>
      </c>
      <c r="F23" s="6" t="inlineStr">
        <is>
          <t>010501</t>
        </is>
      </c>
      <c r="G23" s="6" t="inlineStr">
        <is>
          <t>Licenciamento ou cessão de direito de uso de programas de computação.</t>
        </is>
      </c>
      <c r="H23" s="6" t="inlineStr">
        <is>
          <t>Florianópolis</t>
        </is>
      </c>
      <c r="I23" s="8" t="n">
        <v>119</v>
      </c>
      <c r="J23" s="8" t="n">
        <v>119</v>
      </c>
      <c r="K23" s="8" t="n">
        <v>119</v>
      </c>
      <c r="L23" s="8" t="n">
        <v>2.38</v>
      </c>
      <c r="M23" s="8" t="n">
        <v>2.38</v>
      </c>
      <c r="N23" s="6" t="inlineStr">
        <is>
          <t>Não</t>
        </is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119</v>
      </c>
      <c r="X23" s="8" t="n">
        <v>119</v>
      </c>
      <c r="Y23" s="6" t="inlineStr">
        <is>
          <t>OK</t>
        </is>
      </c>
      <c r="Z23" s="6" t="inlineStr">
        <is>
          <t>42054072204580911000196000000024307926097939111579</t>
        </is>
      </c>
    </row>
    <row r="24">
      <c r="A24" s="6" t="inlineStr">
        <is>
          <t>43</t>
        </is>
      </c>
      <c r="B24" s="7" t="n">
        <v>46290</v>
      </c>
      <c r="C24" s="6" t="inlineStr">
        <is>
          <t>EXTRALAB BRASIL - COMERCIO E MANUTENCAO DE EQUIPAMENTOS PARA LABORATORIO LTDA</t>
        </is>
      </c>
      <c r="D24" s="6" t="inlineStr">
        <is>
          <t>04665405000108</t>
        </is>
      </c>
      <c r="E24" s="6" t="inlineStr">
        <is>
          <t>Não</t>
        </is>
      </c>
      <c r="F24" s="6" t="inlineStr">
        <is>
          <t>140101</t>
        </is>
      </c>
      <c r="G24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4" s="6" t="inlineStr">
        <is>
          <t>Itatiba</t>
        </is>
      </c>
      <c r="I24" s="8" t="n">
        <v>1835.5</v>
      </c>
      <c r="J24" s="8" t="n">
        <v>1835.5</v>
      </c>
      <c r="K24" s="8" t="n">
        <v>1835.5</v>
      </c>
      <c r="L24" s="8" t="n">
        <v>36.71</v>
      </c>
      <c r="M24" s="8" t="n">
        <v>36.71</v>
      </c>
      <c r="N24" s="6" t="inlineStr">
        <is>
          <t>Não</t>
        </is>
      </c>
      <c r="O24" s="8" t="n">
        <v>0</v>
      </c>
      <c r="P24" s="8" t="n">
        <v>0</v>
      </c>
      <c r="Q24" s="8" t="n">
        <v>11.93</v>
      </c>
      <c r="R24" s="8" t="n">
        <v>55.06</v>
      </c>
      <c r="S24" s="8" t="n">
        <v>85.34999999999999</v>
      </c>
      <c r="T24" s="8" t="n">
        <v>0</v>
      </c>
      <c r="U24" s="8" t="n">
        <v>85.34999999999999</v>
      </c>
      <c r="V24" s="8" t="n">
        <v>85.34999999999999</v>
      </c>
      <c r="W24" s="8" t="n">
        <v>1750.15</v>
      </c>
      <c r="X24" s="8" t="n">
        <v>1750.15</v>
      </c>
      <c r="Y24" s="6" t="inlineStr">
        <is>
          <t>OK</t>
        </is>
      </c>
      <c r="Z24" s="6" t="inlineStr">
        <is>
          <t>35234042204665405000108000000000004326090442626218</t>
        </is>
      </c>
    </row>
    <row r="25">
      <c r="A25" s="6" t="inlineStr">
        <is>
          <t>5661351</t>
        </is>
      </c>
      <c r="B25" s="7" t="n">
        <v>46290</v>
      </c>
      <c r="C25" s="6" t="inlineStr">
        <is>
          <t>FLASH TECNOLOGIA E  INSTITUICAO DE PAGAMENTO LTDA</t>
        </is>
      </c>
      <c r="D25" s="6" t="inlineStr">
        <is>
          <t>32223020000118</t>
        </is>
      </c>
      <c r="E25" s="6" t="inlineStr">
        <is>
          <t>Não</t>
        </is>
      </c>
      <c r="F25" s="6" t="inlineStr">
        <is>
          <t>171201</t>
        </is>
      </c>
      <c r="G25" s="6" t="inlineStr">
        <is>
          <t>Administração em geral, inclusive de bens e negócios de terceiros.</t>
        </is>
      </c>
      <c r="H25" s="6" t="inlineStr">
        <is>
          <t>São Paulo</t>
        </is>
      </c>
      <c r="I25" s="8" t="n">
        <v>4142</v>
      </c>
      <c r="J25" s="8" t="n">
        <v>4142</v>
      </c>
      <c r="K25" s="8" t="n">
        <v>0</v>
      </c>
      <c r="L25" s="8" t="n">
        <v>0</v>
      </c>
      <c r="M25" s="8" t="n">
        <v>0</v>
      </c>
      <c r="N25" s="6" t="inlineStr">
        <is>
          <t>Não</t>
        </is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4142</v>
      </c>
      <c r="X25" s="8" t="n">
        <v>4142</v>
      </c>
      <c r="Y25" s="6" t="inlineStr">
        <is>
          <t>OK</t>
        </is>
      </c>
      <c r="Z25" s="6" t="inlineStr">
        <is>
          <t>35503081232223020000118000000566135126091580598802</t>
        </is>
      </c>
    </row>
    <row r="26">
      <c r="A26" s="12" t="inlineStr">
        <is>
          <t>Total</t>
        </is>
      </c>
      <c r="I26" s="13">
        <f>SUM(I5:I25)</f>
        <v/>
      </c>
      <c r="J26" s="13">
        <f>SUM(J5:J25)</f>
        <v/>
      </c>
      <c r="K26" s="13">
        <f>SUM(K5:K25)</f>
        <v/>
      </c>
      <c r="L26" s="13">
        <f>SUM(L5:L25)</f>
        <v/>
      </c>
      <c r="M26" s="13">
        <f>SUM(M5:M25)</f>
        <v/>
      </c>
      <c r="O26" s="13">
        <f>SUM(O5:O25)</f>
        <v/>
      </c>
      <c r="P26" s="13">
        <f>SUM(P5:P25)</f>
        <v/>
      </c>
      <c r="Q26" s="13">
        <f>SUM(Q5:Q25)</f>
        <v/>
      </c>
      <c r="R26" s="13">
        <f>SUM(R5:R25)</f>
        <v/>
      </c>
      <c r="S26" s="13">
        <f>SUM(S5:S25)</f>
        <v/>
      </c>
      <c r="T26" s="13">
        <f>SUM(T5:T25)</f>
        <v/>
      </c>
      <c r="U26" s="13">
        <f>SUM(U5:U25)</f>
        <v/>
      </c>
      <c r="V26" s="13">
        <f>SUM(V5:V25)</f>
        <v/>
      </c>
      <c r="W26" s="13">
        <f>SUM(W5:W25)</f>
        <v/>
      </c>
      <c r="X26" s="13">
        <f>SUM(X5:X25)</f>
        <v/>
      </c>
    </row>
  </sheetData>
  <autoFilter ref="A4:Z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2026-10-12T01:31:53Z</dcterms:created>
  <dcterms:modified xmlns:dcterms="http://purl.org/dc/terms/" xmlns:xsi="http://www.w3.org/2001/XMLSchema-instance" xsi:type="dcterms:W3CDTF">2026-10-12T01:31:53Z</dcterms:modified>
</cp:coreProperties>
</file>