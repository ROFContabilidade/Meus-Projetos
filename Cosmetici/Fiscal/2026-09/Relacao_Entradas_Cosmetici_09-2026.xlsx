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 as entradas" sheetId="1" state="visible" r:id="rId1"/>
    <sheet xmlns:r="http://schemas.openxmlformats.org/officeDocument/2006/relationships" name="NF-e dentro do estado (PR)" sheetId="2" state="visible" r:id="rId2"/>
    <sheet xmlns:r="http://schemas.openxmlformats.org/officeDocument/2006/relationships" name="NF-e fora do estado" sheetId="3" state="visible" r:id="rId3"/>
    <sheet xmlns:r="http://schemas.openxmlformats.org/officeDocument/2006/relationships" name="CT-e" sheetId="4" state="visible" r:id="rId4"/>
    <sheet xmlns:r="http://schemas.openxmlformats.org/officeDocument/2006/relationships" name="NFS-e tomadas" sheetId="5" state="visible" r:id="rId5"/>
  </sheets>
  <definedNames>
    <definedName name="_xlnm._FilterDatabase" localSheetId="0" hidden="1">'Todas as entradas'!$A$4:$T$109</definedName>
    <definedName name="_xlnm._FilterDatabase" localSheetId="1" hidden="1">'NF-e dentro do estado (PR)'!$A$4:$AN$39</definedName>
    <definedName name="_xlnm._FilterDatabase" localSheetId="2" hidden="1">'NF-e fora do estado'!$A$4:$AN$18</definedName>
    <definedName name="_xlnm._FilterDatabase" localSheetId="3" hidden="1">'CT-e'!$A$4:$U$39</definedName>
    <definedName name="_xlnm._FilterDatabase" localSheetId="4" hidden="1">'NFS-e tomadas'!$A$4:$AA$25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;-#,##0.00;-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5" fontId="4" fillId="0" borderId="1" pivotButton="0" quotePrefix="0" xfId="0"/>
    <xf numFmtId="0" fontId="4" fillId="0" borderId="1" pivotButton="0" quotePrefix="0" xfId="0"/>
    <xf numFmtId="166" fontId="4" fillId="0" borderId="1" pivotButton="0" quotePrefix="0" xfId="0"/>
    <xf numFmtId="165" fontId="4" fillId="3" borderId="1" pivotButton="0" quotePrefix="0" xfId="0"/>
    <xf numFmtId="0" fontId="4" fillId="3" borderId="1" pivotButton="0" quotePrefix="0" xfId="0"/>
    <xf numFmtId="166" fontId="4" fillId="3" borderId="1" pivotButton="0" quotePrefix="0" xfId="0"/>
    <xf numFmtId="165" fontId="4" fillId="4" borderId="1" pivotButton="0" quotePrefix="0" xfId="0"/>
    <xf numFmtId="0" fontId="4" fillId="4" borderId="1" pivotButton="0" quotePrefix="0" xfId="0"/>
    <xf numFmtId="166" fontId="4" fillId="4" borderId="1" pivotButton="0" quotePrefix="0" xfId="0"/>
    <xf numFmtId="165" fontId="4" fillId="5" borderId="1" pivotButton="0" quotePrefix="0" xfId="0"/>
    <xf numFmtId="0" fontId="4" fillId="5" borderId="1" pivotButton="0" quotePrefix="0" xfId="0"/>
    <xf numFmtId="166" fontId="4" fillId="5" borderId="1" pivotButton="0" quotePrefix="0" xfId="0"/>
    <xf numFmtId="0" fontId="5" fillId="6" borderId="0" pivotButton="0" quotePrefix="0" xfId="0"/>
    <xf numFmtId="0" fontId="0" fillId="6" borderId="0" pivotButton="0" quotePrefix="0" xfId="0"/>
    <xf numFmtId="166" fontId="5" fillId="6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4"/>
  <sheetViews>
    <sheetView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" customWidth="1" min="2" max="2"/>
    <col width="9" customWidth="1" min="3" max="3"/>
    <col width="32" customWidth="1" min="4" max="4"/>
    <col width="15" customWidth="1" min="5" max="5"/>
    <col width="6" customWidth="1" min="6" max="6"/>
    <col width="10" customWidth="1" min="7" max="7"/>
    <col width="9" customWidth="1" min="8" max="8"/>
    <col width="12" customWidth="1" min="9" max="9"/>
    <col width="11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14" customWidth="1" min="16" max="16"/>
    <col width="26" customWidth="1" min="17" max="17"/>
    <col width="22" customWidth="1" min="18" max="18"/>
    <col width="30" customWidth="1" min="19" max="19"/>
    <col width="46" customWidth="1" min="20" max="20"/>
  </cols>
  <sheetData>
    <row r="1">
      <c r="A1" s="1" t="inlineStr">
        <is>
          <t>Todas as entradas</t>
        </is>
      </c>
    </row>
    <row r="2">
      <c r="A2" s="2" t="inlineStr">
        <is>
          <t>COSMETICI INDUSTRIA E COMERCIO DE COSMETICOS LTDA - 09/2026 - NF-e, CT-e e NFS-e na ordem da emissão. Valores como estão no XML. Vermelho = cancelada · amarelo = NFS-e com retenção · cinza = CT-e sem XML na pasta (dados do relatório SIEG).</t>
        </is>
      </c>
    </row>
    <row r="4" ht="30" customHeight="1">
      <c r="A4" s="3" t="inlineStr">
        <is>
          <t>Emissão</t>
        </is>
      </c>
      <c r="B4" s="3" t="inlineStr">
        <is>
          <t>Tipo</t>
        </is>
      </c>
      <c r="C4" s="3" t="inlineStr">
        <is>
          <t>Número</t>
        </is>
      </c>
      <c r="D4" s="3" t="inlineStr">
        <is>
          <t>Emitente</t>
        </is>
      </c>
      <c r="E4" s="3" t="inlineStr">
        <is>
          <t>CNPJ</t>
        </is>
      </c>
      <c r="F4" s="3" t="inlineStr">
        <is>
          <t>UF</t>
        </is>
      </c>
      <c r="G4" s="3" t="inlineStr">
        <is>
          <t>Situação</t>
        </is>
      </c>
      <c r="H4" s="3" t="inlineStr">
        <is>
          <t>CFOP</t>
        </is>
      </c>
      <c r="I4" s="3" t="inlineStr">
        <is>
          <t>Valor total</t>
        </is>
      </c>
      <c r="J4" s="3" t="inlineStr">
        <is>
          <t>Base ICMS</t>
        </is>
      </c>
      <c r="K4" s="3" t="inlineStr">
        <is>
          <t>ICMS</t>
        </is>
      </c>
      <c r="L4" s="3" t="inlineStr">
        <is>
          <t>ICMS-ST</t>
        </is>
      </c>
      <c r="M4" s="3" t="inlineStr">
        <is>
          <t>IPI</t>
        </is>
      </c>
      <c r="N4" s="3" t="inlineStr">
        <is>
          <t>ISS</t>
        </is>
      </c>
      <c r="O4" s="3" t="inlineStr">
        <is>
          <t>Retenções (NFS-e)</t>
        </is>
      </c>
      <c r="P4" s="3" t="inlineStr">
        <is>
          <t>Conta contábil (Domínio)</t>
        </is>
      </c>
      <c r="Q4" s="3" t="inlineStr">
        <is>
          <t>Conferência</t>
        </is>
      </c>
      <c r="R4" s="3" t="inlineStr">
        <is>
          <t>Vai no TXT?</t>
        </is>
      </c>
      <c r="S4" s="3" t="inlineStr">
        <is>
          <t>Observação</t>
        </is>
      </c>
      <c r="T4" s="3" t="inlineStr">
        <is>
          <t>Chave</t>
        </is>
      </c>
    </row>
    <row r="5">
      <c r="A5" s="4" t="n">
        <v>46266</v>
      </c>
      <c r="B5" s="5" t="inlineStr">
        <is>
          <t>NF-e</t>
        </is>
      </c>
      <c r="C5" s="5" t="n">
        <v>3795</v>
      </c>
      <c r="D5" s="5" t="inlineStr">
        <is>
          <t>Lunaflexo Tecnologia Adesiva Eireli</t>
        </is>
      </c>
      <c r="E5" s="5" t="inlineStr">
        <is>
          <t>06015875000143</t>
        </is>
      </c>
      <c r="F5" s="5" t="inlineStr">
        <is>
          <t>PR</t>
        </is>
      </c>
      <c r="G5" s="5" t="inlineStr">
        <is>
          <t>Autorizada</t>
        </is>
      </c>
      <c r="H5" s="5" t="inlineStr">
        <is>
          <t>5101</t>
        </is>
      </c>
      <c r="I5" s="6" t="n">
        <v>3460</v>
      </c>
      <c r="J5" s="6" t="n">
        <v>0</v>
      </c>
      <c r="K5" s="6" t="n">
        <v>0</v>
      </c>
      <c r="L5" s="6" t="n">
        <v>0</v>
      </c>
      <c r="M5" s="6" t="n">
        <v>0</v>
      </c>
      <c r="N5" s="6" t="n"/>
      <c r="O5" s="6" t="n"/>
      <c r="P5" s="5" t="inlineStr">
        <is>
          <t>D 56 / C 506 (conferir)</t>
        </is>
      </c>
      <c r="Q5" s="5" t="inlineStr">
        <is>
          <t>OK</t>
        </is>
      </c>
      <c r="R5" s="5" t="inlineStr">
        <is>
          <t>Sim - exatamente o XML</t>
        </is>
      </c>
      <c r="S5" s="5" t="inlineStr"/>
      <c r="T5" s="5" t="inlineStr">
        <is>
          <t>41260906015875000143550010000037951000701710</t>
        </is>
      </c>
    </row>
    <row r="6">
      <c r="A6" s="4" t="n">
        <v>46266</v>
      </c>
      <c r="B6" s="5" t="inlineStr">
        <is>
          <t>NF-e</t>
        </is>
      </c>
      <c r="C6" s="5" t="n">
        <v>41731</v>
      </c>
      <c r="D6" s="5" t="inlineStr">
        <is>
          <t>DISTRIBUIDORA INDUSTRIAL PARANAENSE LTDA</t>
        </is>
      </c>
      <c r="E6" s="5" t="inlineStr">
        <is>
          <t>04993269000177</t>
        </is>
      </c>
      <c r="F6" s="5" t="inlineStr">
        <is>
          <t>PR</t>
        </is>
      </c>
      <c r="G6" s="5" t="inlineStr">
        <is>
          <t>Autorizada</t>
        </is>
      </c>
      <c r="H6" s="5" t="inlineStr">
        <is>
          <t>5101</t>
        </is>
      </c>
      <c r="I6" s="6" t="n">
        <v>1870</v>
      </c>
      <c r="J6" s="6" t="n">
        <v>1870</v>
      </c>
      <c r="K6" s="6" t="n">
        <v>224.41</v>
      </c>
      <c r="L6" s="6" t="n">
        <v>0</v>
      </c>
      <c r="M6" s="6" t="n">
        <v>0</v>
      </c>
      <c r="N6" s="6" t="n"/>
      <c r="O6" s="6" t="n"/>
      <c r="P6" s="5" t="inlineStr">
        <is>
          <t>D 56 / C 506</t>
        </is>
      </c>
      <c r="Q6" s="5" t="inlineStr">
        <is>
          <t>OK</t>
        </is>
      </c>
      <c r="R6" s="5" t="inlineStr">
        <is>
          <t>Sim - exatamente o XML</t>
        </is>
      </c>
      <c r="S6" s="5" t="inlineStr"/>
      <c r="T6" s="5" t="inlineStr">
        <is>
          <t>41260904993269000177550010000417311010503945</t>
        </is>
      </c>
    </row>
    <row r="7">
      <c r="A7" s="4" t="n">
        <v>46266</v>
      </c>
      <c r="B7" s="5" t="inlineStr">
        <is>
          <t>NFS-e</t>
        </is>
      </c>
      <c r="C7" s="5" t="n">
        <v>1547</v>
      </c>
      <c r="D7" s="5" t="inlineStr">
        <is>
          <t>PENSU EXACTU COMERCIO E SERVICOS DE EQUIPAMENTOS METROLOGICOS LTDA</t>
        </is>
      </c>
      <c r="E7" s="5" t="inlineStr">
        <is>
          <t>07768652000110</t>
        </is>
      </c>
      <c r="F7" s="5" t="inlineStr">
        <is>
          <t>PR</t>
        </is>
      </c>
      <c r="G7" s="5" t="inlineStr">
        <is>
          <t>Autorizada</t>
        </is>
      </c>
      <c r="H7" s="5" t="inlineStr"/>
      <c r="I7" s="6" t="n">
        <v>612.25</v>
      </c>
      <c r="J7" s="6" t="n"/>
      <c r="K7" s="6" t="n"/>
      <c r="L7" s="6" t="n"/>
      <c r="M7" s="6" t="n"/>
      <c r="N7" s="6" t="n">
        <v>0</v>
      </c>
      <c r="O7" s="6" t="n">
        <v>0</v>
      </c>
      <c r="P7" s="5" t="inlineStr">
        <is>
          <t>D 362 / C 506</t>
        </is>
      </c>
      <c r="Q7" s="5" t="inlineStr">
        <is>
          <t>OK (XML sem base do ISS - Simples, sem retenção; o relatório repete o valor)</t>
        </is>
      </c>
      <c r="R7" s="5" t="inlineStr">
        <is>
          <t>Não - NFS-e não entra no SPED ICMS/IPI</t>
        </is>
      </c>
      <c r="S7" s="5" t="inlineStr"/>
      <c r="T7" s="5" t="inlineStr">
        <is>
          <t>41069022207768652000110000000000154726099373367718</t>
        </is>
      </c>
    </row>
    <row r="8">
      <c r="A8" s="7" t="n">
        <v>46266</v>
      </c>
      <c r="B8" s="8" t="inlineStr">
        <is>
          <t>NFS-e</t>
        </is>
      </c>
      <c r="C8" s="8" t="n">
        <v>18</v>
      </c>
      <c r="D8" s="8" t="inlineStr">
        <is>
          <t>GENESIS ALIANCA SERVICOS MEDICOS LTDA.</t>
        </is>
      </c>
      <c r="E8" s="8" t="inlineStr">
        <is>
          <t>67742984000157</t>
        </is>
      </c>
      <c r="F8" s="8" t="inlineStr">
        <is>
          <t>PR</t>
        </is>
      </c>
      <c r="G8" s="8" t="inlineStr">
        <is>
          <t>Autorizada</t>
        </is>
      </c>
      <c r="H8" s="8" t="inlineStr"/>
      <c r="I8" s="9" t="n">
        <v>728.14</v>
      </c>
      <c r="J8" s="9" t="n"/>
      <c r="K8" s="9" t="n"/>
      <c r="L8" s="9" t="n"/>
      <c r="M8" s="9" t="n"/>
      <c r="N8" s="9" t="n">
        <v>36.41</v>
      </c>
      <c r="O8" s="9" t="n">
        <v>10.92</v>
      </c>
      <c r="P8" s="8" t="inlineStr">
        <is>
          <t>sem conta: prestador sem acumulador e sem histórico no Domínio</t>
        </is>
      </c>
      <c r="Q8" s="8" t="inlineStr">
        <is>
          <t>OK</t>
        </is>
      </c>
      <c r="R8" s="8" t="inlineStr">
        <is>
          <t>Não - NFS-e não entra no SPED ICMS/IPI</t>
        </is>
      </c>
      <c r="S8" s="8" t="inlineStr">
        <is>
          <t>SIM - IRRF</t>
        </is>
      </c>
      <c r="T8" s="8" t="inlineStr">
        <is>
          <t>41069022267742984000157000000000001826091655988219</t>
        </is>
      </c>
    </row>
    <row r="9">
      <c r="A9" s="4" t="n">
        <v>46266</v>
      </c>
      <c r="B9" s="5" t="inlineStr">
        <is>
          <t>NFS-e</t>
        </is>
      </c>
      <c r="C9" s="5" t="n">
        <v>2709747</v>
      </c>
      <c r="D9" s="5" t="inlineStr">
        <is>
          <t>LIGGA SERVICOS EM TELECOM S.A.</t>
        </is>
      </c>
      <c r="E9" s="5" t="inlineStr">
        <is>
          <t>65649511000184</t>
        </is>
      </c>
      <c r="F9" s="5" t="inlineStr">
        <is>
          <t>PR</t>
        </is>
      </c>
      <c r="G9" s="5" t="inlineStr">
        <is>
          <t>Autorizada</t>
        </is>
      </c>
      <c r="H9" s="5" t="inlineStr"/>
      <c r="I9" s="6" t="n">
        <v>83.98999999999999</v>
      </c>
      <c r="J9" s="6" t="n"/>
      <c r="K9" s="6" t="n"/>
      <c r="L9" s="6" t="n"/>
      <c r="M9" s="6" t="n"/>
      <c r="N9" s="6" t="n">
        <v>4.2</v>
      </c>
      <c r="O9" s="6" t="n">
        <v>0</v>
      </c>
      <c r="P9" s="5" t="inlineStr">
        <is>
          <t>D 362 / C 506</t>
        </is>
      </c>
      <c r="Q9" s="5" t="inlineStr">
        <is>
          <t>OK</t>
        </is>
      </c>
      <c r="R9" s="5" t="inlineStr">
        <is>
          <t>Não - NFS-e não entra no SPED ICMS/IPI</t>
        </is>
      </c>
      <c r="S9" s="5" t="inlineStr"/>
      <c r="T9" s="5" t="inlineStr">
        <is>
          <t>41069022265649511000184000000270974726090368715311</t>
        </is>
      </c>
    </row>
    <row r="10">
      <c r="A10" s="4" t="n">
        <v>46266</v>
      </c>
      <c r="B10" s="5" t="inlineStr">
        <is>
          <t>NFS-e</t>
        </is>
      </c>
      <c r="C10" s="5" t="n">
        <v>2709751</v>
      </c>
      <c r="D10" s="5" t="inlineStr">
        <is>
          <t>LIGGA SERVICOS EM TELECOM S.A.</t>
        </is>
      </c>
      <c r="E10" s="5" t="inlineStr">
        <is>
          <t>65649511000184</t>
        </is>
      </c>
      <c r="F10" s="5" t="inlineStr">
        <is>
          <t>PR</t>
        </is>
      </c>
      <c r="G10" s="5" t="inlineStr">
        <is>
          <t>Autorizada</t>
        </is>
      </c>
      <c r="H10" s="5" t="inlineStr"/>
      <c r="I10" s="6" t="n">
        <v>195.97</v>
      </c>
      <c r="J10" s="6" t="n"/>
      <c r="K10" s="6" t="n"/>
      <c r="L10" s="6" t="n"/>
      <c r="M10" s="6" t="n"/>
      <c r="N10" s="6" t="n">
        <v>0</v>
      </c>
      <c r="O10" s="6" t="n">
        <v>0</v>
      </c>
      <c r="P10" s="5" t="inlineStr">
        <is>
          <t>D 643 / C 506</t>
        </is>
      </c>
      <c r="Q10" s="5" t="inlineStr">
        <is>
          <t>OK (XML sem base do ISS - Simples, sem retenção; o relatório repete o valor)</t>
        </is>
      </c>
      <c r="R10" s="5" t="inlineStr">
        <is>
          <t>Não - NFS-e não entra no SPED ICMS/IPI</t>
        </is>
      </c>
      <c r="S10" s="5" t="inlineStr"/>
      <c r="T10" s="5" t="inlineStr">
        <is>
          <t>41069022265649511000184000000270975126095154324020</t>
        </is>
      </c>
    </row>
    <row r="11">
      <c r="A11" s="4" t="n">
        <v>46266</v>
      </c>
      <c r="B11" s="5" t="inlineStr">
        <is>
          <t>NFS-e</t>
        </is>
      </c>
      <c r="C11" s="5" t="n">
        <v>507</v>
      </c>
      <c r="D11" s="5" t="inlineStr">
        <is>
          <t>ANDRADE ENGENHARIA LTDA.</t>
        </is>
      </c>
      <c r="E11" s="5" t="inlineStr">
        <is>
          <t>80402860000190</t>
        </is>
      </c>
      <c r="F11" s="5" t="inlineStr">
        <is>
          <t>PR</t>
        </is>
      </c>
      <c r="G11" s="5" t="inlineStr">
        <is>
          <t>Autorizada</t>
        </is>
      </c>
      <c r="H11" s="5" t="inlineStr"/>
      <c r="I11" s="6" t="n">
        <v>1124.56</v>
      </c>
      <c r="J11" s="6" t="n"/>
      <c r="K11" s="6" t="n"/>
      <c r="L11" s="6" t="n"/>
      <c r="M11" s="6" t="n"/>
      <c r="N11" s="6" t="n">
        <v>0</v>
      </c>
      <c r="O11" s="6" t="n">
        <v>0</v>
      </c>
      <c r="P11" s="5" t="inlineStr">
        <is>
          <t>D 364 / C 506</t>
        </is>
      </c>
      <c r="Q11" s="5" t="inlineStr">
        <is>
          <t>OK (XML sem base do ISS - Simples, sem retenção; o relatório repete o valor)</t>
        </is>
      </c>
      <c r="R11" s="5" t="inlineStr">
        <is>
          <t>Não - NFS-e não entra no SPED ICMS/IPI</t>
        </is>
      </c>
      <c r="S11" s="5" t="inlineStr"/>
      <c r="T11" s="5" t="inlineStr">
        <is>
          <t>41069022280402860000190000000000050726097638942622</t>
        </is>
      </c>
    </row>
    <row r="12">
      <c r="A12" s="4" t="n">
        <v>46266</v>
      </c>
      <c r="B12" s="5" t="inlineStr">
        <is>
          <t>NFS-e</t>
        </is>
      </c>
      <c r="C12" s="5" t="n">
        <v>817660</v>
      </c>
      <c r="D12" s="5" t="inlineStr">
        <is>
          <t>DENTAL UNI - COOPERATIVA ODONTOLOGICA</t>
        </is>
      </c>
      <c r="E12" s="5" t="inlineStr">
        <is>
          <t>78738101000151</t>
        </is>
      </c>
      <c r="F12" s="5" t="inlineStr">
        <is>
          <t>PR</t>
        </is>
      </c>
      <c r="G12" s="5" t="inlineStr">
        <is>
          <t>Autorizada</t>
        </is>
      </c>
      <c r="H12" s="5" t="inlineStr"/>
      <c r="I12" s="6" t="n">
        <v>107.56</v>
      </c>
      <c r="J12" s="6" t="n"/>
      <c r="K12" s="6" t="n"/>
      <c r="L12" s="6" t="n"/>
      <c r="M12" s="6" t="n"/>
      <c r="N12" s="6" t="n">
        <v>0.73</v>
      </c>
      <c r="O12" s="6" t="n">
        <v>0</v>
      </c>
      <c r="P12" s="5" t="inlineStr">
        <is>
          <t>D 652 / C 506</t>
        </is>
      </c>
      <c r="Q12" s="5" t="inlineStr">
        <is>
          <t>OK</t>
        </is>
      </c>
      <c r="R12" s="5" t="inlineStr">
        <is>
          <t>Não - NFS-e não entra no SPED ICMS/IPI</t>
        </is>
      </c>
      <c r="S12" s="5" t="inlineStr"/>
      <c r="T12" s="5" t="inlineStr">
        <is>
          <t>41069022278738101000151000000081766026097784194236</t>
        </is>
      </c>
    </row>
    <row r="13">
      <c r="A13" s="4" t="n">
        <v>46266</v>
      </c>
      <c r="B13" s="5" t="inlineStr">
        <is>
          <t>NFS-e</t>
        </is>
      </c>
      <c r="C13" s="5" t="n">
        <v>974</v>
      </c>
      <c r="D13" s="5" t="inlineStr">
        <is>
          <t>TIPOGRAFIA IGUACU LTDA</t>
        </is>
      </c>
      <c r="E13" s="5" t="inlineStr">
        <is>
          <t>75114363000157</t>
        </is>
      </c>
      <c r="F13" s="5" t="inlineStr">
        <is>
          <t>PR</t>
        </is>
      </c>
      <c r="G13" s="5" t="inlineStr">
        <is>
          <t>Autorizada</t>
        </is>
      </c>
      <c r="H13" s="5" t="inlineStr"/>
      <c r="I13" s="6" t="n">
        <v>72.59999999999999</v>
      </c>
      <c r="J13" s="6" t="n"/>
      <c r="K13" s="6" t="n"/>
      <c r="L13" s="6" t="n"/>
      <c r="M13" s="6" t="n"/>
      <c r="N13" s="6" t="n">
        <v>0</v>
      </c>
      <c r="O13" s="6" t="n">
        <v>0</v>
      </c>
      <c r="P13" s="5" t="inlineStr">
        <is>
          <t>D 325 / C 506</t>
        </is>
      </c>
      <c r="Q13" s="5" t="inlineStr">
        <is>
          <t>OK (XML sem base do ISS - Simples, sem retenção; o relatório repete o valor)</t>
        </is>
      </c>
      <c r="R13" s="5" t="inlineStr">
        <is>
          <t>Não - NFS-e não entra no SPED ICMS/IPI</t>
        </is>
      </c>
      <c r="S13" s="5" t="inlineStr"/>
      <c r="T13" s="5" t="inlineStr">
        <is>
          <t>41069022275114363000157000000000097426097081722597</t>
        </is>
      </c>
    </row>
    <row r="14">
      <c r="A14" s="4" t="n">
        <v>46267</v>
      </c>
      <c r="B14" s="5" t="inlineStr">
        <is>
          <t>NF-e</t>
        </is>
      </c>
      <c r="C14" s="5" t="n">
        <v>160326</v>
      </c>
      <c r="D14" s="5" t="inlineStr">
        <is>
          <t>NewProv - Produtos para Laboratório Ltda</t>
        </is>
      </c>
      <c r="E14" s="5" t="inlineStr">
        <is>
          <t>73636391000109</t>
        </is>
      </c>
      <c r="F14" s="5" t="inlineStr">
        <is>
          <t>PR</t>
        </is>
      </c>
      <c r="G14" s="5" t="inlineStr">
        <is>
          <t>Autorizada</t>
        </is>
      </c>
      <c r="H14" s="5" t="inlineStr">
        <is>
          <t>5101</t>
        </is>
      </c>
      <c r="I14" s="6" t="n">
        <v>2248.65</v>
      </c>
      <c r="J14" s="6" t="n">
        <v>2248.65</v>
      </c>
      <c r="K14" s="6" t="n">
        <v>438.49</v>
      </c>
      <c r="L14" s="6" t="n">
        <v>0</v>
      </c>
      <c r="M14" s="6" t="n">
        <v>0</v>
      </c>
      <c r="N14" s="6" t="n"/>
      <c r="O14" s="6" t="n"/>
      <c r="P14" s="5" t="inlineStr">
        <is>
          <t>D 513 / C 506 (conferir)</t>
        </is>
      </c>
      <c r="Q14" s="5" t="inlineStr">
        <is>
          <t>OK</t>
        </is>
      </c>
      <c r="R14" s="5" t="inlineStr">
        <is>
          <t>Sim - uso e consumo: bases zeradas</t>
        </is>
      </c>
      <c r="S14" s="5" t="inlineStr"/>
      <c r="T14" s="5" t="inlineStr">
        <is>
          <t>41260973636391000109550010001603261915612489</t>
        </is>
      </c>
    </row>
    <row r="15">
      <c r="A15" s="4" t="n">
        <v>46267</v>
      </c>
      <c r="B15" s="5" t="inlineStr">
        <is>
          <t>NF-e</t>
        </is>
      </c>
      <c r="C15" s="5" t="n">
        <v>22837</v>
      </c>
      <c r="D15" s="5" t="inlineStr">
        <is>
          <t>CARBON CIENTIFICA LTDA</t>
        </is>
      </c>
      <c r="E15" s="5" t="inlineStr">
        <is>
          <t>44114040000130</t>
        </is>
      </c>
      <c r="F15" s="5" t="inlineStr">
        <is>
          <t>PR</t>
        </is>
      </c>
      <c r="G15" s="5" t="inlineStr">
        <is>
          <t>Autorizada</t>
        </is>
      </c>
      <c r="H15" s="5" t="inlineStr">
        <is>
          <t>5949</t>
        </is>
      </c>
      <c r="I15" s="6" t="n">
        <v>2</v>
      </c>
      <c r="J15" s="6" t="n">
        <v>2</v>
      </c>
      <c r="K15" s="6" t="n">
        <v>0.4</v>
      </c>
      <c r="L15" s="6" t="n">
        <v>0</v>
      </c>
      <c r="M15" s="6" t="n">
        <v>0</v>
      </c>
      <c r="N15" s="6" t="n"/>
      <c r="O15" s="6" t="n"/>
      <c r="P15" s="5" t="inlineStr">
        <is>
          <t>D 612 / C 613</t>
        </is>
      </c>
      <c r="Q15" s="5" t="inlineStr">
        <is>
          <t>OK</t>
        </is>
      </c>
      <c r="R15" s="5" t="inlineStr">
        <is>
          <t>Sim - exatamente o XML</t>
        </is>
      </c>
      <c r="S15" s="5" t="inlineStr"/>
      <c r="T15" s="5" t="inlineStr">
        <is>
          <t>41260944114040000130550010000228371000945488</t>
        </is>
      </c>
    </row>
    <row r="16">
      <c r="A16" s="4" t="n">
        <v>46267</v>
      </c>
      <c r="B16" s="5" t="inlineStr">
        <is>
          <t>NF-e</t>
        </is>
      </c>
      <c r="C16" s="5" t="n">
        <v>300</v>
      </c>
      <c r="D16" s="5" t="inlineStr">
        <is>
          <t>THERMOSUL RESISTENCIAS ELETRICAS LTDA</t>
        </is>
      </c>
      <c r="E16" s="5" t="inlineStr">
        <is>
          <t>66434370000145</t>
        </is>
      </c>
      <c r="F16" s="5" t="inlineStr">
        <is>
          <t>PR</t>
        </is>
      </c>
      <c r="G16" s="5" t="inlineStr">
        <is>
          <t>Autorizada</t>
        </is>
      </c>
      <c r="H16" s="5" t="inlineStr">
        <is>
          <t>5101</t>
        </is>
      </c>
      <c r="I16" s="6" t="n">
        <v>2592</v>
      </c>
      <c r="J16" s="6" t="n">
        <v>0</v>
      </c>
      <c r="K16" s="6" t="n">
        <v>0</v>
      </c>
      <c r="L16" s="6" t="n">
        <v>0</v>
      </c>
      <c r="M16" s="6" t="n">
        <v>0</v>
      </c>
      <c r="N16" s="6" t="n"/>
      <c r="O16" s="6" t="n"/>
      <c r="P16" s="5" t="inlineStr">
        <is>
          <t>D 513 / C 506 (conferir)</t>
        </is>
      </c>
      <c r="Q16" s="5" t="inlineStr">
        <is>
          <t>OK</t>
        </is>
      </c>
      <c r="R16" s="5" t="inlineStr">
        <is>
          <t>Sim - uso e consumo: bases zeradas</t>
        </is>
      </c>
      <c r="S16" s="5" t="inlineStr"/>
      <c r="T16" s="5" t="inlineStr">
        <is>
          <t>41260966434370000145550010000003001634619321</t>
        </is>
      </c>
    </row>
    <row r="17">
      <c r="A17" s="4" t="n">
        <v>46267</v>
      </c>
      <c r="B17" s="5" t="inlineStr">
        <is>
          <t>NF-e</t>
        </is>
      </c>
      <c r="C17" s="5" t="n">
        <v>5027</v>
      </c>
      <c r="D17" s="5" t="inlineStr">
        <is>
          <t>JOSE DOMINGOS LINARES LTDA</t>
        </is>
      </c>
      <c r="E17" s="5" t="inlineStr">
        <is>
          <t>03839251000152</t>
        </is>
      </c>
      <c r="F17" s="5" t="inlineStr">
        <is>
          <t>PR</t>
        </is>
      </c>
      <c r="G17" s="5" t="inlineStr">
        <is>
          <t>Autorizada</t>
        </is>
      </c>
      <c r="H17" s="5" t="inlineStr">
        <is>
          <t>5923</t>
        </is>
      </c>
      <c r="I17" s="6" t="n">
        <v>600</v>
      </c>
      <c r="J17" s="6" t="n">
        <v>0</v>
      </c>
      <c r="K17" s="6" t="n">
        <v>0</v>
      </c>
      <c r="L17" s="6" t="n">
        <v>0</v>
      </c>
      <c r="M17" s="6" t="n">
        <v>0</v>
      </c>
      <c r="N17" s="6" t="n"/>
      <c r="O17" s="6" t="n"/>
      <c r="P17" s="5" t="inlineStr">
        <is>
          <t>sem conta: CFOP 1923 sem acumulador/conta no histórico do Domínio</t>
        </is>
      </c>
      <c r="Q17" s="5" t="inlineStr">
        <is>
          <t>OK</t>
        </is>
      </c>
      <c r="R17" s="5" t="inlineStr">
        <is>
          <t>NÃO - sem acumulador para o CFOP de entrada</t>
        </is>
      </c>
      <c r="S17" s="5" t="inlineStr"/>
      <c r="T17" s="5" t="inlineStr">
        <is>
          <t>41260903839251000152550030000050271834583570</t>
        </is>
      </c>
    </row>
    <row r="18">
      <c r="A18" s="4" t="n">
        <v>46267</v>
      </c>
      <c r="B18" s="5" t="inlineStr">
        <is>
          <t>NF-e</t>
        </is>
      </c>
      <c r="C18" s="5" t="n">
        <v>695</v>
      </c>
      <c r="D18" s="5" t="inlineStr">
        <is>
          <t>REATEC DO BRASIL LTDA</t>
        </is>
      </c>
      <c r="E18" s="5" t="inlineStr">
        <is>
          <t>62341566000134</t>
        </is>
      </c>
      <c r="F18" s="5" t="inlineStr">
        <is>
          <t>PR</t>
        </is>
      </c>
      <c r="G18" s="5" t="inlineStr">
        <is>
          <t>Autorizada</t>
        </is>
      </c>
      <c r="H18" s="5" t="inlineStr">
        <is>
          <t>5102</t>
        </is>
      </c>
      <c r="I18" s="6" t="n">
        <v>3738</v>
      </c>
      <c r="J18" s="6" t="n">
        <v>0</v>
      </c>
      <c r="K18" s="6" t="n">
        <v>0</v>
      </c>
      <c r="L18" s="6" t="n">
        <v>0</v>
      </c>
      <c r="M18" s="6" t="n">
        <v>0</v>
      </c>
      <c r="N18" s="6" t="n"/>
      <c r="O18" s="6" t="n"/>
      <c r="P18" s="5" t="inlineStr">
        <is>
          <t>D 513 / C 506 (conferir)</t>
        </is>
      </c>
      <c r="Q18" s="5" t="inlineStr">
        <is>
          <t>OK</t>
        </is>
      </c>
      <c r="R18" s="5" t="inlineStr">
        <is>
          <t>Sim - uso e consumo: bases zeradas</t>
        </is>
      </c>
      <c r="S18" s="5" t="inlineStr"/>
      <c r="T18" s="5" t="inlineStr">
        <is>
          <t>41260962341566000134550010000006951857187453</t>
        </is>
      </c>
    </row>
    <row r="19">
      <c r="A19" s="4" t="n">
        <v>46267</v>
      </c>
      <c r="B19" s="5" t="inlineStr">
        <is>
          <t>NF-e</t>
        </is>
      </c>
      <c r="C19" s="5" t="n">
        <v>786</v>
      </c>
      <c r="D19" s="5" t="inlineStr">
        <is>
          <t>YAHWEH PRINT BRASIL LTDA</t>
        </is>
      </c>
      <c r="E19" s="5" t="inlineStr">
        <is>
          <t>52680145000184</t>
        </is>
      </c>
      <c r="F19" s="5" t="inlineStr">
        <is>
          <t>PR</t>
        </is>
      </c>
      <c r="G19" s="5" t="inlineStr">
        <is>
          <t>Autorizada</t>
        </is>
      </c>
      <c r="H19" s="5" t="inlineStr">
        <is>
          <t>5101</t>
        </is>
      </c>
      <c r="I19" s="6" t="n">
        <v>7052.79</v>
      </c>
      <c r="J19" s="6" t="n">
        <v>0</v>
      </c>
      <c r="K19" s="6" t="n">
        <v>0</v>
      </c>
      <c r="L19" s="6" t="n">
        <v>0</v>
      </c>
      <c r="M19" s="6" t="n">
        <v>0</v>
      </c>
      <c r="N19" s="6" t="n"/>
      <c r="O19" s="6" t="n"/>
      <c r="P19" s="5" t="inlineStr">
        <is>
          <t>D 600 / C 506</t>
        </is>
      </c>
      <c r="Q19" s="5" t="inlineStr">
        <is>
          <t>OK</t>
        </is>
      </c>
      <c r="R19" s="5" t="inlineStr">
        <is>
          <t>Sim - exatamente o XML</t>
        </is>
      </c>
      <c r="S19" s="5" t="inlineStr"/>
      <c r="T19" s="5" t="inlineStr">
        <is>
          <t>41260952680145000184550010000007861702940405</t>
        </is>
      </c>
    </row>
    <row r="20">
      <c r="A20" s="10" t="n">
        <v>46268</v>
      </c>
      <c r="B20" s="11" t="inlineStr">
        <is>
          <t>CT-e</t>
        </is>
      </c>
      <c r="C20" s="11" t="n">
        <v>4683984</v>
      </c>
      <c r="D20" s="11" t="inlineStr">
        <is>
          <t>RODONAVES TRANSPORTES E ENCOMENDAS LTDA</t>
        </is>
      </c>
      <c r="E20" s="11" t="inlineStr">
        <is>
          <t>44914992003820</t>
        </is>
      </c>
      <c r="F20" s="11" t="inlineStr">
        <is>
          <t>PR-SP</t>
        </is>
      </c>
      <c r="G20" s="11" t="inlineStr">
        <is>
          <t>Cancelado</t>
        </is>
      </c>
      <c r="H20" s="11" t="inlineStr">
        <is>
          <t>6352</t>
        </is>
      </c>
      <c r="I20" s="12" t="n">
        <v>172.64</v>
      </c>
      <c r="J20" s="12" t="n">
        <v>165.65</v>
      </c>
      <c r="K20" s="12" t="n">
        <v>19.87</v>
      </c>
      <c r="L20" s="12" t="n"/>
      <c r="M20" s="12" t="n"/>
      <c r="N20" s="12" t="n"/>
      <c r="O20" s="12" t="n"/>
      <c r="P20" s="11" t="inlineStr">
        <is>
          <t>cancelado - sem lançamento</t>
        </is>
      </c>
      <c r="Q20" s="11" t="inlineStr">
        <is>
          <t>CT-e cancelado - status "Cancelamento" no relatório</t>
        </is>
      </c>
      <c r="R20" s="11" t="inlineStr">
        <is>
          <t>Não - cancelado (sem XML na pasta)</t>
        </is>
      </c>
      <c r="S20" s="11" t="inlineStr">
        <is>
          <t>XML não está na pasta - dados do relatório SIEG</t>
        </is>
      </c>
      <c r="T20" s="11" t="inlineStr">
        <is>
          <t>41260944914992003820570030046839841046839848</t>
        </is>
      </c>
    </row>
    <row r="21">
      <c r="A21" s="13" t="n">
        <v>46268</v>
      </c>
      <c r="B21" s="14" t="inlineStr">
        <is>
          <t>CT-e</t>
        </is>
      </c>
      <c r="C21" s="14" t="n">
        <v>4687986</v>
      </c>
      <c r="D21" s="14" t="inlineStr">
        <is>
          <t>RODONAVES TRANSPORTES E ENCOMENDAS LTDA</t>
        </is>
      </c>
      <c r="E21" s="14" t="inlineStr">
        <is>
          <t>44914992003820</t>
        </is>
      </c>
      <c r="F21" s="14" t="inlineStr">
        <is>
          <t>PR-SP</t>
        </is>
      </c>
      <c r="G21" s="14" t="inlineStr">
        <is>
          <t>Autorizado</t>
        </is>
      </c>
      <c r="H21" s="14" t="inlineStr">
        <is>
          <t>6352</t>
        </is>
      </c>
      <c r="I21" s="15" t="n">
        <v>172.64</v>
      </c>
      <c r="J21" s="15" t="n">
        <v>165.65</v>
      </c>
      <c r="K21" s="15" t="n">
        <v>19.87</v>
      </c>
      <c r="L21" s="15" t="n"/>
      <c r="M21" s="15" t="n"/>
      <c r="N21" s="15" t="n"/>
      <c r="O21" s="15" t="n"/>
      <c r="P21" s="14" t="inlineStr">
        <is>
          <t>D 312 / C 506</t>
        </is>
      </c>
      <c r="Q21" s="14" t="inlineStr">
        <is>
          <t>Sem XML na pasta (Cosmetici tomadora - pedir o XML)</t>
        </is>
      </c>
      <c r="R21" s="14" t="inlineStr">
        <is>
          <t>NÃO - sem XML na pasta (pedir o XML)</t>
        </is>
      </c>
      <c r="S21" s="14" t="inlineStr">
        <is>
          <t>XML não está na pasta - dados do relatório SIEG</t>
        </is>
      </c>
      <c r="T21" s="14" t="inlineStr">
        <is>
          <t>41260944914992003820570030046879861046879869</t>
        </is>
      </c>
    </row>
    <row r="22">
      <c r="A22" s="4" t="n">
        <v>46268</v>
      </c>
      <c r="B22" s="5" t="inlineStr">
        <is>
          <t>NF-e</t>
        </is>
      </c>
      <c r="C22" s="5" t="n">
        <v>4920</v>
      </c>
      <c r="D22" s="5" t="inlineStr">
        <is>
          <t>DISPOLI COMERCIO DE COSMETICOS LTDA</t>
        </is>
      </c>
      <c r="E22" s="5" t="inlineStr">
        <is>
          <t>41726398000125</t>
        </is>
      </c>
      <c r="F22" s="5" t="inlineStr">
        <is>
          <t>PR</t>
        </is>
      </c>
      <c r="G22" s="5" t="inlineStr">
        <is>
          <t>Autorizada</t>
        </is>
      </c>
      <c r="H22" s="5" t="inlineStr">
        <is>
          <t>5102</t>
        </is>
      </c>
      <c r="I22" s="6" t="n">
        <v>169.38</v>
      </c>
      <c r="J22" s="6" t="n">
        <v>0</v>
      </c>
      <c r="K22" s="6" t="n">
        <v>0</v>
      </c>
      <c r="L22" s="6" t="n">
        <v>0</v>
      </c>
      <c r="M22" s="6" t="n">
        <v>0</v>
      </c>
      <c r="N22" s="6" t="n"/>
      <c r="O22" s="6" t="n"/>
      <c r="P22" s="5" t="inlineStr">
        <is>
          <t>D 513 / C 506 (conferir)</t>
        </is>
      </c>
      <c r="Q22" s="5" t="inlineStr">
        <is>
          <t>OK</t>
        </is>
      </c>
      <c r="R22" s="5" t="inlineStr">
        <is>
          <t>Sim - uso e consumo: bases zeradas</t>
        </is>
      </c>
      <c r="S22" s="5" t="inlineStr"/>
      <c r="T22" s="5" t="inlineStr">
        <is>
          <t>41260941726398000125550010000049201009949200</t>
        </is>
      </c>
    </row>
    <row r="23">
      <c r="A23" s="4" t="n">
        <v>46268</v>
      </c>
      <c r="B23" s="5" t="inlineStr">
        <is>
          <t>NF-e</t>
        </is>
      </c>
      <c r="C23" s="5" t="n">
        <v>5048</v>
      </c>
      <c r="D23" s="5" t="inlineStr">
        <is>
          <t>JOSE DOMINGOS LINARES LTDA</t>
        </is>
      </c>
      <c r="E23" s="5" t="inlineStr">
        <is>
          <t>03839251000152</t>
        </is>
      </c>
      <c r="F23" s="5" t="inlineStr">
        <is>
          <t>PR</t>
        </is>
      </c>
      <c r="G23" s="5" t="inlineStr">
        <is>
          <t>Autorizada</t>
        </is>
      </c>
      <c r="H23" s="5" t="inlineStr">
        <is>
          <t>5923</t>
        </is>
      </c>
      <c r="I23" s="6" t="n">
        <v>1964</v>
      </c>
      <c r="J23" s="6" t="n">
        <v>0</v>
      </c>
      <c r="K23" s="6" t="n">
        <v>0</v>
      </c>
      <c r="L23" s="6" t="n">
        <v>0</v>
      </c>
      <c r="M23" s="6" t="n">
        <v>0</v>
      </c>
      <c r="N23" s="6" t="n"/>
      <c r="O23" s="6" t="n"/>
      <c r="P23" s="5" t="inlineStr">
        <is>
          <t>sem conta: CFOP 1923 sem acumulador/conta no histórico do Domínio</t>
        </is>
      </c>
      <c r="Q23" s="5" t="inlineStr">
        <is>
          <t>OK</t>
        </is>
      </c>
      <c r="R23" s="5" t="inlineStr">
        <is>
          <t>NÃO - sem acumulador para o CFOP de entrada</t>
        </is>
      </c>
      <c r="S23" s="5" t="inlineStr"/>
      <c r="T23" s="5" t="inlineStr">
        <is>
          <t>41260903839251000152550030000050481113690367</t>
        </is>
      </c>
    </row>
    <row r="24">
      <c r="A24" s="4" t="n">
        <v>46268</v>
      </c>
      <c r="B24" s="5" t="inlineStr">
        <is>
          <t>NFS-e</t>
        </is>
      </c>
      <c r="C24" s="5" t="n">
        <v>469</v>
      </c>
      <c r="D24" s="5" t="inlineStr">
        <is>
          <t>OFICINA DO IMPRESSO GRAFICA E EDITORA LTDA.</t>
        </is>
      </c>
      <c r="E24" s="5" t="inlineStr">
        <is>
          <t>00495545000116</t>
        </is>
      </c>
      <c r="F24" s="5" t="inlineStr">
        <is>
          <t>PR</t>
        </is>
      </c>
      <c r="G24" s="5" t="inlineStr">
        <is>
          <t>Autorizada</t>
        </is>
      </c>
      <c r="H24" s="5" t="inlineStr"/>
      <c r="I24" s="6" t="n">
        <v>1998</v>
      </c>
      <c r="J24" s="6" t="n"/>
      <c r="K24" s="6" t="n"/>
      <c r="L24" s="6" t="n"/>
      <c r="M24" s="6" t="n"/>
      <c r="N24" s="6" t="n">
        <v>49.95</v>
      </c>
      <c r="O24" s="6" t="n">
        <v>0</v>
      </c>
      <c r="P24" s="5" t="inlineStr">
        <is>
          <t>D 325 / C 506</t>
        </is>
      </c>
      <c r="Q24" s="5" t="inlineStr">
        <is>
          <t>OK</t>
        </is>
      </c>
      <c r="R24" s="5" t="inlineStr">
        <is>
          <t>Não - NFS-e não entra no SPED ICMS/IPI</t>
        </is>
      </c>
      <c r="S24" s="5" t="inlineStr"/>
      <c r="T24" s="5" t="inlineStr">
        <is>
          <t>41069022200495545000116000000000046926091708323044</t>
        </is>
      </c>
    </row>
    <row r="25">
      <c r="A25" s="4" t="n">
        <v>46268</v>
      </c>
      <c r="B25" s="5" t="inlineStr">
        <is>
          <t>NFS-e</t>
        </is>
      </c>
      <c r="C25" s="5" t="n">
        <v>8798</v>
      </c>
      <c r="D25" s="5" t="inlineStr">
        <is>
          <t>DOM RICARDO HOTEL LTDA</t>
        </is>
      </c>
      <c r="E25" s="5" t="inlineStr">
        <is>
          <t>01790040000147</t>
        </is>
      </c>
      <c r="F25" s="5" t="inlineStr">
        <is>
          <t>PR</t>
        </is>
      </c>
      <c r="G25" s="5" t="inlineStr">
        <is>
          <t>Autorizada</t>
        </is>
      </c>
      <c r="H25" s="5" t="inlineStr"/>
      <c r="I25" s="6" t="n">
        <v>3510.88</v>
      </c>
      <c r="J25" s="6" t="n"/>
      <c r="K25" s="6" t="n"/>
      <c r="L25" s="6" t="n"/>
      <c r="M25" s="6" t="n"/>
      <c r="N25" s="6" t="n">
        <v>175.54</v>
      </c>
      <c r="O25" s="6" t="n">
        <v>0</v>
      </c>
      <c r="P25" s="5" t="inlineStr">
        <is>
          <t>sem conta: prestador sem acumulador e sem histórico no Domínio</t>
        </is>
      </c>
      <c r="Q25" s="5" t="inlineStr">
        <is>
          <t>OK</t>
        </is>
      </c>
      <c r="R25" s="5" t="inlineStr">
        <is>
          <t>Não - NFS-e não entra no SPED ICMS/IPI</t>
        </is>
      </c>
      <c r="S25" s="5" t="inlineStr"/>
      <c r="T25" s="5" t="inlineStr">
        <is>
          <t>41255062201790040000147000000000879826090020603825</t>
        </is>
      </c>
    </row>
    <row r="26">
      <c r="A26" s="4" t="n">
        <v>46269</v>
      </c>
      <c r="B26" s="5" t="inlineStr">
        <is>
          <t>CT-e</t>
        </is>
      </c>
      <c r="C26" s="5" t="n">
        <v>5597996</v>
      </c>
      <c r="D26" s="5" t="inlineStr">
        <is>
          <t>CAXIAS DO SUL - EXPRESSO SAO MIGUEL S/A</t>
        </is>
      </c>
      <c r="E26" s="5" t="inlineStr">
        <is>
          <t>00428307000600</t>
        </is>
      </c>
      <c r="F26" s="5" t="inlineStr">
        <is>
          <t>RS-PR</t>
        </is>
      </c>
      <c r="G26" s="5" t="inlineStr">
        <is>
          <t>Autorizado</t>
        </is>
      </c>
      <c r="H26" s="5" t="inlineStr">
        <is>
          <t>6352</t>
        </is>
      </c>
      <c r="I26" s="6" t="n">
        <v>301.49</v>
      </c>
      <c r="J26" s="6" t="n">
        <v>301.49</v>
      </c>
      <c r="K26" s="6" t="n">
        <v>36.18</v>
      </c>
      <c r="L26" s="6" t="n"/>
      <c r="M26" s="6" t="n"/>
      <c r="N26" s="6" t="n"/>
      <c r="O26" s="6" t="n"/>
      <c r="P26" s="5" t="inlineStr">
        <is>
          <t>D 312 / C 506</t>
        </is>
      </c>
      <c r="Q26" s="5" t="inlineStr">
        <is>
          <t>OK</t>
        </is>
      </c>
      <c r="R26" s="5" t="inlineStr">
        <is>
          <t>Sim - uso e consumo: bases zeradas</t>
        </is>
      </c>
      <c r="S26" s="5" t="inlineStr"/>
      <c r="T26" s="5" t="inlineStr">
        <is>
          <t>43260900428307000600570010055979961055979961</t>
        </is>
      </c>
    </row>
    <row r="27">
      <c r="A27" s="4" t="n">
        <v>46269</v>
      </c>
      <c r="B27" s="5" t="inlineStr">
        <is>
          <t>NF-e</t>
        </is>
      </c>
      <c r="C27" s="5" t="n">
        <v>2564</v>
      </c>
      <c r="D27" s="5" t="inlineStr">
        <is>
          <t>AGATHA INDUSTRIA DE MANUFATURADOS LTDA</t>
        </is>
      </c>
      <c r="E27" s="5" t="inlineStr">
        <is>
          <t>54079636000108</t>
        </is>
      </c>
      <c r="F27" s="5" t="inlineStr">
        <is>
          <t>RS</t>
        </is>
      </c>
      <c r="G27" s="5" t="inlineStr">
        <is>
          <t>Autorizada</t>
        </is>
      </c>
      <c r="H27" s="5" t="inlineStr">
        <is>
          <t>6949</t>
        </is>
      </c>
      <c r="I27" s="6" t="n">
        <v>924</v>
      </c>
      <c r="J27" s="6" t="n">
        <v>0</v>
      </c>
      <c r="K27" s="6" t="n">
        <v>0</v>
      </c>
      <c r="L27" s="6" t="n">
        <v>0</v>
      </c>
      <c r="M27" s="6" t="n">
        <v>0</v>
      </c>
      <c r="N27" s="6" t="n"/>
      <c r="O27" s="6" t="n"/>
      <c r="P27" s="5" t="inlineStr">
        <is>
          <t>D 513 / C 506</t>
        </is>
      </c>
      <c r="Q27" s="5" t="inlineStr">
        <is>
          <t>OK</t>
        </is>
      </c>
      <c r="R27" s="5" t="inlineStr">
        <is>
          <t>Sim - uso e consumo: bases zeradas</t>
        </is>
      </c>
      <c r="S27" s="5" t="inlineStr"/>
      <c r="T27" s="5" t="inlineStr">
        <is>
          <t>43260954079636000108550010000025641087230517</t>
        </is>
      </c>
    </row>
    <row r="28">
      <c r="A28" s="4" t="n">
        <v>46273</v>
      </c>
      <c r="B28" s="5" t="inlineStr">
        <is>
          <t>NFS-e</t>
        </is>
      </c>
      <c r="C28" s="5" t="n">
        <v>45454</v>
      </c>
      <c r="D28" s="5" t="inlineStr">
        <is>
          <t>GL HOTEIS LTDA</t>
        </is>
      </c>
      <c r="E28" s="5" t="inlineStr">
        <is>
          <t>48395289000111</t>
        </is>
      </c>
      <c r="F28" s="5" t="inlineStr">
        <is>
          <t>SP</t>
        </is>
      </c>
      <c r="G28" s="5" t="inlineStr">
        <is>
          <t>Autorizada</t>
        </is>
      </c>
      <c r="H28" s="5" t="inlineStr"/>
      <c r="I28" s="6" t="n">
        <v>12980</v>
      </c>
      <c r="J28" s="6" t="n"/>
      <c r="K28" s="6" t="n"/>
      <c r="L28" s="6" t="n"/>
      <c r="M28" s="6" t="n"/>
      <c r="N28" s="6" t="n">
        <v>649</v>
      </c>
      <c r="O28" s="6" t="n">
        <v>0</v>
      </c>
      <c r="P28" s="5" t="inlineStr">
        <is>
          <t>sem conta: prestador sem acumulador e sem histórico no Domínio</t>
        </is>
      </c>
      <c r="Q28" s="5" t="inlineStr">
        <is>
          <t>OK</t>
        </is>
      </c>
      <c r="R28" s="5" t="inlineStr">
        <is>
          <t>Não - NFS-e não entra no SPED ICMS/IPI</t>
        </is>
      </c>
      <c r="S28" s="5" t="inlineStr"/>
      <c r="T28" s="5" t="inlineStr">
        <is>
          <t>35503081248395289000111000000004545426099076402305</t>
        </is>
      </c>
    </row>
    <row r="29">
      <c r="A29" s="13" t="n">
        <v>46274</v>
      </c>
      <c r="B29" s="14" t="inlineStr">
        <is>
          <t>CT-e</t>
        </is>
      </c>
      <c r="C29" s="14" t="n">
        <v>3999629</v>
      </c>
      <c r="D29" s="14" t="inlineStr">
        <is>
          <t>BRASPRESS TRANSPORTES URGENTES LTDA</t>
        </is>
      </c>
      <c r="E29" s="14" t="inlineStr">
        <is>
          <t>48740351000327</t>
        </is>
      </c>
      <c r="F29" s="14" t="inlineStr">
        <is>
          <t>PR-MA</t>
        </is>
      </c>
      <c r="G29" s="14" t="inlineStr">
        <is>
          <t>Autorizado</t>
        </is>
      </c>
      <c r="H29" s="14" t="inlineStr">
        <is>
          <t>6352</t>
        </is>
      </c>
      <c r="I29" s="15" t="n">
        <v>249.59</v>
      </c>
      <c r="J29" s="15" t="n">
        <v>245.48</v>
      </c>
      <c r="K29" s="15" t="n">
        <v>17.18</v>
      </c>
      <c r="L29" s="15" t="n"/>
      <c r="M29" s="15" t="n"/>
      <c r="N29" s="15" t="n"/>
      <c r="O29" s="15" t="n"/>
      <c r="P29" s="14" t="inlineStr">
        <is>
          <t>D 312 / C 506</t>
        </is>
      </c>
      <c r="Q29" s="14" t="inlineStr">
        <is>
          <t>Sem XML na pasta (Cosmetici tomadora - pedir o XML)</t>
        </is>
      </c>
      <c r="R29" s="14" t="inlineStr">
        <is>
          <t>NÃO - sem XML na pasta (pedir o XML)</t>
        </is>
      </c>
      <c r="S29" s="14" t="inlineStr">
        <is>
          <t>XML não está na pasta - dados do relatório SIEG</t>
        </is>
      </c>
      <c r="T29" s="14" t="inlineStr">
        <is>
          <t>41260948740351000327570000039996291544246881</t>
        </is>
      </c>
    </row>
    <row r="30">
      <c r="A30" s="13" t="n">
        <v>46274</v>
      </c>
      <c r="B30" s="14" t="inlineStr">
        <is>
          <t>CT-e</t>
        </is>
      </c>
      <c r="C30" s="14" t="n">
        <v>3999630</v>
      </c>
      <c r="D30" s="14" t="inlineStr">
        <is>
          <t>BRASPRESS TRANSPORTES URGENTES LTDA</t>
        </is>
      </c>
      <c r="E30" s="14" t="inlineStr">
        <is>
          <t>48740351000327</t>
        </is>
      </c>
      <c r="F30" s="14" t="inlineStr">
        <is>
          <t>PR-PA</t>
        </is>
      </c>
      <c r="G30" s="14" t="inlineStr">
        <is>
          <t>Autorizado</t>
        </is>
      </c>
      <c r="H30" s="14" t="inlineStr">
        <is>
          <t>6352</t>
        </is>
      </c>
      <c r="I30" s="15" t="n">
        <v>264.86</v>
      </c>
      <c r="J30" s="15" t="n">
        <v>260.75</v>
      </c>
      <c r="K30" s="15" t="n">
        <v>18.25</v>
      </c>
      <c r="L30" s="15" t="n"/>
      <c r="M30" s="15" t="n"/>
      <c r="N30" s="15" t="n"/>
      <c r="O30" s="15" t="n"/>
      <c r="P30" s="14" t="inlineStr">
        <is>
          <t>D 312 / C 506</t>
        </is>
      </c>
      <c r="Q30" s="14" t="inlineStr">
        <is>
          <t>Sem XML na pasta (Cosmetici tomadora - pedir o XML)</t>
        </is>
      </c>
      <c r="R30" s="14" t="inlineStr">
        <is>
          <t>NÃO - sem XML na pasta (pedir o XML)</t>
        </is>
      </c>
      <c r="S30" s="14" t="inlineStr">
        <is>
          <t>XML não está na pasta - dados do relatório SIEG</t>
        </is>
      </c>
      <c r="T30" s="14" t="inlineStr">
        <is>
          <t>41260948740351000327570000039996301101761800</t>
        </is>
      </c>
    </row>
    <row r="31">
      <c r="A31" s="4" t="n">
        <v>46274</v>
      </c>
      <c r="B31" s="5" t="inlineStr">
        <is>
          <t>NF-e</t>
        </is>
      </c>
      <c r="C31" s="5" t="n">
        <v>5080</v>
      </c>
      <c r="D31" s="5" t="inlineStr">
        <is>
          <t>JOSE DOMINGOS LINARES LTDA</t>
        </is>
      </c>
      <c r="E31" s="5" t="inlineStr">
        <is>
          <t>03839251000152</t>
        </is>
      </c>
      <c r="F31" s="5" t="inlineStr">
        <is>
          <t>PR</t>
        </is>
      </c>
      <c r="G31" s="5" t="inlineStr">
        <is>
          <t>Autorizada</t>
        </is>
      </c>
      <c r="H31" s="5" t="inlineStr">
        <is>
          <t>5924</t>
        </is>
      </c>
      <c r="I31" s="6" t="n">
        <v>5670</v>
      </c>
      <c r="J31" s="6" t="n">
        <v>0</v>
      </c>
      <c r="K31" s="6" t="n">
        <v>0</v>
      </c>
      <c r="L31" s="6" t="n">
        <v>0</v>
      </c>
      <c r="M31" s="6" t="n">
        <v>0</v>
      </c>
      <c r="N31" s="6" t="n"/>
      <c r="O31" s="6" t="n"/>
      <c r="P31" s="5" t="inlineStr">
        <is>
          <t>D 608 / C 609</t>
        </is>
      </c>
      <c r="Q31" s="5" t="inlineStr">
        <is>
          <t>OK</t>
        </is>
      </c>
      <c r="R31" s="5" t="inlineStr">
        <is>
          <t>Sim - exatamente o XML</t>
        </is>
      </c>
      <c r="S31" s="5" t="inlineStr"/>
      <c r="T31" s="5" t="inlineStr">
        <is>
          <t>41260903839251000152550030000050801135229929</t>
        </is>
      </c>
    </row>
    <row r="32">
      <c r="A32" s="10" t="n">
        <v>46274</v>
      </c>
      <c r="B32" s="11" t="inlineStr">
        <is>
          <t>NF-e</t>
        </is>
      </c>
      <c r="C32" s="11" t="n">
        <v>794</v>
      </c>
      <c r="D32" s="11" t="inlineStr">
        <is>
          <t>YAHWEH PRINT BRASIL LTDA</t>
        </is>
      </c>
      <c r="E32" s="11" t="inlineStr">
        <is>
          <t>52680145000184</t>
        </is>
      </c>
      <c r="F32" s="11" t="inlineStr">
        <is>
          <t>PR</t>
        </is>
      </c>
      <c r="G32" s="11" t="inlineStr">
        <is>
          <t>Cancelada</t>
        </is>
      </c>
      <c r="H32" s="11" t="inlineStr">
        <is>
          <t>5101</t>
        </is>
      </c>
      <c r="I32" s="12" t="n">
        <v>4370.44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/>
      <c r="O32" s="12" t="n"/>
      <c r="P32" s="11" t="inlineStr">
        <is>
          <t>cancelada - sem lançamento</t>
        </is>
      </c>
      <c r="Q32" s="11" t="inlineStr">
        <is>
          <t>Cancelada - confere: evento de cancelamento no XML e status "Cancelamento" no relatório</t>
        </is>
      </c>
      <c r="R32" s="11" t="inlineStr">
        <is>
          <t>Sim - cancelada (situação 02)</t>
        </is>
      </c>
      <c r="S32" s="11" t="inlineStr"/>
      <c r="T32" s="11" t="inlineStr">
        <is>
          <t>41260952680145000184550010000007941049258979</t>
        </is>
      </c>
    </row>
    <row r="33">
      <c r="A33" s="4" t="n">
        <v>46274</v>
      </c>
      <c r="B33" s="5" t="inlineStr">
        <is>
          <t>NF-e</t>
        </is>
      </c>
      <c r="C33" s="5" t="n">
        <v>795</v>
      </c>
      <c r="D33" s="5" t="inlineStr">
        <is>
          <t>YAHWEH PRINT BRASIL LTDA</t>
        </is>
      </c>
      <c r="E33" s="5" t="inlineStr">
        <is>
          <t>52680145000184</t>
        </is>
      </c>
      <c r="F33" s="5" t="inlineStr">
        <is>
          <t>PR</t>
        </is>
      </c>
      <c r="G33" s="5" t="inlineStr">
        <is>
          <t>Autorizada</t>
        </is>
      </c>
      <c r="H33" s="5" t="inlineStr">
        <is>
          <t>5101</t>
        </is>
      </c>
      <c r="I33" s="6" t="n">
        <v>4106.89</v>
      </c>
      <c r="J33" s="6" t="n">
        <v>0</v>
      </c>
      <c r="K33" s="6" t="n">
        <v>0</v>
      </c>
      <c r="L33" s="6" t="n">
        <v>0</v>
      </c>
      <c r="M33" s="6" t="n">
        <v>0</v>
      </c>
      <c r="N33" s="6" t="n"/>
      <c r="O33" s="6" t="n"/>
      <c r="P33" s="5" t="inlineStr">
        <is>
          <t>D 600 / C 506</t>
        </is>
      </c>
      <c r="Q33" s="5" t="inlineStr">
        <is>
          <t>OK</t>
        </is>
      </c>
      <c r="R33" s="5" t="inlineStr">
        <is>
          <t>Sim - exatamente o XML</t>
        </is>
      </c>
      <c r="S33" s="5" t="inlineStr"/>
      <c r="T33" s="5" t="inlineStr">
        <is>
          <t>41260952680145000184550010000007951158784741</t>
        </is>
      </c>
    </row>
    <row r="34">
      <c r="A34" s="4" t="n">
        <v>46275</v>
      </c>
      <c r="B34" s="5" t="inlineStr">
        <is>
          <t>NFS-e</t>
        </is>
      </c>
      <c r="C34" s="5" t="n">
        <v>908</v>
      </c>
      <c r="D34" s="5" t="inlineStr">
        <is>
          <t>CRM TECNOLOGIA EM SISTEMAS DE INFORMACAO LTDA</t>
        </is>
      </c>
      <c r="E34" s="5" t="inlineStr">
        <is>
          <t>24891333000116</t>
        </is>
      </c>
      <c r="F34" s="5" t="inlineStr">
        <is>
          <t>PR</t>
        </is>
      </c>
      <c r="G34" s="5" t="inlineStr">
        <is>
          <t>Autorizada</t>
        </is>
      </c>
      <c r="H34" s="5" t="inlineStr"/>
      <c r="I34" s="6" t="n">
        <v>2859.58</v>
      </c>
      <c r="J34" s="6" t="n"/>
      <c r="K34" s="6" t="n"/>
      <c r="L34" s="6" t="n"/>
      <c r="M34" s="6" t="n"/>
      <c r="N34" s="6" t="n">
        <v>0</v>
      </c>
      <c r="O34" s="6" t="n">
        <v>0</v>
      </c>
      <c r="P34" s="5" t="inlineStr">
        <is>
          <t>D 640 / C 506</t>
        </is>
      </c>
      <c r="Q34" s="5" t="inlineStr">
        <is>
          <t>OK (XML sem base do ISS - Simples, sem retenção; o relatório repete o valor)</t>
        </is>
      </c>
      <c r="R34" s="5" t="inlineStr">
        <is>
          <t>Não - NFS-e não entra no SPED ICMS/IPI</t>
        </is>
      </c>
      <c r="S34" s="5" t="inlineStr"/>
      <c r="T34" s="5" t="inlineStr">
        <is>
          <t>41069022224891333000116000000000090826090575270117</t>
        </is>
      </c>
    </row>
    <row r="35">
      <c r="A35" s="13" t="n">
        <v>46276</v>
      </c>
      <c r="B35" s="14" t="inlineStr">
        <is>
          <t>CT-e</t>
        </is>
      </c>
      <c r="C35" s="14" t="n">
        <v>36425929</v>
      </c>
      <c r="D35" s="14" t="inlineStr">
        <is>
          <t>TEX COURIER S.A</t>
        </is>
      </c>
      <c r="E35" s="14" t="inlineStr">
        <is>
          <t>73939449000193</t>
        </is>
      </c>
      <c r="F35" s="14" t="inlineStr">
        <is>
          <t>SP-PR</t>
        </is>
      </c>
      <c r="G35" s="14" t="inlineStr">
        <is>
          <t>Autorizado</t>
        </is>
      </c>
      <c r="H35" s="14" t="inlineStr">
        <is>
          <t>6353</t>
        </is>
      </c>
      <c r="I35" s="15" t="n">
        <v>54.83</v>
      </c>
      <c r="J35" s="15" t="n">
        <v>54.83</v>
      </c>
      <c r="K35" s="15" t="n">
        <v>6.58</v>
      </c>
      <c r="L35" s="15" t="n"/>
      <c r="M35" s="15" t="n"/>
      <c r="N35" s="15" t="n"/>
      <c r="O35" s="15" t="n"/>
      <c r="P35" s="14" t="inlineStr">
        <is>
          <t>D 312 / C 506</t>
        </is>
      </c>
      <c r="Q35" s="14" t="inlineStr">
        <is>
          <t>Sem XML na pasta (Cosmetici tomadora - pedir o XML)</t>
        </is>
      </c>
      <c r="R35" s="14" t="inlineStr">
        <is>
          <t>NÃO - sem XML na pasta (pedir o XML)</t>
        </is>
      </c>
      <c r="S35" s="14" t="inlineStr">
        <is>
          <t>XML não está na pasta - dados do relatório SIEG</t>
        </is>
      </c>
      <c r="T35" s="14" t="inlineStr">
        <is>
          <t>35260973939449000193579990364259291604264536</t>
        </is>
      </c>
    </row>
    <row r="36">
      <c r="A36" s="4" t="n">
        <v>46276</v>
      </c>
      <c r="B36" s="5" t="inlineStr">
        <is>
          <t>NFS-e</t>
        </is>
      </c>
      <c r="C36" s="5" t="n">
        <v>5588821</v>
      </c>
      <c r="D36" s="5" t="inlineStr">
        <is>
          <t>FLASH TECNOLOGIA E  INSTITUICAO DE PAGAMENTO LTDA</t>
        </is>
      </c>
      <c r="E36" s="5" t="inlineStr">
        <is>
          <t>32223020000118</t>
        </is>
      </c>
      <c r="F36" s="5" t="inlineStr">
        <is>
          <t>SP</t>
        </is>
      </c>
      <c r="G36" s="5" t="inlineStr">
        <is>
          <t>Autorizada (cStat 102)</t>
        </is>
      </c>
      <c r="H36" s="5" t="inlineStr"/>
      <c r="I36" s="6" t="n">
        <v>6105</v>
      </c>
      <c r="J36" s="6" t="n"/>
      <c r="K36" s="6" t="n"/>
      <c r="L36" s="6" t="n"/>
      <c r="M36" s="6" t="n"/>
      <c r="N36" s="6" t="n">
        <v>0</v>
      </c>
      <c r="O36" s="6" t="n">
        <v>0</v>
      </c>
      <c r="P36" s="5" t="inlineStr">
        <is>
          <t>D 364 / C 506</t>
        </is>
      </c>
      <c r="Q36" s="5" t="inlineStr">
        <is>
          <t>OK</t>
        </is>
      </c>
      <c r="R36" s="5" t="inlineStr">
        <is>
          <t>Não - NFS-e não entra no SPED ICMS/IPI</t>
        </is>
      </c>
      <c r="S36" s="5" t="inlineStr"/>
      <c r="T36" s="5" t="inlineStr">
        <is>
          <t>35503081232223020000118000000558882126097884718838</t>
        </is>
      </c>
    </row>
    <row r="37">
      <c r="A37" s="4" t="n">
        <v>46279</v>
      </c>
      <c r="B37" s="5" t="inlineStr">
        <is>
          <t>NF-e</t>
        </is>
      </c>
      <c r="C37" s="5" t="n">
        <v>13721</v>
      </c>
      <c r="D37" s="5" t="inlineStr">
        <is>
          <t>CAETANO PLASTICOS EMBALAGENS LTDA</t>
        </is>
      </c>
      <c r="E37" s="5" t="inlineStr">
        <is>
          <t>37295717000118</t>
        </is>
      </c>
      <c r="F37" s="5" t="inlineStr">
        <is>
          <t>PR</t>
        </is>
      </c>
      <c r="G37" s="5" t="inlineStr">
        <is>
          <t>Autorizada</t>
        </is>
      </c>
      <c r="H37" s="5" t="inlineStr">
        <is>
          <t>5102</t>
        </is>
      </c>
      <c r="I37" s="6" t="n">
        <v>2286.82</v>
      </c>
      <c r="J37" s="6" t="n">
        <v>0</v>
      </c>
      <c r="K37" s="6" t="n">
        <v>0</v>
      </c>
      <c r="L37" s="6" t="n">
        <v>0</v>
      </c>
      <c r="M37" s="6" t="n">
        <v>0</v>
      </c>
      <c r="N37" s="6" t="n"/>
      <c r="O37" s="6" t="n"/>
      <c r="P37" s="5" t="inlineStr">
        <is>
          <t>D 600 / C 506</t>
        </is>
      </c>
      <c r="Q37" s="5" t="inlineStr">
        <is>
          <t>OK</t>
        </is>
      </c>
      <c r="R37" s="5" t="inlineStr">
        <is>
          <t>Sim - exatamente o XML</t>
        </is>
      </c>
      <c r="S37" s="5" t="inlineStr"/>
      <c r="T37" s="5" t="inlineStr">
        <is>
          <t>41260937295717000118550010000137211931581334</t>
        </is>
      </c>
    </row>
    <row r="38">
      <c r="A38" s="4" t="n">
        <v>46279</v>
      </c>
      <c r="B38" s="5" t="inlineStr">
        <is>
          <t>NF-e</t>
        </is>
      </c>
      <c r="C38" s="5" t="n">
        <v>5133</v>
      </c>
      <c r="D38" s="5" t="inlineStr">
        <is>
          <t>JOSE DOMINGOS LINARES LTDA</t>
        </is>
      </c>
      <c r="E38" s="5" t="inlineStr">
        <is>
          <t>03839251000152</t>
        </is>
      </c>
      <c r="F38" s="5" t="inlineStr">
        <is>
          <t>PR</t>
        </is>
      </c>
      <c r="G38" s="5" t="inlineStr">
        <is>
          <t>Autorizada</t>
        </is>
      </c>
      <c r="H38" s="5" t="inlineStr">
        <is>
          <t>5924</t>
        </is>
      </c>
      <c r="I38" s="6" t="n">
        <v>2136</v>
      </c>
      <c r="J38" s="6" t="n">
        <v>0</v>
      </c>
      <c r="K38" s="6" t="n">
        <v>0</v>
      </c>
      <c r="L38" s="6" t="n">
        <v>0</v>
      </c>
      <c r="M38" s="6" t="n">
        <v>0</v>
      </c>
      <c r="N38" s="6" t="n"/>
      <c r="O38" s="6" t="n"/>
      <c r="P38" s="5" t="inlineStr">
        <is>
          <t>D 608 / C 609</t>
        </is>
      </c>
      <c r="Q38" s="5" t="inlineStr">
        <is>
          <t>OK</t>
        </is>
      </c>
      <c r="R38" s="5" t="inlineStr">
        <is>
          <t>Sim - exatamente o XML</t>
        </is>
      </c>
      <c r="S38" s="5" t="inlineStr"/>
      <c r="T38" s="5" t="inlineStr">
        <is>
          <t>41260903839251000152550030000051331151580428</t>
        </is>
      </c>
    </row>
    <row r="39">
      <c r="A39" s="4" t="n">
        <v>46279</v>
      </c>
      <c r="B39" s="5" t="inlineStr">
        <is>
          <t>NF-e</t>
        </is>
      </c>
      <c r="C39" s="5" t="n">
        <v>8099</v>
      </c>
      <c r="D39" s="5" t="inlineStr">
        <is>
          <t>BEPUMP IMPORTACAO E EXPORTACAO LTDA</t>
        </is>
      </c>
      <c r="E39" s="5" t="inlineStr">
        <is>
          <t>39237959000180</t>
        </is>
      </c>
      <c r="F39" s="5" t="inlineStr">
        <is>
          <t>SP</t>
        </is>
      </c>
      <c r="G39" s="5" t="inlineStr">
        <is>
          <t>Autorizada</t>
        </is>
      </c>
      <c r="H39" s="5" t="inlineStr">
        <is>
          <t>6924</t>
        </is>
      </c>
      <c r="I39" s="6" t="n">
        <v>1408.12</v>
      </c>
      <c r="J39" s="6" t="n">
        <v>0</v>
      </c>
      <c r="K39" s="6" t="n">
        <v>0</v>
      </c>
      <c r="L39" s="6" t="n">
        <v>0</v>
      </c>
      <c r="M39" s="6" t="n">
        <v>0</v>
      </c>
      <c r="N39" s="6" t="n"/>
      <c r="O39" s="6" t="n"/>
      <c r="P39" s="5" t="inlineStr">
        <is>
          <t>D 608 / C 609</t>
        </is>
      </c>
      <c r="Q39" s="5" t="inlineStr">
        <is>
          <t>OK</t>
        </is>
      </c>
      <c r="R39" s="5" t="inlineStr">
        <is>
          <t>Sim - exatamente o XML</t>
        </is>
      </c>
      <c r="S39" s="5" t="inlineStr"/>
      <c r="T39" s="5" t="inlineStr">
        <is>
          <t>35260939237959000180550010000080991000082318</t>
        </is>
      </c>
    </row>
    <row r="40">
      <c r="A40" s="4" t="n">
        <v>46279</v>
      </c>
      <c r="B40" s="5" t="inlineStr">
        <is>
          <t>NF-e</t>
        </is>
      </c>
      <c r="C40" s="5" t="n">
        <v>8112</v>
      </c>
      <c r="D40" s="5" t="inlineStr">
        <is>
          <t>OUTLET PREMIUM PACK LTDA</t>
        </is>
      </c>
      <c r="E40" s="5" t="inlineStr">
        <is>
          <t>34970658000148</t>
        </is>
      </c>
      <c r="F40" s="5" t="inlineStr">
        <is>
          <t>SP</t>
        </is>
      </c>
      <c r="G40" s="5" t="inlineStr">
        <is>
          <t>Autorizada</t>
        </is>
      </c>
      <c r="H40" s="5" t="inlineStr">
        <is>
          <t>6924</t>
        </is>
      </c>
      <c r="I40" s="6" t="n">
        <v>2462.03</v>
      </c>
      <c r="J40" s="6" t="n">
        <v>0</v>
      </c>
      <c r="K40" s="6" t="n">
        <v>0</v>
      </c>
      <c r="L40" s="6" t="n">
        <v>0</v>
      </c>
      <c r="M40" s="6" t="n">
        <v>0</v>
      </c>
      <c r="N40" s="6" t="n"/>
      <c r="O40" s="6" t="n"/>
      <c r="P40" s="5" t="inlineStr">
        <is>
          <t>D 608 / C 609</t>
        </is>
      </c>
      <c r="Q40" s="5" t="inlineStr">
        <is>
          <t>OK</t>
        </is>
      </c>
      <c r="R40" s="5" t="inlineStr">
        <is>
          <t>Sim - exatamente o XML</t>
        </is>
      </c>
      <c r="S40" s="5" t="inlineStr"/>
      <c r="T40" s="5" t="inlineStr">
        <is>
          <t>35260934970658000148550010000081121000087609</t>
        </is>
      </c>
    </row>
    <row r="41">
      <c r="A41" s="4" t="n">
        <v>46280</v>
      </c>
      <c r="B41" s="5" t="inlineStr">
        <is>
          <t>NF-e</t>
        </is>
      </c>
      <c r="C41" s="5" t="n">
        <v>40451</v>
      </c>
      <c r="D41" s="5" t="inlineStr">
        <is>
          <t>ILS TECNOLOGIA EM EQUIP DE SEG DO TRABALHO LTDA</t>
        </is>
      </c>
      <c r="E41" s="5" t="inlineStr">
        <is>
          <t>10265455000192</t>
        </is>
      </c>
      <c r="F41" s="5" t="inlineStr">
        <is>
          <t>PR</t>
        </is>
      </c>
      <c r="G41" s="5" t="inlineStr">
        <is>
          <t>Autorizada</t>
        </is>
      </c>
      <c r="H41" s="5" t="inlineStr">
        <is>
          <t>5102</t>
        </is>
      </c>
      <c r="I41" s="6" t="n">
        <v>370.86</v>
      </c>
      <c r="J41" s="6" t="n">
        <v>0</v>
      </c>
      <c r="K41" s="6" t="n">
        <v>0</v>
      </c>
      <c r="L41" s="6" t="n">
        <v>0</v>
      </c>
      <c r="M41" s="6" t="n">
        <v>0</v>
      </c>
      <c r="N41" s="6" t="n"/>
      <c r="O41" s="6" t="n"/>
      <c r="P41" s="5" t="inlineStr">
        <is>
          <t>D 656 / C 506 (conferir)</t>
        </is>
      </c>
      <c r="Q41" s="5" t="inlineStr">
        <is>
          <t>OK</t>
        </is>
      </c>
      <c r="R41" s="5" t="inlineStr">
        <is>
          <t>Sim - uso e consumo: bases zeradas</t>
        </is>
      </c>
      <c r="S41" s="5" t="inlineStr"/>
      <c r="T41" s="5" t="inlineStr">
        <is>
          <t>41260910265455000192550010000404511000405060</t>
        </is>
      </c>
    </row>
    <row r="42">
      <c r="A42" s="4" t="n">
        <v>46280</v>
      </c>
      <c r="B42" s="5" t="inlineStr">
        <is>
          <t>NF-e</t>
        </is>
      </c>
      <c r="C42" s="5" t="n">
        <v>5162</v>
      </c>
      <c r="D42" s="5" t="inlineStr">
        <is>
          <t>JOSE DOMINGOS LINARES LTDA</t>
        </is>
      </c>
      <c r="E42" s="5" t="inlineStr">
        <is>
          <t>03839251000152</t>
        </is>
      </c>
      <c r="F42" s="5" t="inlineStr">
        <is>
          <t>PR</t>
        </is>
      </c>
      <c r="G42" s="5" t="inlineStr">
        <is>
          <t>Autorizada</t>
        </is>
      </c>
      <c r="H42" s="5" t="inlineStr">
        <is>
          <t>5923</t>
        </is>
      </c>
      <c r="I42" s="6" t="n">
        <v>1112</v>
      </c>
      <c r="J42" s="6" t="n">
        <v>0</v>
      </c>
      <c r="K42" s="6" t="n">
        <v>0</v>
      </c>
      <c r="L42" s="6" t="n">
        <v>0</v>
      </c>
      <c r="M42" s="6" t="n">
        <v>0</v>
      </c>
      <c r="N42" s="6" t="n"/>
      <c r="O42" s="6" t="n"/>
      <c r="P42" s="5" t="inlineStr">
        <is>
          <t>sem conta: CFOP 1923 sem acumulador/conta no histórico do Domínio</t>
        </is>
      </c>
      <c r="Q42" s="5" t="inlineStr">
        <is>
          <t>OK</t>
        </is>
      </c>
      <c r="R42" s="5" t="inlineStr">
        <is>
          <t>NÃO - sem acumulador para o CFOP de entrada</t>
        </is>
      </c>
      <c r="S42" s="5" t="inlineStr"/>
      <c r="T42" s="5" t="inlineStr">
        <is>
          <t>41260903839251000152550030000051621201311907</t>
        </is>
      </c>
    </row>
    <row r="43">
      <c r="A43" s="13" t="n">
        <v>46281</v>
      </c>
      <c r="B43" s="14" t="inlineStr">
        <is>
          <t>CT-e</t>
        </is>
      </c>
      <c r="C43" s="14" t="n">
        <v>17817538</v>
      </c>
      <c r="D43" s="14" t="inlineStr">
        <is>
          <t>TEX COURIER S.A</t>
        </is>
      </c>
      <c r="E43" s="14" t="inlineStr">
        <is>
          <t>73939449002056</t>
        </is>
      </c>
      <c r="F43" s="14" t="inlineStr">
        <is>
          <t>PR-SP</t>
        </is>
      </c>
      <c r="G43" s="14" t="inlineStr">
        <is>
          <t>Autorizado</t>
        </is>
      </c>
      <c r="H43" s="14" t="inlineStr">
        <is>
          <t>6353</t>
        </is>
      </c>
      <c r="I43" s="15" t="n">
        <v>40.22</v>
      </c>
      <c r="J43" s="15" t="n">
        <v>40.22</v>
      </c>
      <c r="K43" s="15" t="n">
        <v>4.83</v>
      </c>
      <c r="L43" s="15" t="n"/>
      <c r="M43" s="15" t="n"/>
      <c r="N43" s="15" t="n"/>
      <c r="O43" s="15" t="n"/>
      <c r="P43" s="14" t="inlineStr">
        <is>
          <t>D 312 / C 506</t>
        </is>
      </c>
      <c r="Q43" s="14" t="inlineStr">
        <is>
          <t>Sem XML na pasta (Cosmetici tomadora - pedir o XML)</t>
        </is>
      </c>
      <c r="R43" s="14" t="inlineStr">
        <is>
          <t>NÃO - sem XML na pasta (pedir o XML)</t>
        </is>
      </c>
      <c r="S43" s="14" t="inlineStr">
        <is>
          <t>XML não está na pasta - dados do relatório SIEG</t>
        </is>
      </c>
      <c r="T43" s="14" t="inlineStr">
        <is>
          <t>41260973939449002056570010178175381661666021</t>
        </is>
      </c>
    </row>
    <row r="44">
      <c r="A44" s="13" t="n">
        <v>46281</v>
      </c>
      <c r="B44" s="14" t="inlineStr">
        <is>
          <t>CT-e</t>
        </is>
      </c>
      <c r="C44" s="14" t="n">
        <v>17817833</v>
      </c>
      <c r="D44" s="14" t="inlineStr">
        <is>
          <t>TEX COURIER S.A</t>
        </is>
      </c>
      <c r="E44" s="14" t="inlineStr">
        <is>
          <t>73939449002056</t>
        </is>
      </c>
      <c r="F44" s="14" t="inlineStr">
        <is>
          <t>PR-MG</t>
        </is>
      </c>
      <c r="G44" s="14" t="inlineStr">
        <is>
          <t>Autorizado</t>
        </is>
      </c>
      <c r="H44" s="14" t="inlineStr">
        <is>
          <t>6353</t>
        </is>
      </c>
      <c r="I44" s="15" t="n">
        <v>55.55</v>
      </c>
      <c r="J44" s="15" t="n">
        <v>55.55</v>
      </c>
      <c r="K44" s="15" t="n">
        <v>6.67</v>
      </c>
      <c r="L44" s="15" t="n"/>
      <c r="M44" s="15" t="n"/>
      <c r="N44" s="15" t="n"/>
      <c r="O44" s="15" t="n"/>
      <c r="P44" s="14" t="inlineStr">
        <is>
          <t>D 312 / C 506</t>
        </is>
      </c>
      <c r="Q44" s="14" t="inlineStr">
        <is>
          <t>Sem XML na pasta (Cosmetici tomadora - pedir o XML)</t>
        </is>
      </c>
      <c r="R44" s="14" t="inlineStr">
        <is>
          <t>NÃO - sem XML na pasta (pedir o XML)</t>
        </is>
      </c>
      <c r="S44" s="14" t="inlineStr">
        <is>
          <t>XML não está na pasta - dados do relatório SIEG</t>
        </is>
      </c>
      <c r="T44" s="14" t="inlineStr">
        <is>
          <t>41260973939449002056570010178178331686344389</t>
        </is>
      </c>
    </row>
    <row r="45">
      <c r="A45" s="4" t="n">
        <v>46281</v>
      </c>
      <c r="B45" s="5" t="inlineStr">
        <is>
          <t>NF-e</t>
        </is>
      </c>
      <c r="C45" s="5" t="n">
        <v>418</v>
      </c>
      <c r="D45" s="5" t="inlineStr">
        <is>
          <t>SAVATEC COMERCIO E SERVICOS LTDA</t>
        </is>
      </c>
      <c r="E45" s="5" t="inlineStr">
        <is>
          <t>59087034000108</t>
        </is>
      </c>
      <c r="F45" s="5" t="inlineStr">
        <is>
          <t>PR</t>
        </is>
      </c>
      <c r="G45" s="5" t="inlineStr">
        <is>
          <t>Autorizada</t>
        </is>
      </c>
      <c r="H45" s="5" t="inlineStr">
        <is>
          <t>5102</t>
        </is>
      </c>
      <c r="I45" s="6" t="n">
        <v>1320.74</v>
      </c>
      <c r="J45" s="6" t="n">
        <v>0</v>
      </c>
      <c r="K45" s="6" t="n">
        <v>0</v>
      </c>
      <c r="L45" s="6" t="n">
        <v>0</v>
      </c>
      <c r="M45" s="6" t="n">
        <v>0</v>
      </c>
      <c r="N45" s="6" t="n"/>
      <c r="O45" s="6" t="n"/>
      <c r="P45" s="5" t="inlineStr">
        <is>
          <t>D 513 / C 506 (conferir)</t>
        </is>
      </c>
      <c r="Q45" s="5" t="inlineStr">
        <is>
          <t>OK</t>
        </is>
      </c>
      <c r="R45" s="5" t="inlineStr">
        <is>
          <t>Sim - uso e consumo: bases zeradas</t>
        </is>
      </c>
      <c r="S45" s="5" t="inlineStr"/>
      <c r="T45" s="5" t="inlineStr">
        <is>
          <t>41260959087034000108550010000004181258202600</t>
        </is>
      </c>
    </row>
    <row r="46">
      <c r="A46" s="4" t="n">
        <v>46281</v>
      </c>
      <c r="B46" s="5" t="inlineStr">
        <is>
          <t>NF-e</t>
        </is>
      </c>
      <c r="C46" s="5" t="n">
        <v>5170</v>
      </c>
      <c r="D46" s="5" t="inlineStr">
        <is>
          <t>JOSE DOMINGOS LINARES LTDA</t>
        </is>
      </c>
      <c r="E46" s="5" t="inlineStr">
        <is>
          <t>03839251000152</t>
        </is>
      </c>
      <c r="F46" s="5" t="inlineStr">
        <is>
          <t>PR</t>
        </is>
      </c>
      <c r="G46" s="5" t="inlineStr">
        <is>
          <t>Autorizada</t>
        </is>
      </c>
      <c r="H46" s="5" t="inlineStr">
        <is>
          <t>5924</t>
        </is>
      </c>
      <c r="I46" s="6" t="n">
        <v>667.2</v>
      </c>
      <c r="J46" s="6" t="n">
        <v>0</v>
      </c>
      <c r="K46" s="6" t="n">
        <v>0</v>
      </c>
      <c r="L46" s="6" t="n">
        <v>0</v>
      </c>
      <c r="M46" s="6" t="n">
        <v>0</v>
      </c>
      <c r="N46" s="6" t="n"/>
      <c r="O46" s="6" t="n"/>
      <c r="P46" s="5" t="inlineStr">
        <is>
          <t>D 608 / C 609</t>
        </is>
      </c>
      <c r="Q46" s="5" t="inlineStr">
        <is>
          <t>OK</t>
        </is>
      </c>
      <c r="R46" s="5" t="inlineStr">
        <is>
          <t>Sim - exatamente o XML</t>
        </is>
      </c>
      <c r="S46" s="5" t="inlineStr"/>
      <c r="T46" s="5" t="inlineStr">
        <is>
          <t>41260903839251000152550030000051701177572396</t>
        </is>
      </c>
    </row>
    <row r="47">
      <c r="A47" s="4" t="n">
        <v>46281</v>
      </c>
      <c r="B47" s="5" t="inlineStr">
        <is>
          <t>NFS-e</t>
        </is>
      </c>
      <c r="C47" s="5" t="n">
        <v>10</v>
      </c>
      <c r="D47" s="5" t="inlineStr">
        <is>
          <t>BIOACTIVE - BIOTECNOLOGIA E DESENVOLVIMENTO DE COSMETICOS LTDA</t>
        </is>
      </c>
      <c r="E47" s="5" t="inlineStr">
        <is>
          <t>59684382000162</t>
        </is>
      </c>
      <c r="F47" s="5" t="inlineStr">
        <is>
          <t>PR</t>
        </is>
      </c>
      <c r="G47" s="5" t="inlineStr">
        <is>
          <t>Autorizada</t>
        </is>
      </c>
      <c r="H47" s="5" t="inlineStr"/>
      <c r="I47" s="6" t="n">
        <v>1000</v>
      </c>
      <c r="J47" s="6" t="n"/>
      <c r="K47" s="6" t="n"/>
      <c r="L47" s="6" t="n"/>
      <c r="M47" s="6" t="n"/>
      <c r="N47" s="6" t="n">
        <v>0</v>
      </c>
      <c r="O47" s="6" t="n">
        <v>0</v>
      </c>
      <c r="P47" s="5" t="inlineStr">
        <is>
          <t>D 362 / C 506</t>
        </is>
      </c>
      <c r="Q47" s="5" t="inlineStr">
        <is>
          <t>OK (XML sem base do ISS - Simples, sem retenção; o relatório repete o valor)</t>
        </is>
      </c>
      <c r="R47" s="5" t="inlineStr">
        <is>
          <t>Não - NFS-e não entra no SPED ICMS/IPI</t>
        </is>
      </c>
      <c r="S47" s="5" t="inlineStr"/>
      <c r="T47" s="5" t="inlineStr">
        <is>
          <t>41069022259684382000162000000000001026098158485630</t>
        </is>
      </c>
    </row>
    <row r="48">
      <c r="A48" s="4" t="n">
        <v>46281</v>
      </c>
      <c r="B48" s="5" t="inlineStr">
        <is>
          <t>NFS-e</t>
        </is>
      </c>
      <c r="C48" s="5" t="n">
        <v>11</v>
      </c>
      <c r="D48" s="5" t="inlineStr">
        <is>
          <t>BIOACTIVE - BIOTECNOLOGIA E DESENVOLVIMENTO DE COSMETICOS LTDA</t>
        </is>
      </c>
      <c r="E48" s="5" t="inlineStr">
        <is>
          <t>59684382000162</t>
        </is>
      </c>
      <c r="F48" s="5" t="inlineStr">
        <is>
          <t>PR</t>
        </is>
      </c>
      <c r="G48" s="5" t="inlineStr">
        <is>
          <t>Autorizada</t>
        </is>
      </c>
      <c r="H48" s="5" t="inlineStr"/>
      <c r="I48" s="6" t="n">
        <v>7456.04</v>
      </c>
      <c r="J48" s="6" t="n"/>
      <c r="K48" s="6" t="n"/>
      <c r="L48" s="6" t="n"/>
      <c r="M48" s="6" t="n"/>
      <c r="N48" s="6" t="n">
        <v>0</v>
      </c>
      <c r="O48" s="6" t="n">
        <v>0</v>
      </c>
      <c r="P48" s="5" t="inlineStr">
        <is>
          <t>D 362 / C 506</t>
        </is>
      </c>
      <c r="Q48" s="5" t="inlineStr">
        <is>
          <t>OK (XML sem base do ISS - Simples, sem retenção; o relatório repete o valor)</t>
        </is>
      </c>
      <c r="R48" s="5" t="inlineStr">
        <is>
          <t>Não - NFS-e não entra no SPED ICMS/IPI</t>
        </is>
      </c>
      <c r="S48" s="5" t="inlineStr"/>
      <c r="T48" s="5" t="inlineStr">
        <is>
          <t>41069022259684382000162000000000001126096345619740</t>
        </is>
      </c>
    </row>
    <row r="49">
      <c r="A49" s="4" t="n">
        <v>46281</v>
      </c>
      <c r="B49" s="5" t="inlineStr">
        <is>
          <t>NFS-e</t>
        </is>
      </c>
      <c r="C49" s="5" t="n">
        <v>9530</v>
      </c>
      <c r="D49" s="5" t="inlineStr">
        <is>
          <t>INSETCONTROL CONTROLE DE PRAGAS LTDA</t>
        </is>
      </c>
      <c r="E49" s="5" t="inlineStr">
        <is>
          <t>14309879000162</t>
        </is>
      </c>
      <c r="F49" s="5" t="inlineStr">
        <is>
          <t>MS</t>
        </is>
      </c>
      <c r="G49" s="5" t="inlineStr">
        <is>
          <t>Autorizada</t>
        </is>
      </c>
      <c r="H49" s="5" t="inlineStr"/>
      <c r="I49" s="6" t="n">
        <v>730</v>
      </c>
      <c r="J49" s="6" t="n"/>
      <c r="K49" s="6" t="n"/>
      <c r="L49" s="6" t="n"/>
      <c r="M49" s="6" t="n"/>
      <c r="N49" s="6" t="n">
        <v>36.5</v>
      </c>
      <c r="O49" s="6" t="n">
        <v>0</v>
      </c>
      <c r="P49" s="5" t="inlineStr">
        <is>
          <t>D 362 / C 506</t>
        </is>
      </c>
      <c r="Q49" s="5" t="inlineStr">
        <is>
          <t>OK</t>
        </is>
      </c>
      <c r="R49" s="5" t="inlineStr">
        <is>
          <t>Não - NFS-e não entra no SPED ICMS/IPI</t>
        </is>
      </c>
      <c r="S49" s="5" t="inlineStr"/>
      <c r="T49" s="5" t="inlineStr">
        <is>
          <t>50027041214309879000162000000000953026090714785828</t>
        </is>
      </c>
    </row>
    <row r="50">
      <c r="A50" s="13" t="n">
        <v>46282</v>
      </c>
      <c r="B50" s="14" t="inlineStr">
        <is>
          <t>CT-e</t>
        </is>
      </c>
      <c r="C50" s="14" t="n">
        <v>17826831</v>
      </c>
      <c r="D50" s="14" t="inlineStr">
        <is>
          <t>TEX COURIER S.A</t>
        </is>
      </c>
      <c r="E50" s="14" t="inlineStr">
        <is>
          <t>73939449002056</t>
        </is>
      </c>
      <c r="F50" s="14" t="inlineStr">
        <is>
          <t>PR-MG</t>
        </is>
      </c>
      <c r="G50" s="14" t="inlineStr">
        <is>
          <t>Autorizado</t>
        </is>
      </c>
      <c r="H50" s="14" t="inlineStr">
        <is>
          <t>6353</t>
        </is>
      </c>
      <c r="I50" s="15" t="n">
        <v>55.85</v>
      </c>
      <c r="J50" s="15" t="n">
        <v>55.85</v>
      </c>
      <c r="K50" s="15" t="n">
        <v>6.7</v>
      </c>
      <c r="L50" s="15" t="n"/>
      <c r="M50" s="15" t="n"/>
      <c r="N50" s="15" t="n"/>
      <c r="O50" s="15" t="n"/>
      <c r="P50" s="14" t="inlineStr">
        <is>
          <t>D 312 / C 506</t>
        </is>
      </c>
      <c r="Q50" s="14" t="inlineStr">
        <is>
          <t>Sem XML na pasta (Cosmetici tomadora - pedir o XML)</t>
        </is>
      </c>
      <c r="R50" s="14" t="inlineStr">
        <is>
          <t>NÃO - sem XML na pasta (pedir o XML)</t>
        </is>
      </c>
      <c r="S50" s="14" t="inlineStr">
        <is>
          <t>XML não está na pasta - dados do relatório SIEG</t>
        </is>
      </c>
      <c r="T50" s="14" t="inlineStr">
        <is>
          <t>41260973939449002056570010178268311888893400</t>
        </is>
      </c>
    </row>
    <row r="51">
      <c r="A51" s="4" t="n">
        <v>46282</v>
      </c>
      <c r="B51" s="5" t="inlineStr">
        <is>
          <t>NF-e</t>
        </is>
      </c>
      <c r="C51" s="5" t="n">
        <v>23127</v>
      </c>
      <c r="D51" s="5" t="inlineStr">
        <is>
          <t>CARBON CIENTIFICA LTDA</t>
        </is>
      </c>
      <c r="E51" s="5" t="inlineStr">
        <is>
          <t>44114040000130</t>
        </is>
      </c>
      <c r="F51" s="5" t="inlineStr">
        <is>
          <t>PR</t>
        </is>
      </c>
      <c r="G51" s="5" t="inlineStr">
        <is>
          <t>Autorizada</t>
        </is>
      </c>
      <c r="H51" s="5" t="inlineStr">
        <is>
          <t>5949</t>
        </is>
      </c>
      <c r="I51" s="6" t="n">
        <v>1</v>
      </c>
      <c r="J51" s="6" t="n">
        <v>1</v>
      </c>
      <c r="K51" s="6" t="n">
        <v>0.2</v>
      </c>
      <c r="L51" s="6" t="n">
        <v>0</v>
      </c>
      <c r="M51" s="6" t="n">
        <v>0</v>
      </c>
      <c r="N51" s="6" t="n"/>
      <c r="O51" s="6" t="n"/>
      <c r="P51" s="5" t="inlineStr">
        <is>
          <t>D 612 / C 613</t>
        </is>
      </c>
      <c r="Q51" s="5" t="inlineStr">
        <is>
          <t>OK</t>
        </is>
      </c>
      <c r="R51" s="5" t="inlineStr">
        <is>
          <t>Sim - exatamente o XML</t>
        </is>
      </c>
      <c r="S51" s="5" t="inlineStr"/>
      <c r="T51" s="5" t="inlineStr">
        <is>
          <t>41260944114040000130550010000231271000948452</t>
        </is>
      </c>
    </row>
    <row r="52">
      <c r="A52" s="4" t="n">
        <v>46282</v>
      </c>
      <c r="B52" s="5" t="inlineStr">
        <is>
          <t>NF-e</t>
        </is>
      </c>
      <c r="C52" s="5" t="n">
        <v>30338</v>
      </c>
      <c r="D52" s="5" t="inlineStr">
        <is>
          <t>ALTEC IND.COM.IMP.E EXP.LTDA.</t>
        </is>
      </c>
      <c r="E52" s="5" t="inlineStr">
        <is>
          <t>67598292000187</t>
        </is>
      </c>
      <c r="F52" s="5" t="inlineStr">
        <is>
          <t>SP</t>
        </is>
      </c>
      <c r="G52" s="5" t="inlineStr">
        <is>
          <t>Autorizada</t>
        </is>
      </c>
      <c r="H52" s="5" t="inlineStr">
        <is>
          <t>6101</t>
        </is>
      </c>
      <c r="I52" s="6" t="n">
        <v>2506.56</v>
      </c>
      <c r="J52" s="6" t="n">
        <v>2506.56</v>
      </c>
      <c r="K52" s="6" t="n">
        <v>300.79</v>
      </c>
      <c r="L52" s="6" t="n">
        <v>0</v>
      </c>
      <c r="M52" s="6" t="n">
        <v>0</v>
      </c>
      <c r="N52" s="6" t="n"/>
      <c r="O52" s="6" t="n"/>
      <c r="P52" s="5" t="inlineStr">
        <is>
          <t>D 56 / C 506 (conferir)</t>
        </is>
      </c>
      <c r="Q52" s="5" t="inlineStr">
        <is>
          <t>OK</t>
        </is>
      </c>
      <c r="R52" s="5" t="inlineStr">
        <is>
          <t>Sim - exatamente o XML</t>
        </is>
      </c>
      <c r="S52" s="5" t="inlineStr"/>
      <c r="T52" s="5" t="inlineStr">
        <is>
          <t>35260967598292000187550010000303381000323387</t>
        </is>
      </c>
    </row>
    <row r="53">
      <c r="A53" s="4" t="n">
        <v>46282</v>
      </c>
      <c r="B53" s="5" t="inlineStr">
        <is>
          <t>NF-e</t>
        </is>
      </c>
      <c r="C53" s="5" t="n">
        <v>6782</v>
      </c>
      <c r="D53" s="5" t="inlineStr">
        <is>
          <t>ELLOLIMP COMERCIO DE PRODUTOS DE HIGIENE E LIMPEZA LTDA</t>
        </is>
      </c>
      <c r="E53" s="5" t="inlineStr">
        <is>
          <t>49547438000183</t>
        </is>
      </c>
      <c r="F53" s="5" t="inlineStr">
        <is>
          <t>PR</t>
        </is>
      </c>
      <c r="G53" s="5" t="inlineStr">
        <is>
          <t>Autorizada</t>
        </is>
      </c>
      <c r="H53" s="5" t="inlineStr">
        <is>
          <t>5102</t>
        </is>
      </c>
      <c r="I53" s="6" t="n">
        <v>833.9</v>
      </c>
      <c r="J53" s="6" t="n">
        <v>833.9</v>
      </c>
      <c r="K53" s="6" t="n">
        <v>102.69</v>
      </c>
      <c r="L53" s="6" t="n">
        <v>0</v>
      </c>
      <c r="M53" s="6" t="n">
        <v>0</v>
      </c>
      <c r="N53" s="6" t="n"/>
      <c r="O53" s="6" t="n"/>
      <c r="P53" s="5" t="inlineStr">
        <is>
          <t>D 513 / C 506</t>
        </is>
      </c>
      <c r="Q53" s="5" t="inlineStr">
        <is>
          <t>OK</t>
        </is>
      </c>
      <c r="R53" s="5" t="inlineStr">
        <is>
          <t>Sim - uso e consumo: bases zeradas</t>
        </is>
      </c>
      <c r="S53" s="5" t="inlineStr"/>
      <c r="T53" s="5" t="inlineStr">
        <is>
          <t>41260949547438000183550010000067821963905200</t>
        </is>
      </c>
    </row>
    <row r="54">
      <c r="A54" s="4" t="n">
        <v>46282</v>
      </c>
      <c r="B54" s="5" t="inlineStr">
        <is>
          <t>NF-e</t>
        </is>
      </c>
      <c r="C54" s="5" t="n">
        <v>814</v>
      </c>
      <c r="D54" s="5" t="inlineStr">
        <is>
          <t>YAHWEH PRINT BRASIL LTDA</t>
        </is>
      </c>
      <c r="E54" s="5" t="inlineStr">
        <is>
          <t>52680145000184</t>
        </is>
      </c>
      <c r="F54" s="5" t="inlineStr">
        <is>
          <t>PR</t>
        </is>
      </c>
      <c r="G54" s="5" t="inlineStr">
        <is>
          <t>Autorizada</t>
        </is>
      </c>
      <c r="H54" s="5" t="inlineStr">
        <is>
          <t>5101</t>
        </is>
      </c>
      <c r="I54" s="6" t="n">
        <v>273.5</v>
      </c>
      <c r="J54" s="6" t="n">
        <v>0</v>
      </c>
      <c r="K54" s="6" t="n">
        <v>0</v>
      </c>
      <c r="L54" s="6" t="n">
        <v>0</v>
      </c>
      <c r="M54" s="6" t="n">
        <v>0</v>
      </c>
      <c r="N54" s="6" t="n"/>
      <c r="O54" s="6" t="n"/>
      <c r="P54" s="5" t="inlineStr">
        <is>
          <t>D 600 / C 506</t>
        </is>
      </c>
      <c r="Q54" s="5" t="inlineStr">
        <is>
          <t>OK</t>
        </is>
      </c>
      <c r="R54" s="5" t="inlineStr">
        <is>
          <t>Sim - exatamente o XML</t>
        </is>
      </c>
      <c r="S54" s="5" t="inlineStr"/>
      <c r="T54" s="5" t="inlineStr">
        <is>
          <t>41260952680145000184550010000008141610067850</t>
        </is>
      </c>
    </row>
    <row r="55">
      <c r="A55" s="4" t="n">
        <v>46282</v>
      </c>
      <c r="B55" s="5" t="inlineStr">
        <is>
          <t>NFS-e</t>
        </is>
      </c>
      <c r="C55" s="5" t="n">
        <v>72</v>
      </c>
      <c r="D55" s="5" t="inlineStr">
        <is>
          <t>SAVATEC COMERCIO E SERVIÇOS LTDA</t>
        </is>
      </c>
      <c r="E55" s="5" t="inlineStr">
        <is>
          <t>59087034000108</t>
        </is>
      </c>
      <c r="F55" s="5" t="inlineStr">
        <is>
          <t>PR</t>
        </is>
      </c>
      <c r="G55" s="5" t="inlineStr">
        <is>
          <t>Autorizada</t>
        </is>
      </c>
      <c r="H55" s="5" t="inlineStr"/>
      <c r="I55" s="6" t="n">
        <v>1090</v>
      </c>
      <c r="J55" s="6" t="n"/>
      <c r="K55" s="6" t="n"/>
      <c r="L55" s="6" t="n"/>
      <c r="M55" s="6" t="n"/>
      <c r="N55" s="6" t="n">
        <v>21.91</v>
      </c>
      <c r="O55" s="6" t="n">
        <v>0</v>
      </c>
      <c r="P55" s="5" t="inlineStr">
        <is>
          <t>D 362 / C 506</t>
        </is>
      </c>
      <c r="Q55" s="5" t="inlineStr">
        <is>
          <t>OK</t>
        </is>
      </c>
      <c r="R55" s="5" t="inlineStr">
        <is>
          <t>Não - NFS-e não entra no SPED ICMS/IPI</t>
        </is>
      </c>
      <c r="S55" s="5" t="inlineStr"/>
      <c r="T55" s="5" t="inlineStr">
        <is>
          <t>41018041259087034000108000000000007226090000000014</t>
        </is>
      </c>
    </row>
    <row r="56">
      <c r="A56" s="4" t="n">
        <v>46283</v>
      </c>
      <c r="B56" s="5" t="inlineStr">
        <is>
          <t>CT-e</t>
        </is>
      </c>
      <c r="C56" s="5" t="n">
        <v>25709</v>
      </c>
      <c r="D56" s="5" t="inlineStr">
        <is>
          <t>TRANS TOMAZ TRANSPORTES RODOV DE CARGAS EIREL</t>
        </is>
      </c>
      <c r="E56" s="5" t="inlineStr">
        <is>
          <t>03867083000290</t>
        </is>
      </c>
      <c r="F56" s="5" t="inlineStr">
        <is>
          <t>SP-PR</t>
        </is>
      </c>
      <c r="G56" s="5" t="inlineStr">
        <is>
          <t>Autorizado</t>
        </is>
      </c>
      <c r="H56" s="5" t="inlineStr">
        <is>
          <t>6353</t>
        </is>
      </c>
      <c r="I56" s="6" t="n">
        <v>116.03</v>
      </c>
      <c r="J56" s="6" t="n">
        <v>116.03</v>
      </c>
      <c r="K56" s="6" t="n">
        <v>13.92</v>
      </c>
      <c r="L56" s="6" t="n"/>
      <c r="M56" s="6" t="n"/>
      <c r="N56" s="6" t="n"/>
      <c r="O56" s="6" t="n"/>
      <c r="P56" s="5" t="inlineStr">
        <is>
          <t>D 312 / C 506</t>
        </is>
      </c>
      <c r="Q56" s="5" t="inlineStr">
        <is>
          <t>OK</t>
        </is>
      </c>
      <c r="R56" s="5" t="inlineStr">
        <is>
          <t>Sim - exatamente o XML</t>
        </is>
      </c>
      <c r="S56" s="5" t="inlineStr"/>
      <c r="T56" s="5" t="inlineStr">
        <is>
          <t>35260903867083000290570030000257091000483871</t>
        </is>
      </c>
    </row>
    <row r="57">
      <c r="A57" s="13" t="n">
        <v>46283</v>
      </c>
      <c r="B57" s="14" t="inlineStr">
        <is>
          <t>CT-e</t>
        </is>
      </c>
      <c r="C57" s="14" t="n">
        <v>4010194</v>
      </c>
      <c r="D57" s="14" t="inlineStr">
        <is>
          <t>BRASPRESS TRANSPORTES URGENTES LTDA</t>
        </is>
      </c>
      <c r="E57" s="14" t="inlineStr">
        <is>
          <t>48740351000327</t>
        </is>
      </c>
      <c r="F57" s="14" t="inlineStr">
        <is>
          <t>PR-BA</t>
        </is>
      </c>
      <c r="G57" s="14" t="inlineStr">
        <is>
          <t>Autorizado</t>
        </is>
      </c>
      <c r="H57" s="14" t="inlineStr">
        <is>
          <t>6352</t>
        </is>
      </c>
      <c r="I57" s="15" t="n">
        <v>507.65</v>
      </c>
      <c r="J57" s="15" t="n">
        <v>499.43</v>
      </c>
      <c r="K57" s="15" t="n">
        <v>34.96</v>
      </c>
      <c r="L57" s="15" t="n"/>
      <c r="M57" s="15" t="n"/>
      <c r="N57" s="15" t="n"/>
      <c r="O57" s="15" t="n"/>
      <c r="P57" s="14" t="inlineStr">
        <is>
          <t>D 312 / C 506</t>
        </is>
      </c>
      <c r="Q57" s="14" t="inlineStr">
        <is>
          <t>Sem XML na pasta (Cosmetici tomadora - pedir o XML)</t>
        </is>
      </c>
      <c r="R57" s="14" t="inlineStr">
        <is>
          <t>NÃO - sem XML na pasta (pedir o XML)</t>
        </is>
      </c>
      <c r="S57" s="14" t="inlineStr">
        <is>
          <t>XML não está na pasta - dados do relatório SIEG</t>
        </is>
      </c>
      <c r="T57" s="14" t="inlineStr">
        <is>
          <t>41260948740351000327570000040101941868875491</t>
        </is>
      </c>
    </row>
    <row r="58">
      <c r="A58" s="4" t="n">
        <v>46283</v>
      </c>
      <c r="B58" s="5" t="inlineStr">
        <is>
          <t>NF-e</t>
        </is>
      </c>
      <c r="C58" s="5" t="n">
        <v>17187</v>
      </c>
      <c r="D58" s="5" t="inlineStr">
        <is>
          <t>ONIXSUL COSMETICOS</t>
        </is>
      </c>
      <c r="E58" s="5" t="inlineStr">
        <is>
          <t>18074269000188</t>
        </is>
      </c>
      <c r="F58" s="5" t="inlineStr">
        <is>
          <t>PR</t>
        </is>
      </c>
      <c r="G58" s="5" t="inlineStr">
        <is>
          <t>Autorizada</t>
        </is>
      </c>
      <c r="H58" s="5" t="inlineStr">
        <is>
          <t>5901</t>
        </is>
      </c>
      <c r="I58" s="6" t="n">
        <v>5700</v>
      </c>
      <c r="J58" s="6" t="n">
        <v>0</v>
      </c>
      <c r="K58" s="6" t="n">
        <v>0</v>
      </c>
      <c r="L58" s="6" t="n">
        <v>0</v>
      </c>
      <c r="M58" s="6" t="n">
        <v>0</v>
      </c>
      <c r="N58" s="6" t="n"/>
      <c r="O58" s="6" t="n"/>
      <c r="P58" s="5" t="inlineStr">
        <is>
          <t>D 614 / C 607</t>
        </is>
      </c>
      <c r="Q58" s="5" t="inlineStr">
        <is>
          <t>OK</t>
        </is>
      </c>
      <c r="R58" s="5" t="inlineStr">
        <is>
          <t>Sim - exatamente o XML</t>
        </is>
      </c>
      <c r="S58" s="5" t="inlineStr"/>
      <c r="T58" s="5" t="inlineStr">
        <is>
          <t>41260918074269000188550010000171871932036922</t>
        </is>
      </c>
    </row>
    <row r="59">
      <c r="A59" s="4" t="n">
        <v>46283</v>
      </c>
      <c r="B59" s="5" t="inlineStr">
        <is>
          <t>NF-e</t>
        </is>
      </c>
      <c r="C59" s="5" t="n">
        <v>3214</v>
      </c>
      <c r="D59" s="5" t="inlineStr">
        <is>
          <t>Sul Tape Comercio de Embalagens EIRELI</t>
        </is>
      </c>
      <c r="E59" s="5" t="inlineStr">
        <is>
          <t>25141658000144</t>
        </is>
      </c>
      <c r="F59" s="5" t="inlineStr">
        <is>
          <t>PR</t>
        </is>
      </c>
      <c r="G59" s="5" t="inlineStr">
        <is>
          <t>Autorizada</t>
        </is>
      </c>
      <c r="H59" s="5" t="inlineStr">
        <is>
          <t>5102</t>
        </is>
      </c>
      <c r="I59" s="6" t="n">
        <v>1140</v>
      </c>
      <c r="J59" s="6" t="n">
        <v>0</v>
      </c>
      <c r="K59" s="6" t="n">
        <v>0</v>
      </c>
      <c r="L59" s="6" t="n">
        <v>0</v>
      </c>
      <c r="M59" s="6" t="n">
        <v>0</v>
      </c>
      <c r="N59" s="6" t="n"/>
      <c r="O59" s="6" t="n"/>
      <c r="P59" s="5" t="inlineStr">
        <is>
          <t>D 513 / C 506</t>
        </is>
      </c>
      <c r="Q59" s="5" t="inlineStr">
        <is>
          <t>OK</t>
        </is>
      </c>
      <c r="R59" s="5" t="inlineStr">
        <is>
          <t>Sim - uso e consumo: bases zeradas</t>
        </is>
      </c>
      <c r="S59" s="5" t="inlineStr"/>
      <c r="T59" s="5" t="inlineStr">
        <is>
          <t>41260925141658000144550020000032141236266620</t>
        </is>
      </c>
    </row>
    <row r="60">
      <c r="A60" s="4" t="n">
        <v>46285</v>
      </c>
      <c r="B60" s="5" t="inlineStr">
        <is>
          <t>NFS-e</t>
        </is>
      </c>
      <c r="C60" s="5" t="n">
        <v>173228</v>
      </c>
      <c r="D60" s="5" t="inlineStr">
        <is>
          <t>TECNOPONTO TECNOLOGIA AVANCADA EM CONTROLE DE PONTO E ACESSO LTDA</t>
        </is>
      </c>
      <c r="E60" s="5" t="inlineStr">
        <is>
          <t>77800407000128</t>
        </is>
      </c>
      <c r="F60" s="5" t="inlineStr">
        <is>
          <t>PR</t>
        </is>
      </c>
      <c r="G60" s="5" t="inlineStr">
        <is>
          <t>Autorizada</t>
        </is>
      </c>
      <c r="H60" s="5" t="inlineStr"/>
      <c r="I60" s="6" t="n">
        <v>74.90000000000001</v>
      </c>
      <c r="J60" s="6" t="n"/>
      <c r="K60" s="6" t="n"/>
      <c r="L60" s="6" t="n"/>
      <c r="M60" s="6" t="n"/>
      <c r="N60" s="6" t="n">
        <v>1.5</v>
      </c>
      <c r="O60" s="6" t="n">
        <v>0</v>
      </c>
      <c r="P60" s="5" t="inlineStr">
        <is>
          <t>D 640 / C 506</t>
        </is>
      </c>
      <c r="Q60" s="5" t="inlineStr">
        <is>
          <t>OK</t>
        </is>
      </c>
      <c r="R60" s="5" t="inlineStr">
        <is>
          <t>Não - NFS-e não entra no SPED ICMS/IPI</t>
        </is>
      </c>
      <c r="S60" s="5" t="inlineStr"/>
      <c r="T60" s="5" t="inlineStr">
        <is>
          <t>41069022277800407000128000000017322826095713648820</t>
        </is>
      </c>
    </row>
    <row r="61">
      <c r="A61" s="13" t="n">
        <v>46286</v>
      </c>
      <c r="B61" s="14" t="inlineStr">
        <is>
          <t>CT-e</t>
        </is>
      </c>
      <c r="C61" s="14" t="n">
        <v>2079447</v>
      </c>
      <c r="D61" s="14" t="inlineStr">
        <is>
          <t>CURITIBA - EXPRESSO SAO MIGUEL S/A</t>
        </is>
      </c>
      <c r="E61" s="14" t="inlineStr">
        <is>
          <t>00428307002301</t>
        </is>
      </c>
      <c r="F61" s="14" t="inlineStr">
        <is>
          <t>PR-SC</t>
        </is>
      </c>
      <c r="G61" s="14" t="inlineStr">
        <is>
          <t>Autorizado</t>
        </is>
      </c>
      <c r="H61" s="14" t="inlineStr">
        <is>
          <t>6352</t>
        </is>
      </c>
      <c r="I61" s="15" t="n">
        <v>81.81999999999999</v>
      </c>
      <c r="J61" s="15" t="n">
        <v>78.03</v>
      </c>
      <c r="K61" s="15" t="n">
        <v>9.359999999999999</v>
      </c>
      <c r="L61" s="15" t="n"/>
      <c r="M61" s="15" t="n"/>
      <c r="N61" s="15" t="n"/>
      <c r="O61" s="15" t="n"/>
      <c r="P61" s="14" t="inlineStr">
        <is>
          <t>D 312 / C 506</t>
        </is>
      </c>
      <c r="Q61" s="14" t="inlineStr">
        <is>
          <t>Sem XML na pasta (Cosmetici tomadora - pedir o XML)</t>
        </is>
      </c>
      <c r="R61" s="14" t="inlineStr">
        <is>
          <t>NÃO - sem XML na pasta (pedir o XML)</t>
        </is>
      </c>
      <c r="S61" s="14" t="inlineStr">
        <is>
          <t>XML não está na pasta - dados do relatório SIEG</t>
        </is>
      </c>
      <c r="T61" s="14" t="inlineStr">
        <is>
          <t>41260900428307002301570010020794471020794476</t>
        </is>
      </c>
    </row>
    <row r="62">
      <c r="A62" s="13" t="n">
        <v>46286</v>
      </c>
      <c r="B62" s="14" t="inlineStr">
        <is>
          <t>CT-e</t>
        </is>
      </c>
      <c r="C62" s="14" t="n">
        <v>2081291</v>
      </c>
      <c r="D62" s="14" t="inlineStr">
        <is>
          <t>CURITIBA - EXPRESSO SAO MIGUEL S/A</t>
        </is>
      </c>
      <c r="E62" s="14" t="inlineStr">
        <is>
          <t>00428307002301</t>
        </is>
      </c>
      <c r="F62" s="14" t="inlineStr">
        <is>
          <t>PR-RS</t>
        </is>
      </c>
      <c r="G62" s="14" t="inlineStr">
        <is>
          <t>Autorizado</t>
        </is>
      </c>
      <c r="H62" s="14" t="inlineStr">
        <is>
          <t>6352</t>
        </is>
      </c>
      <c r="I62" s="15" t="n">
        <v>115.56</v>
      </c>
      <c r="J62" s="15" t="n">
        <v>111.77</v>
      </c>
      <c r="K62" s="15" t="n">
        <v>13.41</v>
      </c>
      <c r="L62" s="15" t="n"/>
      <c r="M62" s="15" t="n"/>
      <c r="N62" s="15" t="n"/>
      <c r="O62" s="15" t="n"/>
      <c r="P62" s="14" t="inlineStr">
        <is>
          <t>D 312 / C 506</t>
        </is>
      </c>
      <c r="Q62" s="14" t="inlineStr">
        <is>
          <t>Sem XML na pasta (Cosmetici tomadora - pedir o XML)</t>
        </is>
      </c>
      <c r="R62" s="14" t="inlineStr">
        <is>
          <t>NÃO - sem XML na pasta (pedir o XML)</t>
        </is>
      </c>
      <c r="S62" s="14" t="inlineStr">
        <is>
          <t>XML não está na pasta - dados do relatório SIEG</t>
        </is>
      </c>
      <c r="T62" s="14" t="inlineStr">
        <is>
          <t>41260900428307002301570010020812911020812916</t>
        </is>
      </c>
    </row>
    <row r="63">
      <c r="A63" s="13" t="n">
        <v>46286</v>
      </c>
      <c r="B63" s="14" t="inlineStr">
        <is>
          <t>CT-e</t>
        </is>
      </c>
      <c r="C63" s="14" t="n">
        <v>2081292</v>
      </c>
      <c r="D63" s="14" t="inlineStr">
        <is>
          <t>CURITIBA - EXPRESSO SAO MIGUEL S/A</t>
        </is>
      </c>
      <c r="E63" s="14" t="inlineStr">
        <is>
          <t>00428307002301</t>
        </is>
      </c>
      <c r="F63" s="14" t="inlineStr">
        <is>
          <t>PR-RS</t>
        </is>
      </c>
      <c r="G63" s="14" t="inlineStr">
        <is>
          <t>Autorizado</t>
        </is>
      </c>
      <c r="H63" s="14" t="inlineStr">
        <is>
          <t>6352</t>
        </is>
      </c>
      <c r="I63" s="15" t="n">
        <v>138.62</v>
      </c>
      <c r="J63" s="15" t="n">
        <v>134.83</v>
      </c>
      <c r="K63" s="15" t="n">
        <v>16.18</v>
      </c>
      <c r="L63" s="15" t="n"/>
      <c r="M63" s="15" t="n"/>
      <c r="N63" s="15" t="n"/>
      <c r="O63" s="15" t="n"/>
      <c r="P63" s="14" t="inlineStr">
        <is>
          <t>D 312 / C 506</t>
        </is>
      </c>
      <c r="Q63" s="14" t="inlineStr">
        <is>
          <t>Sem XML na pasta (Cosmetici tomadora - pedir o XML)</t>
        </is>
      </c>
      <c r="R63" s="14" t="inlineStr">
        <is>
          <t>NÃO - sem XML na pasta (pedir o XML)</t>
        </is>
      </c>
      <c r="S63" s="14" t="inlineStr">
        <is>
          <t>XML não está na pasta - dados do relatório SIEG</t>
        </is>
      </c>
      <c r="T63" s="14" t="inlineStr">
        <is>
          <t>41260900428307002301570010020812921020812921</t>
        </is>
      </c>
    </row>
    <row r="64">
      <c r="A64" s="13" t="n">
        <v>46286</v>
      </c>
      <c r="B64" s="14" t="inlineStr">
        <is>
          <t>CT-e</t>
        </is>
      </c>
      <c r="C64" s="14" t="n">
        <v>4011462</v>
      </c>
      <c r="D64" s="14" t="inlineStr">
        <is>
          <t>BRASPRESS TRANSPORTES URGENTES LTDA</t>
        </is>
      </c>
      <c r="E64" s="14" t="inlineStr">
        <is>
          <t>48740351000327</t>
        </is>
      </c>
      <c r="F64" s="14" t="inlineStr">
        <is>
          <t>PR-CE</t>
        </is>
      </c>
      <c r="G64" s="14" t="inlineStr">
        <is>
          <t>Autorizado</t>
        </is>
      </c>
      <c r="H64" s="14" t="inlineStr">
        <is>
          <t>6352</t>
        </is>
      </c>
      <c r="I64" s="15" t="n">
        <v>280.52</v>
      </c>
      <c r="J64" s="15" t="n">
        <v>276.41</v>
      </c>
      <c r="K64" s="15" t="n">
        <v>19.35</v>
      </c>
      <c r="L64" s="15" t="n"/>
      <c r="M64" s="15" t="n"/>
      <c r="N64" s="15" t="n"/>
      <c r="O64" s="15" t="n"/>
      <c r="P64" s="14" t="inlineStr">
        <is>
          <t>D 312 / C 506</t>
        </is>
      </c>
      <c r="Q64" s="14" t="inlineStr">
        <is>
          <t>Sem XML na pasta (Cosmetici tomadora - pedir o XML)</t>
        </is>
      </c>
      <c r="R64" s="14" t="inlineStr">
        <is>
          <t>NÃO - sem XML na pasta (pedir o XML)</t>
        </is>
      </c>
      <c r="S64" s="14" t="inlineStr">
        <is>
          <t>XML não está na pasta - dados do relatório SIEG</t>
        </is>
      </c>
      <c r="T64" s="14" t="inlineStr">
        <is>
          <t>41260948740351000327570000040114621516701249</t>
        </is>
      </c>
    </row>
    <row r="65">
      <c r="A65" s="4" t="n">
        <v>46286</v>
      </c>
      <c r="B65" s="5" t="inlineStr">
        <is>
          <t>NF-e</t>
        </is>
      </c>
      <c r="C65" s="5" t="n">
        <v>117690</v>
      </c>
      <c r="D65" s="5" t="inlineStr">
        <is>
          <t>BISPHARMA EMBALAGENS LTDA</t>
        </is>
      </c>
      <c r="E65" s="5" t="inlineStr">
        <is>
          <t>59610485000188</t>
        </is>
      </c>
      <c r="F65" s="5" t="inlineStr">
        <is>
          <t>SP</t>
        </is>
      </c>
      <c r="G65" s="5" t="inlineStr">
        <is>
          <t>Autorizada</t>
        </is>
      </c>
      <c r="H65" s="5" t="inlineStr">
        <is>
          <t>6101</t>
        </is>
      </c>
      <c r="I65" s="6" t="n">
        <v>26515.5</v>
      </c>
      <c r="J65" s="6" t="n">
        <v>24897.18</v>
      </c>
      <c r="K65" s="6" t="n">
        <v>2987.66</v>
      </c>
      <c r="L65" s="6" t="n">
        <v>0</v>
      </c>
      <c r="M65" s="6" t="n">
        <v>1618.32</v>
      </c>
      <c r="N65" s="6" t="n"/>
      <c r="O65" s="6" t="n"/>
      <c r="P65" s="5" t="inlineStr">
        <is>
          <t>D 56 / C 506 (conferir)</t>
        </is>
      </c>
      <c r="Q65" s="5" t="inlineStr">
        <is>
          <t>OK</t>
        </is>
      </c>
      <c r="R65" s="5" t="inlineStr">
        <is>
          <t>Sim - exatamente o XML</t>
        </is>
      </c>
      <c r="S65" s="5" t="inlineStr"/>
      <c r="T65" s="5" t="inlineStr">
        <is>
          <t>35260959610485000188550050001176901971337303</t>
        </is>
      </c>
    </row>
    <row r="66">
      <c r="A66" s="4" t="n">
        <v>46286</v>
      </c>
      <c r="B66" s="5" t="inlineStr">
        <is>
          <t>NF-e</t>
        </is>
      </c>
      <c r="C66" s="5" t="n">
        <v>4551</v>
      </c>
      <c r="D66" s="5" t="inlineStr">
        <is>
          <t>BB COSMETICOS LTDA</t>
        </is>
      </c>
      <c r="E66" s="5" t="inlineStr">
        <is>
          <t>21822008000103</t>
        </is>
      </c>
      <c r="F66" s="5" t="inlineStr">
        <is>
          <t>PR</t>
        </is>
      </c>
      <c r="G66" s="5" t="inlineStr">
        <is>
          <t>Autorizada</t>
        </is>
      </c>
      <c r="H66" s="5" t="inlineStr">
        <is>
          <t>5901</t>
        </is>
      </c>
      <c r="I66" s="6" t="n">
        <v>65</v>
      </c>
      <c r="J66" s="6" t="n">
        <v>0</v>
      </c>
      <c r="K66" s="6" t="n">
        <v>0</v>
      </c>
      <c r="L66" s="6" t="n">
        <v>0</v>
      </c>
      <c r="M66" s="6" t="n">
        <v>0</v>
      </c>
      <c r="N66" s="6" t="n"/>
      <c r="O66" s="6" t="n"/>
      <c r="P66" s="5" t="inlineStr">
        <is>
          <t>D 614 / C 607</t>
        </is>
      </c>
      <c r="Q66" s="5" t="inlineStr">
        <is>
          <t>OK</t>
        </is>
      </c>
      <c r="R66" s="5" t="inlineStr">
        <is>
          <t>Sim - exatamente o XML</t>
        </is>
      </c>
      <c r="S66" s="5" t="inlineStr"/>
      <c r="T66" s="5" t="inlineStr">
        <is>
          <t>41260921822008000103550020000045511028307079</t>
        </is>
      </c>
    </row>
    <row r="67">
      <c r="A67" s="4" t="n">
        <v>46286</v>
      </c>
      <c r="B67" s="5" t="inlineStr">
        <is>
          <t>NF-e</t>
        </is>
      </c>
      <c r="C67" s="5" t="n">
        <v>5233</v>
      </c>
      <c r="D67" s="5" t="inlineStr">
        <is>
          <t>JOSE DOMINGOS LINARES LTDA</t>
        </is>
      </c>
      <c r="E67" s="5" t="inlineStr">
        <is>
          <t>03839251000152</t>
        </is>
      </c>
      <c r="F67" s="5" t="inlineStr">
        <is>
          <t>PR</t>
        </is>
      </c>
      <c r="G67" s="5" t="inlineStr">
        <is>
          <t>Autorizada</t>
        </is>
      </c>
      <c r="H67" s="5" t="inlineStr">
        <is>
          <t>5924</t>
        </is>
      </c>
      <c r="I67" s="6" t="n">
        <v>2420.01</v>
      </c>
      <c r="J67" s="6" t="n">
        <v>0</v>
      </c>
      <c r="K67" s="6" t="n">
        <v>0</v>
      </c>
      <c r="L67" s="6" t="n">
        <v>0</v>
      </c>
      <c r="M67" s="6" t="n">
        <v>0</v>
      </c>
      <c r="N67" s="6" t="n"/>
      <c r="O67" s="6" t="n"/>
      <c r="P67" s="5" t="inlineStr">
        <is>
          <t>D 608 / C 609</t>
        </is>
      </c>
      <c r="Q67" s="5" t="inlineStr">
        <is>
          <t>OK</t>
        </is>
      </c>
      <c r="R67" s="5" t="inlineStr">
        <is>
          <t>Sim - exatamente o XML</t>
        </is>
      </c>
      <c r="S67" s="5" t="inlineStr"/>
      <c r="T67" s="5" t="inlineStr">
        <is>
          <t>41260903839251000152550030000052331135756040</t>
        </is>
      </c>
    </row>
    <row r="68">
      <c r="A68" s="4" t="n">
        <v>46286</v>
      </c>
      <c r="B68" s="5" t="inlineStr">
        <is>
          <t>NF-e</t>
        </is>
      </c>
      <c r="C68" s="5" t="n">
        <v>5235</v>
      </c>
      <c r="D68" s="5" t="inlineStr">
        <is>
          <t>JOSE DOMINGOS LINARES LTDA</t>
        </is>
      </c>
      <c r="E68" s="5" t="inlineStr">
        <is>
          <t>03839251000152</t>
        </is>
      </c>
      <c r="F68" s="5" t="inlineStr">
        <is>
          <t>PR</t>
        </is>
      </c>
      <c r="G68" s="5" t="inlineStr">
        <is>
          <t>Autorizada</t>
        </is>
      </c>
      <c r="H68" s="5" t="inlineStr">
        <is>
          <t>5924</t>
        </is>
      </c>
      <c r="I68" s="6" t="n">
        <v>1760</v>
      </c>
      <c r="J68" s="6" t="n">
        <v>0</v>
      </c>
      <c r="K68" s="6" t="n">
        <v>0</v>
      </c>
      <c r="L68" s="6" t="n">
        <v>0</v>
      </c>
      <c r="M68" s="6" t="n">
        <v>0</v>
      </c>
      <c r="N68" s="6" t="n"/>
      <c r="O68" s="6" t="n"/>
      <c r="P68" s="5" t="inlineStr">
        <is>
          <t>D 608 / C 609</t>
        </is>
      </c>
      <c r="Q68" s="5" t="inlineStr">
        <is>
          <t>OK</t>
        </is>
      </c>
      <c r="R68" s="5" t="inlineStr">
        <is>
          <t>Sim - exatamente o XML</t>
        </is>
      </c>
      <c r="S68" s="5" t="inlineStr"/>
      <c r="T68" s="5" t="inlineStr">
        <is>
          <t>41260903839251000152550030000052351191452986</t>
        </is>
      </c>
    </row>
    <row r="69">
      <c r="A69" s="4" t="n">
        <v>46286</v>
      </c>
      <c r="B69" s="5" t="inlineStr">
        <is>
          <t>NF-e</t>
        </is>
      </c>
      <c r="C69" s="5" t="n">
        <v>55874</v>
      </c>
      <c r="D69" s="5" t="inlineStr">
        <is>
          <t>Mix Perfumaria</t>
        </is>
      </c>
      <c r="E69" s="5" t="inlineStr">
        <is>
          <t>06237330000181</t>
        </is>
      </c>
      <c r="F69" s="5" t="inlineStr">
        <is>
          <t>PR</t>
        </is>
      </c>
      <c r="G69" s="5" t="inlineStr">
        <is>
          <t>Autorizada</t>
        </is>
      </c>
      <c r="H69" s="5" t="inlineStr">
        <is>
          <t>5901</t>
        </is>
      </c>
      <c r="I69" s="6" t="n">
        <v>600</v>
      </c>
      <c r="J69" s="6" t="n">
        <v>0</v>
      </c>
      <c r="K69" s="6" t="n">
        <v>0</v>
      </c>
      <c r="L69" s="6" t="n">
        <v>0</v>
      </c>
      <c r="M69" s="6" t="n">
        <v>0</v>
      </c>
      <c r="N69" s="6" t="n"/>
      <c r="O69" s="6" t="n"/>
      <c r="P69" s="5" t="inlineStr">
        <is>
          <t>D 614 / C 607</t>
        </is>
      </c>
      <c r="Q69" s="5" t="inlineStr">
        <is>
          <t>OK</t>
        </is>
      </c>
      <c r="R69" s="5" t="inlineStr">
        <is>
          <t>Sim - exatamente o XML</t>
        </is>
      </c>
      <c r="S69" s="5" t="inlineStr"/>
      <c r="T69" s="5" t="inlineStr">
        <is>
          <t>41260906237330000181550010000558741118273450</t>
        </is>
      </c>
    </row>
    <row r="70">
      <c r="A70" s="4" t="n">
        <v>46287</v>
      </c>
      <c r="B70" s="5" t="inlineStr">
        <is>
          <t>CT-e</t>
        </is>
      </c>
      <c r="C70" s="5" t="n">
        <v>25910</v>
      </c>
      <c r="D70" s="5" t="inlineStr">
        <is>
          <t>TRANS TOMAZ TRANSPORTES RODOV DE CARGAS EIREL</t>
        </is>
      </c>
      <c r="E70" s="5" t="inlineStr">
        <is>
          <t>03867083000290</t>
        </is>
      </c>
      <c r="F70" s="5" t="inlineStr">
        <is>
          <t>SP-PR</t>
        </is>
      </c>
      <c r="G70" s="5" t="inlineStr">
        <is>
          <t>Autorizado</t>
        </is>
      </c>
      <c r="H70" s="5" t="inlineStr">
        <is>
          <t>6353</t>
        </is>
      </c>
      <c r="I70" s="6" t="n">
        <v>812.3</v>
      </c>
      <c r="J70" s="6" t="n">
        <v>812.3</v>
      </c>
      <c r="K70" s="6" t="n">
        <v>97.48</v>
      </c>
      <c r="L70" s="6" t="n"/>
      <c r="M70" s="6" t="n"/>
      <c r="N70" s="6" t="n"/>
      <c r="O70" s="6" t="n"/>
      <c r="P70" s="5" t="inlineStr">
        <is>
          <t>D 312 / C 506</t>
        </is>
      </c>
      <c r="Q70" s="5" t="inlineStr">
        <is>
          <t>OK</t>
        </is>
      </c>
      <c r="R70" s="5" t="inlineStr">
        <is>
          <t>Sim - exatamente o XML</t>
        </is>
      </c>
      <c r="S70" s="5" t="inlineStr"/>
      <c r="T70" s="5" t="inlineStr">
        <is>
          <t>35260903867083000290570030000259101000487488</t>
        </is>
      </c>
    </row>
    <row r="71">
      <c r="A71" s="4" t="n">
        <v>46287</v>
      </c>
      <c r="B71" s="5" t="inlineStr">
        <is>
          <t>NF-e</t>
        </is>
      </c>
      <c r="C71" s="5" t="n">
        <v>275966</v>
      </c>
      <c r="D71" s="5" t="inlineStr">
        <is>
          <t>MCASSAB COMERCIO E INDUSTRIA LTDA</t>
        </is>
      </c>
      <c r="E71" s="5" t="inlineStr">
        <is>
          <t>49698723003110</t>
        </is>
      </c>
      <c r="F71" s="5" t="inlineStr">
        <is>
          <t>SP</t>
        </is>
      </c>
      <c r="G71" s="5" t="inlineStr">
        <is>
          <t>Autorizada</t>
        </is>
      </c>
      <c r="H71" s="5" t="inlineStr">
        <is>
          <t>6102</t>
        </is>
      </c>
      <c r="I71" s="6" t="n">
        <v>3873.74</v>
      </c>
      <c r="J71" s="6" t="n">
        <v>3873.74</v>
      </c>
      <c r="K71" s="6" t="n">
        <v>154.95</v>
      </c>
      <c r="L71" s="6" t="n">
        <v>0</v>
      </c>
      <c r="M71" s="6" t="n">
        <v>0</v>
      </c>
      <c r="N71" s="6" t="n"/>
      <c r="O71" s="6" t="n"/>
      <c r="P71" s="5" t="inlineStr">
        <is>
          <t>D 56 / C 506</t>
        </is>
      </c>
      <c r="Q71" s="5" t="inlineStr">
        <is>
          <t>OK</t>
        </is>
      </c>
      <c r="R71" s="5" t="inlineStr">
        <is>
          <t>Sim - exatamente o XML</t>
        </is>
      </c>
      <c r="S71" s="5" t="inlineStr"/>
      <c r="T71" s="5" t="inlineStr">
        <is>
          <t>35260949698723003110550550002759661838341135</t>
        </is>
      </c>
    </row>
    <row r="72">
      <c r="A72" s="4" t="n">
        <v>46287</v>
      </c>
      <c r="B72" s="5" t="inlineStr">
        <is>
          <t>NFS-e</t>
        </is>
      </c>
      <c r="C72" s="5" t="n">
        <v>243079</v>
      </c>
      <c r="D72" s="5" t="inlineStr">
        <is>
          <t>NEXTAR TECNOLOGIA DE SOFTWARE LTDA</t>
        </is>
      </c>
      <c r="E72" s="5" t="inlineStr">
        <is>
          <t>04580911000196</t>
        </is>
      </c>
      <c r="F72" s="5" t="inlineStr">
        <is>
          <t>SC</t>
        </is>
      </c>
      <c r="G72" s="5" t="inlineStr">
        <is>
          <t>Autorizada</t>
        </is>
      </c>
      <c r="H72" s="5" t="inlineStr"/>
      <c r="I72" s="6" t="n">
        <v>119</v>
      </c>
      <c r="J72" s="6" t="n"/>
      <c r="K72" s="6" t="n"/>
      <c r="L72" s="6" t="n"/>
      <c r="M72" s="6" t="n"/>
      <c r="N72" s="6" t="n">
        <v>2.38</v>
      </c>
      <c r="O72" s="6" t="n">
        <v>0</v>
      </c>
      <c r="P72" s="5" t="inlineStr">
        <is>
          <t>D 364 / C 506</t>
        </is>
      </c>
      <c r="Q72" s="5" t="inlineStr">
        <is>
          <t>OK</t>
        </is>
      </c>
      <c r="R72" s="5" t="inlineStr">
        <is>
          <t>Não - NFS-e não entra no SPED ICMS/IPI</t>
        </is>
      </c>
      <c r="S72" s="5" t="inlineStr"/>
      <c r="T72" s="5" t="inlineStr">
        <is>
          <t>42054072204580911000196000000024307926097939111579</t>
        </is>
      </c>
    </row>
    <row r="73">
      <c r="A73" s="4" t="n">
        <v>46287</v>
      </c>
      <c r="B73" s="5" t="inlineStr">
        <is>
          <t>NFS-e</t>
        </is>
      </c>
      <c r="C73" s="5" t="n">
        <v>9227</v>
      </c>
      <c r="D73" s="5" t="inlineStr">
        <is>
          <t>PLUS SANTE EMERGENCIAS MEDICAS S.A.</t>
        </is>
      </c>
      <c r="E73" s="5" t="inlineStr">
        <is>
          <t>04523560000181</t>
        </is>
      </c>
      <c r="F73" s="5" t="inlineStr">
        <is>
          <t>PR</t>
        </is>
      </c>
      <c r="G73" s="5" t="inlineStr">
        <is>
          <t>Autorizada</t>
        </is>
      </c>
      <c r="H73" s="5" t="inlineStr"/>
      <c r="I73" s="6" t="n">
        <v>342.3</v>
      </c>
      <c r="J73" s="6" t="n"/>
      <c r="K73" s="6" t="n"/>
      <c r="L73" s="6" t="n"/>
      <c r="M73" s="6" t="n"/>
      <c r="N73" s="6" t="n">
        <v>17.12</v>
      </c>
      <c r="O73" s="6" t="n">
        <v>0</v>
      </c>
      <c r="P73" s="5" t="inlineStr">
        <is>
          <t>D 576 / C 506</t>
        </is>
      </c>
      <c r="Q73" s="5" t="inlineStr">
        <is>
          <t>OK</t>
        </is>
      </c>
      <c r="R73" s="5" t="inlineStr">
        <is>
          <t>Não - NFS-e não entra no SPED ICMS/IPI</t>
        </is>
      </c>
      <c r="S73" s="5" t="inlineStr"/>
      <c r="T73" s="5" t="inlineStr">
        <is>
          <t>41069022204523560000181000000000922726091381915688</t>
        </is>
      </c>
    </row>
    <row r="74">
      <c r="A74" s="13" t="n">
        <v>46288</v>
      </c>
      <c r="B74" s="14" t="inlineStr">
        <is>
          <t>CT-e</t>
        </is>
      </c>
      <c r="C74" s="14" t="n">
        <v>4014896</v>
      </c>
      <c r="D74" s="14" t="inlineStr">
        <is>
          <t>BRASPRESS TRANSPORTES URGENTES LTDA</t>
        </is>
      </c>
      <c r="E74" s="14" t="inlineStr">
        <is>
          <t>48740351000327</t>
        </is>
      </c>
      <c r="F74" s="14" t="inlineStr">
        <is>
          <t>PR-RJ</t>
        </is>
      </c>
      <c r="G74" s="14" t="inlineStr">
        <is>
          <t>Autorizado</t>
        </is>
      </c>
      <c r="H74" s="14" t="inlineStr">
        <is>
          <t>6352</t>
        </is>
      </c>
      <c r="I74" s="15" t="n">
        <v>240.43</v>
      </c>
      <c r="J74" s="15" t="n">
        <v>236.32</v>
      </c>
      <c r="K74" s="15" t="n">
        <v>28.36</v>
      </c>
      <c r="L74" s="15" t="n"/>
      <c r="M74" s="15" t="n"/>
      <c r="N74" s="15" t="n"/>
      <c r="O74" s="15" t="n"/>
      <c r="P74" s="14" t="inlineStr">
        <is>
          <t>D 312 / C 506</t>
        </is>
      </c>
      <c r="Q74" s="14" t="inlineStr">
        <is>
          <t>Sem XML na pasta (Cosmetici tomadora - pedir o XML)</t>
        </is>
      </c>
      <c r="R74" s="14" t="inlineStr">
        <is>
          <t>NÃO - sem XML na pasta (pedir o XML)</t>
        </is>
      </c>
      <c r="S74" s="14" t="inlineStr">
        <is>
          <t>XML não está na pasta - dados do relatório SIEG</t>
        </is>
      </c>
      <c r="T74" s="14" t="inlineStr">
        <is>
          <t>41260948740351000327570000040148961341484558</t>
        </is>
      </c>
    </row>
    <row r="75">
      <c r="A75" s="4" t="n">
        <v>46288</v>
      </c>
      <c r="B75" s="5" t="inlineStr">
        <is>
          <t>NF-e</t>
        </is>
      </c>
      <c r="C75" s="5" t="n">
        <v>141811</v>
      </c>
      <c r="D75" s="5" t="inlineStr">
        <is>
          <t>SCENTEC ESSENCIAS E FRAGRANCIAS LTDA</t>
        </is>
      </c>
      <c r="E75" s="5" t="inlineStr">
        <is>
          <t>62514971000107</t>
        </is>
      </c>
      <c r="F75" s="5" t="inlineStr">
        <is>
          <t>SP</t>
        </is>
      </c>
      <c r="G75" s="5" t="inlineStr">
        <is>
          <t>Autorizada</t>
        </is>
      </c>
      <c r="H75" s="5" t="inlineStr">
        <is>
          <t>6101</t>
        </is>
      </c>
      <c r="I75" s="6" t="n">
        <v>4794.99</v>
      </c>
      <c r="J75" s="6" t="n">
        <v>4644.06</v>
      </c>
      <c r="K75" s="6" t="n">
        <v>557.29</v>
      </c>
      <c r="L75" s="6" t="n">
        <v>0</v>
      </c>
      <c r="M75" s="6" t="n">
        <v>150.93</v>
      </c>
      <c r="N75" s="6" t="n"/>
      <c r="O75" s="6" t="n"/>
      <c r="P75" s="5" t="inlineStr">
        <is>
          <t>D 56 / C 506</t>
        </is>
      </c>
      <c r="Q75" s="5" t="inlineStr">
        <is>
          <t>OK</t>
        </is>
      </c>
      <c r="R75" s="5" t="inlineStr">
        <is>
          <t>Sim - exatamente o XML</t>
        </is>
      </c>
      <c r="S75" s="5" t="inlineStr"/>
      <c r="T75" s="5" t="inlineStr">
        <is>
          <t>35260962514971000107550010001418111026832844</t>
        </is>
      </c>
    </row>
    <row r="76">
      <c r="A76" s="4" t="n">
        <v>46288</v>
      </c>
      <c r="B76" s="5" t="inlineStr">
        <is>
          <t>NF-e</t>
        </is>
      </c>
      <c r="C76" s="5" t="n">
        <v>14838</v>
      </c>
      <c r="D76" s="5" t="inlineStr">
        <is>
          <t>Mix Cosmeticos Ltda</t>
        </is>
      </c>
      <c r="E76" s="5" t="inlineStr">
        <is>
          <t>27697083000176</t>
        </is>
      </c>
      <c r="F76" s="5" t="inlineStr">
        <is>
          <t>MS</t>
        </is>
      </c>
      <c r="G76" s="5" t="inlineStr">
        <is>
          <t>Autorizada</t>
        </is>
      </c>
      <c r="H76" s="5" t="inlineStr">
        <is>
          <t>6901</t>
        </is>
      </c>
      <c r="I76" s="6" t="n">
        <v>948</v>
      </c>
      <c r="J76" s="6" t="n">
        <v>0</v>
      </c>
      <c r="K76" s="6" t="n">
        <v>0</v>
      </c>
      <c r="L76" s="6" t="n">
        <v>0</v>
      </c>
      <c r="M76" s="6" t="n">
        <v>0</v>
      </c>
      <c r="N76" s="6" t="n"/>
      <c r="O76" s="6" t="n"/>
      <c r="P76" s="5" t="inlineStr">
        <is>
          <t>D 614 / C 607</t>
        </is>
      </c>
      <c r="Q76" s="5" t="inlineStr">
        <is>
          <t>OK</t>
        </is>
      </c>
      <c r="R76" s="5" t="inlineStr">
        <is>
          <t>Sim - exatamente o XML</t>
        </is>
      </c>
      <c r="S76" s="5" t="inlineStr"/>
      <c r="T76" s="5" t="inlineStr">
        <is>
          <t>50260927697083000176550010000148381118293998</t>
        </is>
      </c>
    </row>
    <row r="77">
      <c r="A77" s="4" t="n">
        <v>46288</v>
      </c>
      <c r="B77" s="5" t="inlineStr">
        <is>
          <t>NF-e</t>
        </is>
      </c>
      <c r="C77" s="5" t="n">
        <v>48241</v>
      </c>
      <c r="D77" s="5" t="inlineStr">
        <is>
          <t>HS INKLASER LTDA</t>
        </is>
      </c>
      <c r="E77" s="5" t="inlineStr">
        <is>
          <t>18858535000163</t>
        </is>
      </c>
      <c r="F77" s="5" t="inlineStr">
        <is>
          <t>SP</t>
        </is>
      </c>
      <c r="G77" s="5" t="inlineStr">
        <is>
          <t>Autorizada</t>
        </is>
      </c>
      <c r="H77" s="5" t="inlineStr">
        <is>
          <t>6102</t>
        </is>
      </c>
      <c r="I77" s="6" t="n">
        <v>1074.5</v>
      </c>
      <c r="J77" s="6" t="n">
        <v>1042.55</v>
      </c>
      <c r="K77" s="6" t="n">
        <v>125.11</v>
      </c>
      <c r="L77" s="6" t="n">
        <v>0</v>
      </c>
      <c r="M77" s="6" t="n">
        <v>31.95</v>
      </c>
      <c r="N77" s="6" t="n"/>
      <c r="O77" s="6" t="n"/>
      <c r="P77" s="5" t="inlineStr">
        <is>
          <t>D 56 / C 506</t>
        </is>
      </c>
      <c r="Q77" s="5" t="inlineStr">
        <is>
          <t>OK</t>
        </is>
      </c>
      <c r="R77" s="5" t="inlineStr">
        <is>
          <t>Sim - exatamente o XML</t>
        </is>
      </c>
      <c r="S77" s="5" t="inlineStr"/>
      <c r="T77" s="5" t="inlineStr">
        <is>
          <t>35260918858535000163550010000482411465753374</t>
        </is>
      </c>
    </row>
    <row r="78">
      <c r="A78" s="4" t="n">
        <v>46288</v>
      </c>
      <c r="B78" s="5" t="inlineStr">
        <is>
          <t>NF-e</t>
        </is>
      </c>
      <c r="C78" s="5" t="n">
        <v>55913</v>
      </c>
      <c r="D78" s="5" t="inlineStr">
        <is>
          <t>Mix Perfumaria</t>
        </is>
      </c>
      <c r="E78" s="5" t="inlineStr">
        <is>
          <t>06237330000181</t>
        </is>
      </c>
      <c r="F78" s="5" t="inlineStr">
        <is>
          <t>PR</t>
        </is>
      </c>
      <c r="G78" s="5" t="inlineStr">
        <is>
          <t>Autorizada</t>
        </is>
      </c>
      <c r="H78" s="5" t="inlineStr">
        <is>
          <t>5901</t>
        </is>
      </c>
      <c r="I78" s="6" t="n">
        <v>556.5</v>
      </c>
      <c r="J78" s="6" t="n">
        <v>0</v>
      </c>
      <c r="K78" s="6" t="n">
        <v>0</v>
      </c>
      <c r="L78" s="6" t="n">
        <v>0</v>
      </c>
      <c r="M78" s="6" t="n">
        <v>0</v>
      </c>
      <c r="N78" s="6" t="n"/>
      <c r="O78" s="6" t="n"/>
      <c r="P78" s="5" t="inlineStr">
        <is>
          <t>D 614 / C 607</t>
        </is>
      </c>
      <c r="Q78" s="5" t="inlineStr">
        <is>
          <t>OK</t>
        </is>
      </c>
      <c r="R78" s="5" t="inlineStr">
        <is>
          <t>Sim - exatamente o XML</t>
        </is>
      </c>
      <c r="S78" s="5" t="inlineStr"/>
      <c r="T78" s="5" t="inlineStr">
        <is>
          <t>41260906237330000181550010000559131118294105</t>
        </is>
      </c>
    </row>
    <row r="79">
      <c r="A79" s="13" t="n">
        <v>46289</v>
      </c>
      <c r="B79" s="14" t="inlineStr">
        <is>
          <t>CT-e</t>
        </is>
      </c>
      <c r="C79" s="14" t="n">
        <v>17890190</v>
      </c>
      <c r="D79" s="14" t="inlineStr">
        <is>
          <t>TEX COURIER S.A</t>
        </is>
      </c>
      <c r="E79" s="14" t="inlineStr">
        <is>
          <t>73939449002056</t>
        </is>
      </c>
      <c r="F79" s="14" t="inlineStr">
        <is>
          <t>PR-PE</t>
        </is>
      </c>
      <c r="G79" s="14" t="inlineStr">
        <is>
          <t>Autorizado</t>
        </is>
      </c>
      <c r="H79" s="14" t="inlineStr">
        <is>
          <t>6353</t>
        </is>
      </c>
      <c r="I79" s="15" t="n">
        <v>221.5</v>
      </c>
      <c r="J79" s="15" t="n">
        <v>221.5</v>
      </c>
      <c r="K79" s="15" t="n">
        <v>15.51</v>
      </c>
      <c r="L79" s="15" t="n"/>
      <c r="M79" s="15" t="n"/>
      <c r="N79" s="15" t="n"/>
      <c r="O79" s="15" t="n"/>
      <c r="P79" s="14" t="inlineStr">
        <is>
          <t>D 312 / C 506</t>
        </is>
      </c>
      <c r="Q79" s="14" t="inlineStr">
        <is>
          <t>Sem XML na pasta (Cosmetici tomadora - pedir o XML)</t>
        </is>
      </c>
      <c r="R79" s="14" t="inlineStr">
        <is>
          <t>NÃO - sem XML na pasta (pedir o XML)</t>
        </is>
      </c>
      <c r="S79" s="14" t="inlineStr">
        <is>
          <t>XML não está na pasta - dados do relatório SIEG</t>
        </is>
      </c>
      <c r="T79" s="14" t="inlineStr">
        <is>
          <t>41260973939449002056570010178901901579809677</t>
        </is>
      </c>
    </row>
    <row r="80">
      <c r="A80" s="13" t="n">
        <v>46289</v>
      </c>
      <c r="B80" s="14" t="inlineStr">
        <is>
          <t>CT-e</t>
        </is>
      </c>
      <c r="C80" s="14" t="n">
        <v>17890191</v>
      </c>
      <c r="D80" s="14" t="inlineStr">
        <is>
          <t>TEX COURIER S.A</t>
        </is>
      </c>
      <c r="E80" s="14" t="inlineStr">
        <is>
          <t>73939449002056</t>
        </is>
      </c>
      <c r="F80" s="14" t="inlineStr">
        <is>
          <t>PR-SP</t>
        </is>
      </c>
      <c r="G80" s="14" t="inlineStr">
        <is>
          <t>Autorizado</t>
        </is>
      </c>
      <c r="H80" s="14" t="inlineStr">
        <is>
          <t>6353</t>
        </is>
      </c>
      <c r="I80" s="15" t="n">
        <v>47.65</v>
      </c>
      <c r="J80" s="15" t="n">
        <v>47.65</v>
      </c>
      <c r="K80" s="15" t="n">
        <v>5.72</v>
      </c>
      <c r="L80" s="15" t="n"/>
      <c r="M80" s="15" t="n"/>
      <c r="N80" s="15" t="n"/>
      <c r="O80" s="15" t="n"/>
      <c r="P80" s="14" t="inlineStr">
        <is>
          <t>D 312 / C 506</t>
        </is>
      </c>
      <c r="Q80" s="14" t="inlineStr">
        <is>
          <t>Sem XML na pasta (Cosmetici tomadora - pedir o XML)</t>
        </is>
      </c>
      <c r="R80" s="14" t="inlineStr">
        <is>
          <t>NÃO - sem XML na pasta (pedir o XML)</t>
        </is>
      </c>
      <c r="S80" s="14" t="inlineStr">
        <is>
          <t>XML não está na pasta - dados do relatório SIEG</t>
        </is>
      </c>
      <c r="T80" s="14" t="inlineStr">
        <is>
          <t>41260973939449002056570010178901911551237919</t>
        </is>
      </c>
    </row>
    <row r="81">
      <c r="A81" s="13" t="n">
        <v>46289</v>
      </c>
      <c r="B81" s="14" t="inlineStr">
        <is>
          <t>CT-e</t>
        </is>
      </c>
      <c r="C81" s="14" t="n">
        <v>4016484</v>
      </c>
      <c r="D81" s="14" t="inlineStr">
        <is>
          <t>BRASPRESS TRANSPORTES URGENTES LTDA</t>
        </is>
      </c>
      <c r="E81" s="14" t="inlineStr">
        <is>
          <t>48740351000327</t>
        </is>
      </c>
      <c r="F81" s="14" t="inlineStr">
        <is>
          <t>PR-CE</t>
        </is>
      </c>
      <c r="G81" s="14" t="inlineStr">
        <is>
          <t>Autorizado</t>
        </is>
      </c>
      <c r="H81" s="14" t="inlineStr">
        <is>
          <t>6352</t>
        </is>
      </c>
      <c r="I81" s="15" t="n">
        <v>692.92</v>
      </c>
      <c r="J81" s="15" t="n">
        <v>684.7</v>
      </c>
      <c r="K81" s="15" t="n">
        <v>47.93</v>
      </c>
      <c r="L81" s="15" t="n"/>
      <c r="M81" s="15" t="n"/>
      <c r="N81" s="15" t="n"/>
      <c r="O81" s="15" t="n"/>
      <c r="P81" s="14" t="inlineStr">
        <is>
          <t>D 312 / C 506</t>
        </is>
      </c>
      <c r="Q81" s="14" t="inlineStr">
        <is>
          <t>Sem XML na pasta (Cosmetici tomadora - pedir o XML)</t>
        </is>
      </c>
      <c r="R81" s="14" t="inlineStr">
        <is>
          <t>NÃO - sem XML na pasta (pedir o XML)</t>
        </is>
      </c>
      <c r="S81" s="14" t="inlineStr">
        <is>
          <t>XML não está na pasta - dados do relatório SIEG</t>
        </is>
      </c>
      <c r="T81" s="14" t="inlineStr">
        <is>
          <t>41260948740351000327570000040164841595451461</t>
        </is>
      </c>
    </row>
    <row r="82">
      <c r="A82" s="13" t="n">
        <v>46290</v>
      </c>
      <c r="B82" s="14" t="inlineStr">
        <is>
          <t>CT-e</t>
        </is>
      </c>
      <c r="C82" s="14" t="n">
        <v>17896252</v>
      </c>
      <c r="D82" s="14" t="inlineStr">
        <is>
          <t>TEX COURIER S.A</t>
        </is>
      </c>
      <c r="E82" s="14" t="inlineStr">
        <is>
          <t>73939449002056</t>
        </is>
      </c>
      <c r="F82" s="14" t="inlineStr">
        <is>
          <t>PR-SP</t>
        </is>
      </c>
      <c r="G82" s="14" t="inlineStr">
        <is>
          <t>Autorizado</t>
        </is>
      </c>
      <c r="H82" s="14" t="inlineStr">
        <is>
          <t>6353</t>
        </is>
      </c>
      <c r="I82" s="15" t="n">
        <v>38.66</v>
      </c>
      <c r="J82" s="15" t="n">
        <v>38.66</v>
      </c>
      <c r="K82" s="15" t="n">
        <v>4.64</v>
      </c>
      <c r="L82" s="15" t="n"/>
      <c r="M82" s="15" t="n"/>
      <c r="N82" s="15" t="n"/>
      <c r="O82" s="15" t="n"/>
      <c r="P82" s="14" t="inlineStr">
        <is>
          <t>D 312 / C 506</t>
        </is>
      </c>
      <c r="Q82" s="14" t="inlineStr">
        <is>
          <t>Sem XML na pasta (Cosmetici tomadora - pedir o XML)</t>
        </is>
      </c>
      <c r="R82" s="14" t="inlineStr">
        <is>
          <t>NÃO - sem XML na pasta (pedir o XML)</t>
        </is>
      </c>
      <c r="S82" s="14" t="inlineStr">
        <is>
          <t>XML não está na pasta - dados do relatório SIEG</t>
        </is>
      </c>
      <c r="T82" s="14" t="inlineStr">
        <is>
          <t>41260973939449002056570010178962521387579519</t>
        </is>
      </c>
    </row>
    <row r="83">
      <c r="A83" s="13" t="n">
        <v>46290</v>
      </c>
      <c r="B83" s="14" t="inlineStr">
        <is>
          <t>CT-e</t>
        </is>
      </c>
      <c r="C83" s="14" t="n">
        <v>17901568</v>
      </c>
      <c r="D83" s="14" t="inlineStr">
        <is>
          <t>TEX COURIER S.A</t>
        </is>
      </c>
      <c r="E83" s="14" t="inlineStr">
        <is>
          <t>73939449002056</t>
        </is>
      </c>
      <c r="F83" s="14" t="inlineStr">
        <is>
          <t>PR-SC</t>
        </is>
      </c>
      <c r="G83" s="14" t="inlineStr">
        <is>
          <t>Autorizado</t>
        </is>
      </c>
      <c r="H83" s="14" t="inlineStr">
        <is>
          <t>6353</t>
        </is>
      </c>
      <c r="I83" s="15" t="n">
        <v>20.82</v>
      </c>
      <c r="J83" s="15" t="n">
        <v>20.82</v>
      </c>
      <c r="K83" s="15" t="n">
        <v>2.5</v>
      </c>
      <c r="L83" s="15" t="n"/>
      <c r="M83" s="15" t="n"/>
      <c r="N83" s="15" t="n"/>
      <c r="O83" s="15" t="n"/>
      <c r="P83" s="14" t="inlineStr">
        <is>
          <t>D 312 / C 506</t>
        </is>
      </c>
      <c r="Q83" s="14" t="inlineStr">
        <is>
          <t>Sem XML na pasta (Cosmetici tomadora - pedir o XML)</t>
        </is>
      </c>
      <c r="R83" s="14" t="inlineStr">
        <is>
          <t>NÃO - sem XML na pasta (pedir o XML)</t>
        </is>
      </c>
      <c r="S83" s="14" t="inlineStr">
        <is>
          <t>XML não está na pasta - dados do relatório SIEG</t>
        </is>
      </c>
      <c r="T83" s="14" t="inlineStr">
        <is>
          <t>41260973939449002056570010179015681681992936</t>
        </is>
      </c>
    </row>
    <row r="84">
      <c r="A84" s="13" t="n">
        <v>46290</v>
      </c>
      <c r="B84" s="14" t="inlineStr">
        <is>
          <t>CT-e</t>
        </is>
      </c>
      <c r="C84" s="14" t="n">
        <v>17901582</v>
      </c>
      <c r="D84" s="14" t="inlineStr">
        <is>
          <t>TEX COURIER S.A</t>
        </is>
      </c>
      <c r="E84" s="14" t="inlineStr">
        <is>
          <t>73939449002056</t>
        </is>
      </c>
      <c r="F84" s="14" t="inlineStr">
        <is>
          <t>PR-SP</t>
        </is>
      </c>
      <c r="G84" s="14" t="inlineStr">
        <is>
          <t>Autorizado</t>
        </is>
      </c>
      <c r="H84" s="14" t="inlineStr">
        <is>
          <t>6353</t>
        </is>
      </c>
      <c r="I84" s="15" t="n">
        <v>51.09</v>
      </c>
      <c r="J84" s="15" t="n">
        <v>51.09</v>
      </c>
      <c r="K84" s="15" t="n">
        <v>6.13</v>
      </c>
      <c r="L84" s="15" t="n"/>
      <c r="M84" s="15" t="n"/>
      <c r="N84" s="15" t="n"/>
      <c r="O84" s="15" t="n"/>
      <c r="P84" s="14" t="inlineStr">
        <is>
          <t>D 312 / C 506</t>
        </is>
      </c>
      <c r="Q84" s="14" t="inlineStr">
        <is>
          <t>Sem XML na pasta (Cosmetici tomadora - pedir o XML)</t>
        </is>
      </c>
      <c r="R84" s="14" t="inlineStr">
        <is>
          <t>NÃO - sem XML na pasta (pedir o XML)</t>
        </is>
      </c>
      <c r="S84" s="14" t="inlineStr">
        <is>
          <t>XML não está na pasta - dados do relatório SIEG</t>
        </is>
      </c>
      <c r="T84" s="14" t="inlineStr">
        <is>
          <t>41260973939449002056570010179015821611093770</t>
        </is>
      </c>
    </row>
    <row r="85">
      <c r="A85" s="13" t="n">
        <v>46290</v>
      </c>
      <c r="B85" s="14" t="inlineStr">
        <is>
          <t>CT-e</t>
        </is>
      </c>
      <c r="C85" s="14" t="n">
        <v>17901583</v>
      </c>
      <c r="D85" s="14" t="inlineStr">
        <is>
          <t>TEX COURIER S.A</t>
        </is>
      </c>
      <c r="E85" s="14" t="inlineStr">
        <is>
          <t>73939449002056</t>
        </is>
      </c>
      <c r="F85" s="14" t="inlineStr">
        <is>
          <t>PR-RS</t>
        </is>
      </c>
      <c r="G85" s="14" t="inlineStr">
        <is>
          <t>Autorizado</t>
        </is>
      </c>
      <c r="H85" s="14" t="inlineStr">
        <is>
          <t>6353</t>
        </is>
      </c>
      <c r="I85" s="15" t="n">
        <v>19.44</v>
      </c>
      <c r="J85" s="15" t="n">
        <v>19.44</v>
      </c>
      <c r="K85" s="15" t="n">
        <v>2.33</v>
      </c>
      <c r="L85" s="15" t="n"/>
      <c r="M85" s="15" t="n"/>
      <c r="N85" s="15" t="n"/>
      <c r="O85" s="15" t="n"/>
      <c r="P85" s="14" t="inlineStr">
        <is>
          <t>D 312 / C 506</t>
        </is>
      </c>
      <c r="Q85" s="14" t="inlineStr">
        <is>
          <t>Sem XML na pasta (Cosmetici tomadora - pedir o XML)</t>
        </is>
      </c>
      <c r="R85" s="14" t="inlineStr">
        <is>
          <t>NÃO - sem XML na pasta (pedir o XML)</t>
        </is>
      </c>
      <c r="S85" s="14" t="inlineStr">
        <is>
          <t>XML não está na pasta - dados do relatório SIEG</t>
        </is>
      </c>
      <c r="T85" s="14" t="inlineStr">
        <is>
          <t>41260973939449002056570010179015831130565736</t>
        </is>
      </c>
    </row>
    <row r="86">
      <c r="A86" s="13" t="n">
        <v>46290</v>
      </c>
      <c r="B86" s="14" t="inlineStr">
        <is>
          <t>CT-e</t>
        </is>
      </c>
      <c r="C86" s="14" t="n">
        <v>17901596</v>
      </c>
      <c r="D86" s="14" t="inlineStr">
        <is>
          <t>TEX COURIER S.A</t>
        </is>
      </c>
      <c r="E86" s="14" t="inlineStr">
        <is>
          <t>73939449002056</t>
        </is>
      </c>
      <c r="F86" s="14" t="inlineStr">
        <is>
          <t>PR-SP</t>
        </is>
      </c>
      <c r="G86" s="14" t="inlineStr">
        <is>
          <t>Autorizado</t>
        </is>
      </c>
      <c r="H86" s="14" t="inlineStr">
        <is>
          <t>6353</t>
        </is>
      </c>
      <c r="I86" s="15" t="n">
        <v>22.97</v>
      </c>
      <c r="J86" s="15" t="n">
        <v>22.97</v>
      </c>
      <c r="K86" s="15" t="n">
        <v>2.76</v>
      </c>
      <c r="L86" s="15" t="n"/>
      <c r="M86" s="15" t="n"/>
      <c r="N86" s="15" t="n"/>
      <c r="O86" s="15" t="n"/>
      <c r="P86" s="14" t="inlineStr">
        <is>
          <t>D 312 / C 506</t>
        </is>
      </c>
      <c r="Q86" s="14" t="inlineStr">
        <is>
          <t>Sem XML na pasta (Cosmetici tomadora - pedir o XML)</t>
        </is>
      </c>
      <c r="R86" s="14" t="inlineStr">
        <is>
          <t>NÃO - sem XML na pasta (pedir o XML)</t>
        </is>
      </c>
      <c r="S86" s="14" t="inlineStr">
        <is>
          <t>XML não está na pasta - dados do relatório SIEG</t>
        </is>
      </c>
      <c r="T86" s="14" t="inlineStr">
        <is>
          <t>41260973939449002056570010179015961538845580</t>
        </is>
      </c>
    </row>
    <row r="87">
      <c r="A87" s="13" t="n">
        <v>46290</v>
      </c>
      <c r="B87" s="14" t="inlineStr">
        <is>
          <t>CT-e</t>
        </is>
      </c>
      <c r="C87" s="14" t="n">
        <v>17901597</v>
      </c>
      <c r="D87" s="14" t="inlineStr">
        <is>
          <t>TEX COURIER S.A</t>
        </is>
      </c>
      <c r="E87" s="14" t="inlineStr">
        <is>
          <t>73939449002056</t>
        </is>
      </c>
      <c r="F87" s="14" t="inlineStr">
        <is>
          <t>PR-MG</t>
        </is>
      </c>
      <c r="G87" s="14" t="inlineStr">
        <is>
          <t>Autorizado</t>
        </is>
      </c>
      <c r="H87" s="14" t="inlineStr">
        <is>
          <t>6353</t>
        </is>
      </c>
      <c r="I87" s="15" t="n">
        <v>26.16</v>
      </c>
      <c r="J87" s="15" t="n">
        <v>26.16</v>
      </c>
      <c r="K87" s="15" t="n">
        <v>3.14</v>
      </c>
      <c r="L87" s="15" t="n"/>
      <c r="M87" s="15" t="n"/>
      <c r="N87" s="15" t="n"/>
      <c r="O87" s="15" t="n"/>
      <c r="P87" s="14" t="inlineStr">
        <is>
          <t>D 312 / C 506</t>
        </is>
      </c>
      <c r="Q87" s="14" t="inlineStr">
        <is>
          <t>Sem XML na pasta (Cosmetici tomadora - pedir o XML)</t>
        </is>
      </c>
      <c r="R87" s="14" t="inlineStr">
        <is>
          <t>NÃO - sem XML na pasta (pedir o XML)</t>
        </is>
      </c>
      <c r="S87" s="14" t="inlineStr">
        <is>
          <t>XML não está na pasta - dados do relatório SIEG</t>
        </is>
      </c>
      <c r="T87" s="14" t="inlineStr">
        <is>
          <t>41260973939449002056570010179015971354021905</t>
        </is>
      </c>
    </row>
    <row r="88">
      <c r="A88" s="13" t="n">
        <v>46290</v>
      </c>
      <c r="B88" s="14" t="inlineStr">
        <is>
          <t>CT-e</t>
        </is>
      </c>
      <c r="C88" s="14" t="n">
        <v>17901624</v>
      </c>
      <c r="D88" s="14" t="inlineStr">
        <is>
          <t>TEX COURIER S.A</t>
        </is>
      </c>
      <c r="E88" s="14" t="inlineStr">
        <is>
          <t>73939449002056</t>
        </is>
      </c>
      <c r="F88" s="14" t="inlineStr">
        <is>
          <t>PR-DF</t>
        </is>
      </c>
      <c r="G88" s="14" t="inlineStr">
        <is>
          <t>Autorizado</t>
        </is>
      </c>
      <c r="H88" s="14" t="inlineStr">
        <is>
          <t>6353</t>
        </is>
      </c>
      <c r="I88" s="15" t="n">
        <v>28.31</v>
      </c>
      <c r="J88" s="15" t="n">
        <v>28.31</v>
      </c>
      <c r="K88" s="15" t="n">
        <v>1.98</v>
      </c>
      <c r="L88" s="15" t="n"/>
      <c r="M88" s="15" t="n"/>
      <c r="N88" s="15" t="n"/>
      <c r="O88" s="15" t="n"/>
      <c r="P88" s="14" t="inlineStr">
        <is>
          <t>D 312 / C 506</t>
        </is>
      </c>
      <c r="Q88" s="14" t="inlineStr">
        <is>
          <t>Sem XML na pasta (Cosmetici tomadora - pedir o XML)</t>
        </is>
      </c>
      <c r="R88" s="14" t="inlineStr">
        <is>
          <t>NÃO - sem XML na pasta (pedir o XML)</t>
        </is>
      </c>
      <c r="S88" s="14" t="inlineStr">
        <is>
          <t>XML não está na pasta - dados do relatório SIEG</t>
        </is>
      </c>
      <c r="T88" s="14" t="inlineStr">
        <is>
          <t>41260973939449002056570010179016241104385135</t>
        </is>
      </c>
    </row>
    <row r="89">
      <c r="A89" s="4" t="n">
        <v>46290</v>
      </c>
      <c r="B89" s="5" t="inlineStr">
        <is>
          <t>CT-e</t>
        </is>
      </c>
      <c r="C89" s="5" t="n">
        <v>26411</v>
      </c>
      <c r="D89" s="5" t="inlineStr">
        <is>
          <t>TRANS TOMAZ TRANSPORTES RODOV DE CARGAS EIREL</t>
        </is>
      </c>
      <c r="E89" s="5" t="inlineStr">
        <is>
          <t>03867083000290</t>
        </is>
      </c>
      <c r="F89" s="5" t="inlineStr">
        <is>
          <t>SP-PR</t>
        </is>
      </c>
      <c r="G89" s="5" t="inlineStr">
        <is>
          <t>Autorizado</t>
        </is>
      </c>
      <c r="H89" s="5" t="inlineStr">
        <is>
          <t>6353</t>
        </is>
      </c>
      <c r="I89" s="6" t="n">
        <v>126.02</v>
      </c>
      <c r="J89" s="6" t="n">
        <v>126.02</v>
      </c>
      <c r="K89" s="6" t="n">
        <v>15.12</v>
      </c>
      <c r="L89" s="6" t="n"/>
      <c r="M89" s="6" t="n"/>
      <c r="N89" s="6" t="n"/>
      <c r="O89" s="6" t="n"/>
      <c r="P89" s="5" t="inlineStr">
        <is>
          <t>D 312 / C 506</t>
        </is>
      </c>
      <c r="Q89" s="5" t="inlineStr">
        <is>
          <t>OK</t>
        </is>
      </c>
      <c r="R89" s="5" t="inlineStr">
        <is>
          <t>Sim - exatamente o XML</t>
        </is>
      </c>
      <c r="S89" s="5" t="inlineStr"/>
      <c r="T89" s="5" t="inlineStr">
        <is>
          <t>35260903867083000290570030000264111000496392</t>
        </is>
      </c>
    </row>
    <row r="90">
      <c r="A90" s="7" t="n">
        <v>46290</v>
      </c>
      <c r="B90" s="8" t="inlineStr">
        <is>
          <t>NFS-e</t>
        </is>
      </c>
      <c r="C90" s="8" t="n">
        <v>43</v>
      </c>
      <c r="D90" s="8" t="inlineStr">
        <is>
          <t>EXTRALAB BRASIL - COMERCIO E MANUTENCAO DE EQUIPAMENTOS PARA LABORATORIO LTDA</t>
        </is>
      </c>
      <c r="E90" s="8" t="inlineStr">
        <is>
          <t>04665405000108</t>
        </is>
      </c>
      <c r="F90" s="8" t="inlineStr">
        <is>
          <t>SP</t>
        </is>
      </c>
      <c r="G90" s="8" t="inlineStr">
        <is>
          <t>Autorizada</t>
        </is>
      </c>
      <c r="H90" s="8" t="inlineStr"/>
      <c r="I90" s="9" t="n">
        <v>1835.5</v>
      </c>
      <c r="J90" s="9" t="n"/>
      <c r="K90" s="9" t="n"/>
      <c r="L90" s="9" t="n"/>
      <c r="M90" s="9" t="n"/>
      <c r="N90" s="9" t="n">
        <v>36.71</v>
      </c>
      <c r="O90" s="9" t="n">
        <v>85.34999999999999</v>
      </c>
      <c r="P90" s="8" t="inlineStr">
        <is>
          <t>sem conta: prestador sem acumulador e sem histórico no Domínio</t>
        </is>
      </c>
      <c r="Q90" s="8" t="inlineStr">
        <is>
          <t>OK</t>
        </is>
      </c>
      <c r="R90" s="8" t="inlineStr">
        <is>
          <t>Não - NFS-e não entra no SPED ICMS/IPI</t>
        </is>
      </c>
      <c r="S90" s="8" t="inlineStr">
        <is>
          <t>SIM - PIS/COFINS/CSLL</t>
        </is>
      </c>
      <c r="T90" s="8" t="inlineStr">
        <is>
          <t>35234042204665405000108000000000004326090442626218</t>
        </is>
      </c>
    </row>
    <row r="91">
      <c r="A91" s="4" t="n">
        <v>46290</v>
      </c>
      <c r="B91" s="5" t="inlineStr">
        <is>
          <t>NFS-e</t>
        </is>
      </c>
      <c r="C91" s="5" t="n">
        <v>5661351</v>
      </c>
      <c r="D91" s="5" t="inlineStr">
        <is>
          <t>FLASH TECNOLOGIA E  INSTITUICAO DE PAGAMENTO LTDA</t>
        </is>
      </c>
      <c r="E91" s="5" t="inlineStr">
        <is>
          <t>32223020000118</t>
        </is>
      </c>
      <c r="F91" s="5" t="inlineStr">
        <is>
          <t>SP</t>
        </is>
      </c>
      <c r="G91" s="5" t="inlineStr">
        <is>
          <t>Autorizada (cStat 102)</t>
        </is>
      </c>
      <c r="H91" s="5" t="inlineStr"/>
      <c r="I91" s="6" t="n">
        <v>4142</v>
      </c>
      <c r="J91" s="6" t="n"/>
      <c r="K91" s="6" t="n"/>
      <c r="L91" s="6" t="n"/>
      <c r="M91" s="6" t="n"/>
      <c r="N91" s="6" t="n">
        <v>0</v>
      </c>
      <c r="O91" s="6" t="n">
        <v>0</v>
      </c>
      <c r="P91" s="5" t="inlineStr">
        <is>
          <t>D 364 / C 506</t>
        </is>
      </c>
      <c r="Q91" s="5" t="inlineStr">
        <is>
          <t>OK</t>
        </is>
      </c>
      <c r="R91" s="5" t="inlineStr">
        <is>
          <t>Não - NFS-e não entra no SPED ICMS/IPI</t>
        </is>
      </c>
      <c r="S91" s="5" t="inlineStr"/>
      <c r="T91" s="5" t="inlineStr">
        <is>
          <t>35503081232223020000118000000566135126091580598802</t>
        </is>
      </c>
    </row>
    <row r="92">
      <c r="A92" s="13" t="n">
        <v>46293</v>
      </c>
      <c r="B92" s="14" t="inlineStr">
        <is>
          <t>CT-e</t>
        </is>
      </c>
      <c r="C92" s="14" t="n">
        <v>17915091</v>
      </c>
      <c r="D92" s="14" t="inlineStr">
        <is>
          <t>TEX COURIER S.A</t>
        </is>
      </c>
      <c r="E92" s="14" t="inlineStr">
        <is>
          <t>73939449002056</t>
        </is>
      </c>
      <c r="F92" s="14" t="inlineStr">
        <is>
          <t>PR-RS</t>
        </is>
      </c>
      <c r="G92" s="14" t="inlineStr">
        <is>
          <t>Autorizado</t>
        </is>
      </c>
      <c r="H92" s="14" t="inlineStr">
        <is>
          <t>6353</t>
        </is>
      </c>
      <c r="I92" s="15" t="n">
        <v>27.56</v>
      </c>
      <c r="J92" s="15" t="n">
        <v>27.56</v>
      </c>
      <c r="K92" s="15" t="n">
        <v>3.31</v>
      </c>
      <c r="L92" s="15" t="n"/>
      <c r="M92" s="15" t="n"/>
      <c r="N92" s="15" t="n"/>
      <c r="O92" s="15" t="n"/>
      <c r="P92" s="14" t="inlineStr">
        <is>
          <t>D 312 / C 506</t>
        </is>
      </c>
      <c r="Q92" s="14" t="inlineStr">
        <is>
          <t>Sem XML na pasta (Cosmetici tomadora - pedir o XML)</t>
        </is>
      </c>
      <c r="R92" s="14" t="inlineStr">
        <is>
          <t>NÃO - sem XML na pasta (pedir o XML)</t>
        </is>
      </c>
      <c r="S92" s="14" t="inlineStr">
        <is>
          <t>XML não está na pasta - dados do relatório SIEG</t>
        </is>
      </c>
      <c r="T92" s="14" t="inlineStr">
        <is>
          <t>41260973939449002056570010179150911045858097</t>
        </is>
      </c>
    </row>
    <row r="93">
      <c r="A93" s="13" t="n">
        <v>46293</v>
      </c>
      <c r="B93" s="14" t="inlineStr">
        <is>
          <t>CT-e</t>
        </is>
      </c>
      <c r="C93" s="14" t="n">
        <v>2095396</v>
      </c>
      <c r="D93" s="14" t="inlineStr">
        <is>
          <t>CURITIBA - EXPRESSO SAO MIGUEL S/A</t>
        </is>
      </c>
      <c r="E93" s="14" t="inlineStr">
        <is>
          <t>00428307002301</t>
        </is>
      </c>
      <c r="F93" s="14" t="inlineStr">
        <is>
          <t>PR-RS</t>
        </is>
      </c>
      <c r="G93" s="14" t="inlineStr">
        <is>
          <t>Autorizado</t>
        </is>
      </c>
      <c r="H93" s="14" t="inlineStr">
        <is>
          <t>6352</t>
        </is>
      </c>
      <c r="I93" s="15" t="n">
        <v>146.44</v>
      </c>
      <c r="J93" s="15" t="n">
        <v>142.65</v>
      </c>
      <c r="K93" s="15" t="n">
        <v>17.12</v>
      </c>
      <c r="L93" s="15" t="n"/>
      <c r="M93" s="15" t="n"/>
      <c r="N93" s="15" t="n"/>
      <c r="O93" s="15" t="n"/>
      <c r="P93" s="14" t="inlineStr">
        <is>
          <t>D 312 / C 506</t>
        </is>
      </c>
      <c r="Q93" s="14" t="inlineStr">
        <is>
          <t>Sem XML na pasta (Cosmetici tomadora - pedir o XML)</t>
        </is>
      </c>
      <c r="R93" s="14" t="inlineStr">
        <is>
          <t>NÃO - sem XML na pasta (pedir o XML)</t>
        </is>
      </c>
      <c r="S93" s="14" t="inlineStr">
        <is>
          <t>XML não está na pasta - dados do relatório SIEG</t>
        </is>
      </c>
      <c r="T93" s="14" t="inlineStr">
        <is>
          <t>41260900428307002301570010020953961020953963</t>
        </is>
      </c>
    </row>
    <row r="94">
      <c r="A94" s="4" t="n">
        <v>46293</v>
      </c>
      <c r="B94" s="5" t="inlineStr">
        <is>
          <t>NF-e</t>
        </is>
      </c>
      <c r="C94" s="5" t="n">
        <v>391</v>
      </c>
      <c r="D94" s="5" t="inlineStr">
        <is>
          <t>CHEMYUNION LTDA</t>
        </is>
      </c>
      <c r="E94" s="5" t="inlineStr">
        <is>
          <t>58309709000820</t>
        </is>
      </c>
      <c r="F94" s="5" t="inlineStr">
        <is>
          <t>MG</t>
        </is>
      </c>
      <c r="G94" s="5" t="inlineStr">
        <is>
          <t>Autorizada</t>
        </is>
      </c>
      <c r="H94" s="5" t="inlineStr">
        <is>
          <t>6949</t>
        </is>
      </c>
      <c r="I94" s="6" t="n">
        <v>8472.040000000001</v>
      </c>
      <c r="J94" s="6" t="n">
        <v>0</v>
      </c>
      <c r="K94" s="6" t="n">
        <v>0</v>
      </c>
      <c r="L94" s="6" t="n">
        <v>0</v>
      </c>
      <c r="M94" s="6" t="n">
        <v>0</v>
      </c>
      <c r="N94" s="6" t="n"/>
      <c r="O94" s="6" t="n"/>
      <c r="P94" s="5" t="inlineStr">
        <is>
          <t>D 612 / C 613</t>
        </is>
      </c>
      <c r="Q94" s="5" t="inlineStr">
        <is>
          <t>OK</t>
        </is>
      </c>
      <c r="R94" s="5" t="inlineStr">
        <is>
          <t>Sim - exatamente o XML</t>
        </is>
      </c>
      <c r="S94" s="5" t="inlineStr"/>
      <c r="T94" s="5" t="inlineStr">
        <is>
          <t>31260958309709000820550070000003911550019201</t>
        </is>
      </c>
    </row>
    <row r="95">
      <c r="A95" s="13" t="n">
        <v>46294</v>
      </c>
      <c r="B95" s="14" t="inlineStr">
        <is>
          <t>CT-e</t>
        </is>
      </c>
      <c r="C95" s="14" t="n">
        <v>17924737</v>
      </c>
      <c r="D95" s="14" t="inlineStr">
        <is>
          <t>TEX COURIER S.A</t>
        </is>
      </c>
      <c r="E95" s="14" t="inlineStr">
        <is>
          <t>73939449002056</t>
        </is>
      </c>
      <c r="F95" s="14" t="inlineStr">
        <is>
          <t>PR-MG</t>
        </is>
      </c>
      <c r="G95" s="14" t="inlineStr">
        <is>
          <t>Autorizado</t>
        </is>
      </c>
      <c r="H95" s="14" t="inlineStr">
        <is>
          <t>6353</t>
        </is>
      </c>
      <c r="I95" s="15" t="n">
        <v>55.04</v>
      </c>
      <c r="J95" s="15" t="n">
        <v>55.04</v>
      </c>
      <c r="K95" s="15" t="n">
        <v>6.6</v>
      </c>
      <c r="L95" s="15" t="n"/>
      <c r="M95" s="15" t="n"/>
      <c r="N95" s="15" t="n"/>
      <c r="O95" s="15" t="n"/>
      <c r="P95" s="14" t="inlineStr">
        <is>
          <t>D 312 / C 506</t>
        </is>
      </c>
      <c r="Q95" s="14" t="inlineStr">
        <is>
          <t>Sem XML na pasta (Cosmetici tomadora - pedir o XML)</t>
        </is>
      </c>
      <c r="R95" s="14" t="inlineStr">
        <is>
          <t>NÃO - sem XML na pasta (pedir o XML)</t>
        </is>
      </c>
      <c r="S95" s="14" t="inlineStr">
        <is>
          <t>XML não está na pasta - dados do relatório SIEG</t>
        </is>
      </c>
      <c r="T95" s="14" t="inlineStr">
        <is>
          <t>41260973939449002056570010179247371948650364</t>
        </is>
      </c>
    </row>
    <row r="96">
      <c r="A96" s="13" t="n">
        <v>46294</v>
      </c>
      <c r="B96" s="14" t="inlineStr">
        <is>
          <t>CT-e</t>
        </is>
      </c>
      <c r="C96" s="14" t="n">
        <v>17924803</v>
      </c>
      <c r="D96" s="14" t="inlineStr">
        <is>
          <t>TEX COURIER S.A</t>
        </is>
      </c>
      <c r="E96" s="14" t="inlineStr">
        <is>
          <t>73939449002056</t>
        </is>
      </c>
      <c r="F96" s="14" t="inlineStr">
        <is>
          <t>PR-MG</t>
        </is>
      </c>
      <c r="G96" s="14" t="inlineStr">
        <is>
          <t>Autorizado</t>
        </is>
      </c>
      <c r="H96" s="14" t="inlineStr">
        <is>
          <t>6353</t>
        </is>
      </c>
      <c r="I96" s="15" t="n">
        <v>28.56</v>
      </c>
      <c r="J96" s="15" t="n">
        <v>28.56</v>
      </c>
      <c r="K96" s="15" t="n">
        <v>3.43</v>
      </c>
      <c r="L96" s="15" t="n"/>
      <c r="M96" s="15" t="n"/>
      <c r="N96" s="15" t="n"/>
      <c r="O96" s="15" t="n"/>
      <c r="P96" s="14" t="inlineStr">
        <is>
          <t>D 312 / C 506</t>
        </is>
      </c>
      <c r="Q96" s="14" t="inlineStr">
        <is>
          <t>Sem XML na pasta (Cosmetici tomadora - pedir o XML)</t>
        </is>
      </c>
      <c r="R96" s="14" t="inlineStr">
        <is>
          <t>NÃO - sem XML na pasta (pedir o XML)</t>
        </is>
      </c>
      <c r="S96" s="14" t="inlineStr">
        <is>
          <t>XML não está na pasta - dados do relatório SIEG</t>
        </is>
      </c>
      <c r="T96" s="14" t="inlineStr">
        <is>
          <t>41260973939449002056570010179248031905329170</t>
        </is>
      </c>
    </row>
    <row r="97">
      <c r="A97" s="13" t="n">
        <v>46294</v>
      </c>
      <c r="B97" s="14" t="inlineStr">
        <is>
          <t>CT-e</t>
        </is>
      </c>
      <c r="C97" s="14" t="n">
        <v>17924811</v>
      </c>
      <c r="D97" s="14" t="inlineStr">
        <is>
          <t>TEX COURIER S.A</t>
        </is>
      </c>
      <c r="E97" s="14" t="inlineStr">
        <is>
          <t>73939449002056</t>
        </is>
      </c>
      <c r="F97" s="14" t="inlineStr">
        <is>
          <t>PR-RS</t>
        </is>
      </c>
      <c r="G97" s="14" t="inlineStr">
        <is>
          <t>Autorizado</t>
        </is>
      </c>
      <c r="H97" s="14" t="inlineStr">
        <is>
          <t>6353</t>
        </is>
      </c>
      <c r="I97" s="15" t="n">
        <v>24.74</v>
      </c>
      <c r="J97" s="15" t="n">
        <v>24.74</v>
      </c>
      <c r="K97" s="15" t="n">
        <v>2.97</v>
      </c>
      <c r="L97" s="15" t="n"/>
      <c r="M97" s="15" t="n"/>
      <c r="N97" s="15" t="n"/>
      <c r="O97" s="15" t="n"/>
      <c r="P97" s="14" t="inlineStr">
        <is>
          <t>D 312 / C 506</t>
        </is>
      </c>
      <c r="Q97" s="14" t="inlineStr">
        <is>
          <t>Sem XML na pasta (Cosmetici tomadora - pedir o XML)</t>
        </is>
      </c>
      <c r="R97" s="14" t="inlineStr">
        <is>
          <t>NÃO - sem XML na pasta (pedir o XML)</t>
        </is>
      </c>
      <c r="S97" s="14" t="inlineStr">
        <is>
          <t>XML não está na pasta - dados do relatório SIEG</t>
        </is>
      </c>
      <c r="T97" s="14" t="inlineStr">
        <is>
          <t>41260973939449002056570010179248111268602370</t>
        </is>
      </c>
    </row>
    <row r="98">
      <c r="A98" s="13" t="n">
        <v>46294</v>
      </c>
      <c r="B98" s="14" t="inlineStr">
        <is>
          <t>CT-e</t>
        </is>
      </c>
      <c r="C98" s="14" t="n">
        <v>2098798</v>
      </c>
      <c r="D98" s="14" t="inlineStr">
        <is>
          <t>CURITIBA - EXPRESSO SAO MIGUEL S/A</t>
        </is>
      </c>
      <c r="E98" s="14" t="inlineStr">
        <is>
          <t>00428307002301</t>
        </is>
      </c>
      <c r="F98" s="14" t="inlineStr">
        <is>
          <t>PR-RS</t>
        </is>
      </c>
      <c r="G98" s="14" t="inlineStr">
        <is>
          <t>Autorizado</t>
        </is>
      </c>
      <c r="H98" s="14" t="inlineStr">
        <is>
          <t>6352</t>
        </is>
      </c>
      <c r="I98" s="15" t="n">
        <v>445.46</v>
      </c>
      <c r="J98" s="15" t="n">
        <v>434.09</v>
      </c>
      <c r="K98" s="15" t="n">
        <v>52.09</v>
      </c>
      <c r="L98" s="15" t="n"/>
      <c r="M98" s="15" t="n"/>
      <c r="N98" s="15" t="n"/>
      <c r="O98" s="15" t="n"/>
      <c r="P98" s="14" t="inlineStr">
        <is>
          <t>D 312 / C 506</t>
        </is>
      </c>
      <c r="Q98" s="14" t="inlineStr">
        <is>
          <t>Sem XML na pasta (Cosmetici tomadora - pedir o XML)</t>
        </is>
      </c>
      <c r="R98" s="14" t="inlineStr">
        <is>
          <t>NÃO - sem XML na pasta (pedir o XML)</t>
        </is>
      </c>
      <c r="S98" s="14" t="inlineStr">
        <is>
          <t>XML não está na pasta - dados do relatório SIEG</t>
        </is>
      </c>
      <c r="T98" s="14" t="inlineStr">
        <is>
          <t>41260900428307002301570010020987981020987981</t>
        </is>
      </c>
    </row>
    <row r="99">
      <c r="A99" s="4" t="n">
        <v>46294</v>
      </c>
      <c r="B99" s="5" t="inlineStr">
        <is>
          <t>NF-e</t>
        </is>
      </c>
      <c r="C99" s="5" t="n">
        <v>14856</v>
      </c>
      <c r="D99" s="5" t="inlineStr">
        <is>
          <t>Mix Cosmeticos Ltda</t>
        </is>
      </c>
      <c r="E99" s="5" t="inlineStr">
        <is>
          <t>27697083000176</t>
        </is>
      </c>
      <c r="F99" s="5" t="inlineStr">
        <is>
          <t>MS</t>
        </is>
      </c>
      <c r="G99" s="5" t="inlineStr">
        <is>
          <t>Autorizada</t>
        </is>
      </c>
      <c r="H99" s="5" t="inlineStr">
        <is>
          <t>6901</t>
        </is>
      </c>
      <c r="I99" s="6" t="n">
        <v>600</v>
      </c>
      <c r="J99" s="6" t="n">
        <v>0</v>
      </c>
      <c r="K99" s="6" t="n">
        <v>0</v>
      </c>
      <c r="L99" s="6" t="n">
        <v>0</v>
      </c>
      <c r="M99" s="6" t="n">
        <v>0</v>
      </c>
      <c r="N99" s="6" t="n"/>
      <c r="O99" s="6" t="n"/>
      <c r="P99" s="5" t="inlineStr">
        <is>
          <t>D 614 / C 607</t>
        </is>
      </c>
      <c r="Q99" s="5" t="inlineStr">
        <is>
          <t>OK</t>
        </is>
      </c>
      <c r="R99" s="5" t="inlineStr">
        <is>
          <t>Sim - exatamente o XML</t>
        </is>
      </c>
      <c r="S99" s="5" t="inlineStr"/>
      <c r="T99" s="5" t="inlineStr">
        <is>
          <t>50260927697083000176550010000148561118323143</t>
        </is>
      </c>
    </row>
    <row r="100">
      <c r="A100" s="4" t="n">
        <v>46294</v>
      </c>
      <c r="B100" s="5" t="inlineStr">
        <is>
          <t>NF-e</t>
        </is>
      </c>
      <c r="C100" s="5" t="n">
        <v>19303</v>
      </c>
      <c r="D100" s="5" t="inlineStr">
        <is>
          <t>CHEMYUNION LTDA</t>
        </is>
      </c>
      <c r="E100" s="5" t="inlineStr">
        <is>
          <t>58309709000820</t>
        </is>
      </c>
      <c r="F100" s="5" t="inlineStr">
        <is>
          <t>MG</t>
        </is>
      </c>
      <c r="G100" s="5" t="inlineStr">
        <is>
          <t>Autorizada</t>
        </is>
      </c>
      <c r="H100" s="5" t="inlineStr">
        <is>
          <t>6101</t>
        </is>
      </c>
      <c r="I100" s="6" t="n">
        <v>8747.379999999999</v>
      </c>
      <c r="J100" s="6" t="n">
        <v>8472.040000000001</v>
      </c>
      <c r="K100" s="6" t="n">
        <v>1016.64</v>
      </c>
      <c r="L100" s="6" t="n">
        <v>0</v>
      </c>
      <c r="M100" s="6" t="n">
        <v>275.34</v>
      </c>
      <c r="N100" s="6" t="n"/>
      <c r="O100" s="6" t="n"/>
      <c r="P100" s="5" t="inlineStr">
        <is>
          <t>D 56 / C 506</t>
        </is>
      </c>
      <c r="Q100" s="5" t="inlineStr">
        <is>
          <t>OK</t>
        </is>
      </c>
      <c r="R100" s="5" t="inlineStr">
        <is>
          <t>Sim - exatamente o XML</t>
        </is>
      </c>
      <c r="S100" s="5" t="inlineStr"/>
      <c r="T100" s="5" t="inlineStr">
        <is>
          <t>31260958309709000820550020000193031662295529</t>
        </is>
      </c>
    </row>
    <row r="101">
      <c r="A101" s="4" t="n">
        <v>46294</v>
      </c>
      <c r="B101" s="5" t="inlineStr">
        <is>
          <t>NF-e</t>
        </is>
      </c>
      <c r="C101" s="5" t="n">
        <v>222098</v>
      </c>
      <c r="D101" s="5" t="inlineStr">
        <is>
          <t>FARMANILQUIMA COM. ANILINAS E PRODS.QUIM.LTDA</t>
        </is>
      </c>
      <c r="E101" s="5" t="inlineStr">
        <is>
          <t>76509488000149</t>
        </is>
      </c>
      <c r="F101" s="5" t="inlineStr">
        <is>
          <t>PR</t>
        </is>
      </c>
      <c r="G101" s="5" t="inlineStr">
        <is>
          <t>Autorizada</t>
        </is>
      </c>
      <c r="H101" s="5" t="inlineStr">
        <is>
          <t>5102</t>
        </is>
      </c>
      <c r="I101" s="6" t="n">
        <v>200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/>
      <c r="O101" s="6" t="n"/>
      <c r="P101" s="5" t="inlineStr">
        <is>
          <t>D 56 / C 506</t>
        </is>
      </c>
      <c r="Q101" s="5" t="inlineStr">
        <is>
          <t>OK</t>
        </is>
      </c>
      <c r="R101" s="5" t="inlineStr">
        <is>
          <t>Sim - exatamente o XML</t>
        </is>
      </c>
      <c r="S101" s="5" t="inlineStr"/>
      <c r="T101" s="5" t="inlineStr">
        <is>
          <t>41260976509488000149550010002220981017634246</t>
        </is>
      </c>
    </row>
    <row r="102">
      <c r="A102" s="4" t="n">
        <v>46294</v>
      </c>
      <c r="B102" s="5" t="inlineStr">
        <is>
          <t>NF-e</t>
        </is>
      </c>
      <c r="C102" s="5" t="n">
        <v>392</v>
      </c>
      <c r="D102" s="5" t="inlineStr">
        <is>
          <t>CHEMYUNION LTDA</t>
        </is>
      </c>
      <c r="E102" s="5" t="inlineStr">
        <is>
          <t>58309709000820</t>
        </is>
      </c>
      <c r="F102" s="5" t="inlineStr">
        <is>
          <t>MG</t>
        </is>
      </c>
      <c r="G102" s="5" t="inlineStr">
        <is>
          <t>Autorizada</t>
        </is>
      </c>
      <c r="H102" s="5" t="inlineStr">
        <is>
          <t>6949</t>
        </is>
      </c>
      <c r="I102" s="6" t="n">
        <v>275.34</v>
      </c>
      <c r="J102" s="6" t="n">
        <v>0</v>
      </c>
      <c r="K102" s="6" t="n">
        <v>0</v>
      </c>
      <c r="L102" s="6" t="n">
        <v>0</v>
      </c>
      <c r="M102" s="6" t="n">
        <v>0</v>
      </c>
      <c r="N102" s="6" t="n"/>
      <c r="O102" s="6" t="n"/>
      <c r="P102" s="5" t="inlineStr">
        <is>
          <t>D 612 / C 613</t>
        </is>
      </c>
      <c r="Q102" s="5" t="inlineStr">
        <is>
          <t>OK</t>
        </is>
      </c>
      <c r="R102" s="5" t="inlineStr">
        <is>
          <t>Sim - exatamente o XML</t>
        </is>
      </c>
      <c r="S102" s="5" t="inlineStr"/>
      <c r="T102" s="5" t="inlineStr">
        <is>
          <t>31260958309709000820550070000003921611175930</t>
        </is>
      </c>
    </row>
    <row r="103">
      <c r="A103" s="4" t="n">
        <v>46294</v>
      </c>
      <c r="B103" s="5" t="inlineStr">
        <is>
          <t>NF-e</t>
        </is>
      </c>
      <c r="C103" s="5" t="n">
        <v>42285</v>
      </c>
      <c r="D103" s="5" t="inlineStr">
        <is>
          <t>PROVITAL DO BRASIL COM. DE INSUMOS PARA COSMETICOS LTDA</t>
        </is>
      </c>
      <c r="E103" s="5" t="inlineStr">
        <is>
          <t>11340087000162</t>
        </is>
      </c>
      <c r="F103" s="5" t="inlineStr">
        <is>
          <t>SP</t>
        </is>
      </c>
      <c r="G103" s="5" t="inlineStr">
        <is>
          <t>Autorizada</t>
        </is>
      </c>
      <c r="H103" s="5" t="inlineStr">
        <is>
          <t>6102</t>
        </is>
      </c>
      <c r="I103" s="6" t="n">
        <v>4278.84</v>
      </c>
      <c r="J103" s="6" t="n">
        <v>4017.69</v>
      </c>
      <c r="K103" s="6" t="n">
        <v>160.71</v>
      </c>
      <c r="L103" s="6" t="n">
        <v>0</v>
      </c>
      <c r="M103" s="6" t="n">
        <v>261.15</v>
      </c>
      <c r="N103" s="6" t="n"/>
      <c r="O103" s="6" t="n"/>
      <c r="P103" s="5" t="inlineStr">
        <is>
          <t>D 56 / C 506</t>
        </is>
      </c>
      <c r="Q103" s="5" t="inlineStr">
        <is>
          <t>OK</t>
        </is>
      </c>
      <c r="R103" s="5" t="inlineStr">
        <is>
          <t>Sim - exatamente o XML</t>
        </is>
      </c>
      <c r="S103" s="5" t="inlineStr"/>
      <c r="T103" s="5" t="inlineStr">
        <is>
          <t>35260911340087000162550010000422851305252223</t>
        </is>
      </c>
    </row>
    <row r="104">
      <c r="A104" s="4" t="n">
        <v>46294</v>
      </c>
      <c r="B104" s="5" t="inlineStr">
        <is>
          <t>NF-e</t>
        </is>
      </c>
      <c r="C104" s="5" t="n">
        <v>5382</v>
      </c>
      <c r="D104" s="5" t="inlineStr">
        <is>
          <t>JOSE DOMINGOS LINARES LTDA</t>
        </is>
      </c>
      <c r="E104" s="5" t="inlineStr">
        <is>
          <t>03839251000152</t>
        </is>
      </c>
      <c r="F104" s="5" t="inlineStr">
        <is>
          <t>PR</t>
        </is>
      </c>
      <c r="G104" s="5" t="inlineStr">
        <is>
          <t>Autorizada</t>
        </is>
      </c>
      <c r="H104" s="5" t="inlineStr">
        <is>
          <t>5949</t>
        </is>
      </c>
      <c r="I104" s="6" t="n">
        <v>1893</v>
      </c>
      <c r="J104" s="6" t="n">
        <v>0</v>
      </c>
      <c r="K104" s="6" t="n">
        <v>0</v>
      </c>
      <c r="L104" s="6" t="n">
        <v>0</v>
      </c>
      <c r="M104" s="6" t="n">
        <v>0</v>
      </c>
      <c r="N104" s="6" t="n"/>
      <c r="O104" s="6" t="n"/>
      <c r="P104" s="5" t="inlineStr">
        <is>
          <t>D 612 / C 613</t>
        </is>
      </c>
      <c r="Q104" s="5" t="inlineStr">
        <is>
          <t>OK</t>
        </is>
      </c>
      <c r="R104" s="5" t="inlineStr">
        <is>
          <t>Sim - exatamente o XML</t>
        </is>
      </c>
      <c r="S104" s="5" t="inlineStr"/>
      <c r="T104" s="5" t="inlineStr">
        <is>
          <t>41260903839251000152550030000053821102007626</t>
        </is>
      </c>
    </row>
    <row r="105">
      <c r="A105" s="4" t="n">
        <v>46294</v>
      </c>
      <c r="B105" s="5" t="inlineStr">
        <is>
          <t>NF-e</t>
        </is>
      </c>
      <c r="C105" s="5" t="n">
        <v>56004</v>
      </c>
      <c r="D105" s="5" t="inlineStr">
        <is>
          <t>Mix Perfumaria</t>
        </is>
      </c>
      <c r="E105" s="5" t="inlineStr">
        <is>
          <t>06237330000181</t>
        </is>
      </c>
      <c r="F105" s="5" t="inlineStr">
        <is>
          <t>PR</t>
        </is>
      </c>
      <c r="G105" s="5" t="inlineStr">
        <is>
          <t>Autorizada</t>
        </is>
      </c>
      <c r="H105" s="5" t="inlineStr">
        <is>
          <t>5901</t>
        </is>
      </c>
      <c r="I105" s="6" t="n">
        <v>300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/>
      <c r="O105" s="6" t="n"/>
      <c r="P105" s="5" t="inlineStr">
        <is>
          <t>D 614 / C 607</t>
        </is>
      </c>
      <c r="Q105" s="5" t="inlineStr">
        <is>
          <t>OK</t>
        </is>
      </c>
      <c r="R105" s="5" t="inlineStr">
        <is>
          <t>Sim - exatamente o XML</t>
        </is>
      </c>
      <c r="S105" s="5" t="inlineStr"/>
      <c r="T105" s="5" t="inlineStr">
        <is>
          <t>41260906237330000181550010000560041118322920</t>
        </is>
      </c>
    </row>
    <row r="106">
      <c r="A106" s="4" t="n">
        <v>46295</v>
      </c>
      <c r="B106" s="5" t="inlineStr">
        <is>
          <t>CT-e</t>
        </is>
      </c>
      <c r="C106" s="5" t="n">
        <v>26730</v>
      </c>
      <c r="D106" s="5" t="inlineStr">
        <is>
          <t>TRANS TOMAZ TRANSPORTES RODOV DE CARGAS EIREL</t>
        </is>
      </c>
      <c r="E106" s="5" t="inlineStr">
        <is>
          <t>03867083000290</t>
        </is>
      </c>
      <c r="F106" s="5" t="inlineStr">
        <is>
          <t>SP-PR</t>
        </is>
      </c>
      <c r="G106" s="5" t="inlineStr">
        <is>
          <t>Autorizado</t>
        </is>
      </c>
      <c r="H106" s="5" t="inlineStr">
        <is>
          <t>6353</t>
        </is>
      </c>
      <c r="I106" s="6" t="n">
        <v>188.49</v>
      </c>
      <c r="J106" s="6" t="n">
        <v>188.49</v>
      </c>
      <c r="K106" s="6" t="n">
        <v>22.62</v>
      </c>
      <c r="L106" s="6" t="n"/>
      <c r="M106" s="6" t="n"/>
      <c r="N106" s="6" t="n"/>
      <c r="O106" s="6" t="n"/>
      <c r="P106" s="5" t="inlineStr">
        <is>
          <t>D 312 / C 506</t>
        </is>
      </c>
      <c r="Q106" s="5" t="inlineStr">
        <is>
          <t>OK</t>
        </is>
      </c>
      <c r="R106" s="5" t="inlineStr">
        <is>
          <t>Sim - exatamente o XML</t>
        </is>
      </c>
      <c r="S106" s="5" t="inlineStr"/>
      <c r="T106" s="5" t="inlineStr">
        <is>
          <t>35260903867083000290570030000267301000504028</t>
        </is>
      </c>
    </row>
    <row r="107">
      <c r="A107" s="4" t="n">
        <v>46295</v>
      </c>
      <c r="B107" s="5" t="inlineStr">
        <is>
          <t>NF-e</t>
        </is>
      </c>
      <c r="C107" s="5" t="n">
        <v>38175</v>
      </c>
      <c r="D107" s="5" t="inlineStr">
        <is>
          <t>ALLOXY ESPECIALIDADES QUIMICAS LTDA</t>
        </is>
      </c>
      <c r="E107" s="5" t="inlineStr">
        <is>
          <t>16987597000140</t>
        </is>
      </c>
      <c r="F107" s="5" t="inlineStr">
        <is>
          <t>PR</t>
        </is>
      </c>
      <c r="G107" s="5" t="inlineStr">
        <is>
          <t>Autorizada</t>
        </is>
      </c>
      <c r="H107" s="5" t="inlineStr">
        <is>
          <t>5101</t>
        </is>
      </c>
      <c r="I107" s="6" t="n">
        <v>5593.5</v>
      </c>
      <c r="J107" s="6" t="n">
        <v>5593.5</v>
      </c>
      <c r="K107" s="6" t="n">
        <v>671.22</v>
      </c>
      <c r="L107" s="6" t="n">
        <v>0</v>
      </c>
      <c r="M107" s="6" t="n">
        <v>0</v>
      </c>
      <c r="N107" s="6" t="n"/>
      <c r="O107" s="6" t="n"/>
      <c r="P107" s="5" t="inlineStr">
        <is>
          <t>D 56 / C 506</t>
        </is>
      </c>
      <c r="Q107" s="5" t="inlineStr">
        <is>
          <t>OK</t>
        </is>
      </c>
      <c r="R107" s="5" t="inlineStr">
        <is>
          <t>Sim - exatamente o XML</t>
        </is>
      </c>
      <c r="S107" s="5" t="inlineStr"/>
      <c r="T107" s="5" t="inlineStr">
        <is>
          <t>41260916987597000140550010000381751288422874</t>
        </is>
      </c>
    </row>
    <row r="108">
      <c r="A108" s="4" t="n">
        <v>46295</v>
      </c>
      <c r="B108" s="5" t="inlineStr">
        <is>
          <t>NF-e</t>
        </is>
      </c>
      <c r="C108" s="5" t="n">
        <v>42</v>
      </c>
      <c r="D108" s="5" t="inlineStr">
        <is>
          <t>MERCKPAR COMERCIAL LTDA</t>
        </is>
      </c>
      <c r="E108" s="5" t="inlineStr">
        <is>
          <t>63460684000124</t>
        </is>
      </c>
      <c r="F108" s="5" t="inlineStr">
        <is>
          <t>PR</t>
        </is>
      </c>
      <c r="G108" s="5" t="inlineStr">
        <is>
          <t>Autorizada</t>
        </is>
      </c>
      <c r="H108" s="5" t="inlineStr">
        <is>
          <t>5102</t>
        </is>
      </c>
      <c r="I108" s="6" t="n">
        <v>1180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/>
      <c r="O108" s="6" t="n"/>
      <c r="P108" s="5" t="inlineStr">
        <is>
          <t>D 56 / C 506 (conferir)</t>
        </is>
      </c>
      <c r="Q108" s="5" t="inlineStr">
        <is>
          <t>OK</t>
        </is>
      </c>
      <c r="R108" s="5" t="inlineStr">
        <is>
          <t>Sim - exatamente o XML</t>
        </is>
      </c>
      <c r="S108" s="5" t="inlineStr"/>
      <c r="T108" s="5" t="inlineStr">
        <is>
          <t>41260963460684000124550010000000421742919846</t>
        </is>
      </c>
    </row>
    <row r="109">
      <c r="A109" s="4" t="n">
        <v>46295</v>
      </c>
      <c r="B109" s="5" t="inlineStr">
        <is>
          <t>NF-e</t>
        </is>
      </c>
      <c r="C109" s="5" t="n">
        <v>97145</v>
      </c>
      <c r="D109" s="5" t="inlineStr">
        <is>
          <t>Supermercado Boza Ltda</t>
        </is>
      </c>
      <c r="E109" s="5" t="inlineStr">
        <is>
          <t>73419905000174</t>
        </is>
      </c>
      <c r="F109" s="5" t="inlineStr">
        <is>
          <t>PR</t>
        </is>
      </c>
      <c r="G109" s="5" t="inlineStr">
        <is>
          <t>Autorizada</t>
        </is>
      </c>
      <c r="H109" s="5" t="inlineStr">
        <is>
          <t>5102</t>
        </is>
      </c>
      <c r="I109" s="6" t="n">
        <v>389.77</v>
      </c>
      <c r="J109" s="6" t="n">
        <v>27.67</v>
      </c>
      <c r="K109" s="6" t="n">
        <v>5.4</v>
      </c>
      <c r="L109" s="6" t="n">
        <v>0</v>
      </c>
      <c r="M109" s="6" t="n">
        <v>0</v>
      </c>
      <c r="N109" s="6" t="n"/>
      <c r="O109" s="6" t="n"/>
      <c r="P109" s="5" t="inlineStr">
        <is>
          <t>D 360 / C 506 (conferir)</t>
        </is>
      </c>
      <c r="Q109" s="5" t="inlineStr">
        <is>
          <t>OK</t>
        </is>
      </c>
      <c r="R109" s="5" t="inlineStr">
        <is>
          <t>Sim - uso e consumo: bases zeradas</t>
        </is>
      </c>
      <c r="S109" s="5" t="inlineStr"/>
      <c r="T109" s="5" t="inlineStr">
        <is>
          <t>41260973419905000174550010000971451002693820</t>
        </is>
      </c>
    </row>
    <row r="110">
      <c r="A110" s="16" t="inlineStr">
        <is>
          <t>Total (sem canceladas)</t>
        </is>
      </c>
      <c r="B110" s="17" t="n"/>
      <c r="C110" s="16">
        <f>COUNTA(C5:C109)&amp;" docs"</f>
        <v/>
      </c>
      <c r="D110" s="17" t="n"/>
      <c r="E110" s="17" t="n"/>
      <c r="F110" s="17" t="n"/>
      <c r="G110" s="17" t="n"/>
      <c r="H110" s="17" t="n"/>
      <c r="I110" s="18">
        <f>SUMPRODUCT((G5:G109&lt;&gt;"Cancelada")*(G5:G109&lt;&gt;"Cancelado")*I5:I109)</f>
        <v/>
      </c>
      <c r="J110" s="18">
        <f>SUMPRODUCT((G5:G109&lt;&gt;"Cancelada")*(G5:G109&lt;&gt;"Cancelado")*J5:J109)</f>
        <v/>
      </c>
      <c r="K110" s="18">
        <f>SUMPRODUCT((G5:G109&lt;&gt;"Cancelada")*(G5:G109&lt;&gt;"Cancelado")*K5:K109)</f>
        <v/>
      </c>
      <c r="L110" s="18">
        <f>SUMPRODUCT((G5:G109&lt;&gt;"Cancelada")*(G5:G109&lt;&gt;"Cancelado")*L5:L109)</f>
        <v/>
      </c>
      <c r="M110" s="18">
        <f>SUMPRODUCT((G5:G109&lt;&gt;"Cancelada")*(G5:G109&lt;&gt;"Cancelado")*M5:M109)</f>
        <v/>
      </c>
      <c r="N110" s="18">
        <f>SUMPRODUCT((G5:G109&lt;&gt;"Cancelada")*(G5:G109&lt;&gt;"Cancelado")*N5:N109)</f>
        <v/>
      </c>
      <c r="O110" s="18">
        <f>SUMPRODUCT((G5:G109&lt;&gt;"Cancelada")*(G5:G109&lt;&gt;"Cancelado")*O5:O109)</f>
        <v/>
      </c>
      <c r="P110" s="17" t="n"/>
      <c r="Q110" s="17" t="n"/>
      <c r="R110" s="17" t="n"/>
      <c r="S110" s="17" t="n"/>
      <c r="T110" s="17" t="n"/>
    </row>
    <row r="112">
      <c r="A112" s="19" t="inlineStr">
        <is>
          <t>NF-e</t>
        </is>
      </c>
      <c r="D112" s="19">
        <f>COUNTIF(B5:B109,"NF-e")</f>
        <v/>
      </c>
    </row>
    <row r="113">
      <c r="A113" s="19" t="inlineStr">
        <is>
          <t>CT-e</t>
        </is>
      </c>
      <c r="D113" s="19">
        <f>COUNTIF(B5:B109,"CT-e")</f>
        <v/>
      </c>
    </row>
    <row r="114">
      <c r="A114" s="19" t="inlineStr">
        <is>
          <t>NFS-e</t>
        </is>
      </c>
      <c r="D114" s="19">
        <f>COUNTIF(B5:B109,"NFS-e")</f>
        <v/>
      </c>
    </row>
  </sheetData>
  <autoFilter ref="A4:T109"/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0"/>
  <sheetViews>
    <sheetView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5" customWidth="1" min="3" max="3"/>
    <col width="32" customWidth="1" min="4" max="4"/>
    <col width="15" customWidth="1" min="5" max="5"/>
    <col width="4" customWidth="1" min="6" max="6"/>
    <col width="10" customWidth="1" min="7" max="7"/>
    <col width="9" customWidth="1" min="8" max="8"/>
    <col width="10" customWidth="1" min="9" max="9"/>
    <col width="11" customWidth="1" min="10" max="10"/>
    <col width="9" customWidth="1" min="11" max="11"/>
    <col width="9" customWidth="1" min="12" max="12"/>
    <col width="9" customWidth="1" min="13" max="13"/>
    <col width="11" customWidth="1" min="14" max="14"/>
    <col width="10" customWidth="1" min="15" max="15"/>
    <col width="10" customWidth="1" min="16" max="16"/>
    <col width="9" customWidth="1" min="17" max="17"/>
    <col width="9" customWidth="1" min="18" max="18"/>
    <col width="8" customWidth="1" min="19" max="19"/>
    <col width="9" customWidth="1" min="20" max="20"/>
    <col width="10" customWidth="1" min="21" max="21"/>
    <col width="8" customWidth="1" min="22" max="22"/>
    <col width="8" customWidth="1" min="23" max="23"/>
    <col width="12" customWidth="1" min="24" max="24"/>
    <col width="26" customWidth="1" min="25" max="25"/>
    <col width="14" customWidth="1" min="26" max="26"/>
    <col width="10" customWidth="1" min="27" max="27"/>
    <col width="9" customWidth="1" min="28" max="28"/>
    <col width="8" customWidth="1" min="29" max="29"/>
    <col width="9" customWidth="1" min="30" max="30"/>
    <col width="14" customWidth="1" min="31" max="31"/>
    <col width="26" customWidth="1" min="32" max="32"/>
    <col width="50" customWidth="1" min="33" max="33"/>
    <col width="22" customWidth="1" min="34" max="34"/>
    <col width="11" customWidth="1" min="35" max="35"/>
    <col width="10" customWidth="1" min="36" max="36"/>
    <col width="9" customWidth="1" min="37" max="37"/>
    <col width="8" customWidth="1" min="38" max="38"/>
    <col width="9" customWidth="1" min="39" max="39"/>
    <col width="46" customWidth="1" min="40" max="40"/>
  </cols>
  <sheetData>
    <row r="1">
      <c r="A1" s="1" t="inlineStr">
        <is>
          <t>NF-e dentro do estado (PR)</t>
        </is>
      </c>
    </row>
    <row r="2">
      <c r="A2" s="2" t="inlineStr">
        <is>
          <t>NF-e de entrada de fornecedores do PR - 09/2026. Valores do XML; CFOP de entrada e acumulador = sugestão.</t>
        </is>
      </c>
    </row>
    <row r="4" ht="30" customHeight="1">
      <c r="A4" s="3" t="inlineStr">
        <is>
          <t>Emissão</t>
        </is>
      </c>
      <c r="B4" s="3" t="inlineStr">
        <is>
          <t>NF</t>
        </is>
      </c>
      <c r="C4" s="3" t="inlineStr">
        <is>
          <t>Série</t>
        </is>
      </c>
      <c r="D4" s="3" t="inlineStr">
        <is>
          <t>Fornecedor</t>
        </is>
      </c>
      <c r="E4" s="3" t="inlineStr">
        <is>
          <t>CNPJ</t>
        </is>
      </c>
      <c r="F4" s="3" t="inlineStr">
        <is>
          <t>UF</t>
        </is>
      </c>
      <c r="G4" s="3" t="inlineStr">
        <is>
          <t>Situação</t>
        </is>
      </c>
      <c r="H4" s="3" t="inlineStr">
        <is>
          <t>CFOP (XML)</t>
        </is>
      </c>
      <c r="I4" s="3" t="inlineStr">
        <is>
          <t>CFOP entrada (sugestão)</t>
        </is>
      </c>
      <c r="J4" s="3" t="inlineStr">
        <is>
          <t>Produtos</t>
        </is>
      </c>
      <c r="K4" s="3" t="inlineStr">
        <is>
          <t>Desconto</t>
        </is>
      </c>
      <c r="L4" s="3" t="inlineStr">
        <is>
          <t>Frete</t>
        </is>
      </c>
      <c r="M4" s="3" t="inlineStr">
        <is>
          <t>Outras desp.</t>
        </is>
      </c>
      <c r="N4" s="3" t="inlineStr">
        <is>
          <t>Base ICMS</t>
        </is>
      </c>
      <c r="O4" s="3" t="inlineStr">
        <is>
          <t>ICMS</t>
        </is>
      </c>
      <c r="P4" s="3" t="inlineStr">
        <is>
          <t>Base ICMS-ST</t>
        </is>
      </c>
      <c r="Q4" s="3" t="inlineStr">
        <is>
          <t>ICMS-ST</t>
        </is>
      </c>
      <c r="R4" s="3" t="inlineStr">
        <is>
          <t>IPI</t>
        </is>
      </c>
      <c r="S4" s="3" t="inlineStr">
        <is>
          <t>PIS</t>
        </is>
      </c>
      <c r="T4" s="3" t="inlineStr">
        <is>
          <t>COFINS</t>
        </is>
      </c>
      <c r="U4" s="3" t="inlineStr">
        <is>
          <t>Base IBS/CBS</t>
        </is>
      </c>
      <c r="V4" s="3" t="inlineStr">
        <is>
          <t>IBS</t>
        </is>
      </c>
      <c r="W4" s="3" t="inlineStr">
        <is>
          <t>CBS</t>
        </is>
      </c>
      <c r="X4" s="3" t="inlineStr">
        <is>
          <t>Total da nota</t>
        </is>
      </c>
      <c r="Y4" s="3" t="inlineStr">
        <is>
          <t>Acumulador (sugestão)</t>
        </is>
      </c>
      <c r="Z4" s="3" t="inlineStr">
        <is>
          <t>Natureza</t>
        </is>
      </c>
      <c r="AA4" s="3" t="inlineStr">
        <is>
          <t>Crédito ICMS</t>
        </is>
      </c>
      <c r="AB4" s="3" t="inlineStr">
        <is>
          <t>Crédito IPI</t>
        </is>
      </c>
      <c r="AC4" s="3" t="inlineStr">
        <is>
          <t>DIFAL</t>
        </is>
      </c>
      <c r="AD4" s="3" t="inlineStr">
        <is>
          <t>ICMS antecipado</t>
        </is>
      </c>
      <c r="AE4" s="3" t="inlineStr">
        <is>
          <t>Conta contábil (Domínio)</t>
        </is>
      </c>
      <c r="AF4" s="3" t="inlineStr">
        <is>
          <t>Conferência XML x relatório SIEG</t>
        </is>
      </c>
      <c r="AG4" s="3" t="inlineStr">
        <is>
          <t>Análise</t>
        </is>
      </c>
      <c r="AH4" s="3" t="inlineStr">
        <is>
          <t>Vai no TXT?</t>
        </is>
      </c>
      <c r="AI4" s="3" t="inlineStr">
        <is>
          <t>Base ICMS no TXT</t>
        </is>
      </c>
      <c r="AJ4" s="3" t="inlineStr">
        <is>
          <t>ICMS no TXT</t>
        </is>
      </c>
      <c r="AK4" s="3" t="inlineStr">
        <is>
          <t>IPI no TXT</t>
        </is>
      </c>
      <c r="AL4" s="3" t="inlineStr">
        <is>
          <t>PIS no TXT</t>
        </is>
      </c>
      <c r="AM4" s="3" t="inlineStr">
        <is>
          <t>COFINS no TXT</t>
        </is>
      </c>
      <c r="AN4" s="3" t="inlineStr">
        <is>
          <t>Chave de acesso</t>
        </is>
      </c>
    </row>
    <row r="5">
      <c r="A5" s="4" t="n">
        <v>46266</v>
      </c>
      <c r="B5" s="5" t="n">
        <v>3795</v>
      </c>
      <c r="C5" s="5" t="inlineStr">
        <is>
          <t>1</t>
        </is>
      </c>
      <c r="D5" s="5" t="inlineStr">
        <is>
          <t>Lunaflexo Tecnologia Adesiva Eireli</t>
        </is>
      </c>
      <c r="E5" s="5" t="inlineStr">
        <is>
          <t>06015875000143</t>
        </is>
      </c>
      <c r="F5" s="5" t="inlineStr">
        <is>
          <t>PR</t>
        </is>
      </c>
      <c r="G5" s="5" t="inlineStr">
        <is>
          <t>Autorizada</t>
        </is>
      </c>
      <c r="H5" s="5" t="inlineStr">
        <is>
          <t>5101</t>
        </is>
      </c>
      <c r="I5" s="5" t="inlineStr">
        <is>
          <t>1101</t>
        </is>
      </c>
      <c r="J5" s="6" t="n">
        <v>3460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3460</v>
      </c>
      <c r="V5" s="6" t="n">
        <v>3.46</v>
      </c>
      <c r="W5" s="6" t="n">
        <v>31.14</v>
      </c>
      <c r="X5" s="6" t="n">
        <v>3460</v>
      </c>
      <c r="Y5" s="5" t="inlineStr">
        <is>
          <t xml:space="preserve">100 - COMPRA P/ INDUST - DENTRO </t>
        </is>
      </c>
      <c r="Z5" s="5" t="inlineStr">
        <is>
          <t>insumo</t>
        </is>
      </c>
      <c r="AA5" s="6" t="n">
        <v>98.95</v>
      </c>
      <c r="AB5" s="6" t="n">
        <v>0</v>
      </c>
      <c r="AC5" s="6" t="n">
        <v>0</v>
      </c>
      <c r="AD5" s="6" t="n">
        <v>0</v>
      </c>
      <c r="AE5" s="5" t="inlineStr">
        <is>
          <t>D 56 / C 506 (conferir)</t>
        </is>
      </c>
      <c r="AF5" s="5" t="inlineStr">
        <is>
          <t>OK</t>
        </is>
      </c>
      <c r="AG5" s="5" t="inlineStr">
        <is>
          <t>Simples CSOSN 101: crédito de 2.86% informado na nota (LC 123/06 art. 23 §1º)</t>
        </is>
      </c>
      <c r="AH5" s="5" t="inlineStr">
        <is>
          <t>Sim - exatamente o XML</t>
        </is>
      </c>
      <c r="AI5" s="6" t="n">
        <v>0</v>
      </c>
      <c r="AJ5" s="6" t="n">
        <v>0</v>
      </c>
      <c r="AK5" s="6" t="n">
        <v>0</v>
      </c>
      <c r="AL5" s="6" t="n">
        <v>0</v>
      </c>
      <c r="AM5" s="6" t="n">
        <v>0</v>
      </c>
      <c r="AN5" s="5" t="inlineStr">
        <is>
          <t>41260906015875000143550010000037951000701710</t>
        </is>
      </c>
    </row>
    <row r="6">
      <c r="A6" s="4" t="n">
        <v>46266</v>
      </c>
      <c r="B6" s="5" t="n">
        <v>41731</v>
      </c>
      <c r="C6" s="5" t="inlineStr">
        <is>
          <t>1</t>
        </is>
      </c>
      <c r="D6" s="5" t="inlineStr">
        <is>
          <t>DISTRIBUIDORA INDUSTRIAL PARANAENSE LTDA</t>
        </is>
      </c>
      <c r="E6" s="5" t="inlineStr">
        <is>
          <t>04993269000177</t>
        </is>
      </c>
      <c r="F6" s="5" t="inlineStr">
        <is>
          <t>PR</t>
        </is>
      </c>
      <c r="G6" s="5" t="inlineStr">
        <is>
          <t>Autorizada</t>
        </is>
      </c>
      <c r="H6" s="5" t="inlineStr">
        <is>
          <t>5101</t>
        </is>
      </c>
      <c r="I6" s="5" t="inlineStr">
        <is>
          <t>1101</t>
        </is>
      </c>
      <c r="J6" s="6" t="n">
        <v>1870</v>
      </c>
      <c r="K6" s="6" t="n">
        <v>0</v>
      </c>
      <c r="L6" s="6" t="n">
        <v>0</v>
      </c>
      <c r="M6" s="6" t="n">
        <v>0</v>
      </c>
      <c r="N6" s="6" t="n">
        <v>1870</v>
      </c>
      <c r="O6" s="6" t="n">
        <v>224.41</v>
      </c>
      <c r="P6" s="6" t="n">
        <v>0</v>
      </c>
      <c r="Q6" s="6" t="n">
        <v>0</v>
      </c>
      <c r="R6" s="6" t="n">
        <v>0</v>
      </c>
      <c r="S6" s="6" t="n">
        <v>27.15</v>
      </c>
      <c r="T6" s="6" t="n">
        <v>125.06</v>
      </c>
      <c r="U6" s="6" t="n">
        <v>1493.38</v>
      </c>
      <c r="V6" s="6" t="n">
        <v>1.49</v>
      </c>
      <c r="W6" s="6" t="n">
        <v>13.44</v>
      </c>
      <c r="X6" s="6" t="n">
        <v>1870</v>
      </c>
      <c r="Y6" s="5" t="inlineStr">
        <is>
          <t xml:space="preserve">100 - COMPRA P/ INDUST - DENTRO </t>
        </is>
      </c>
      <c r="Z6" s="5" t="inlineStr">
        <is>
          <t>insumo</t>
        </is>
      </c>
      <c r="AA6" s="6" t="n">
        <v>224.41</v>
      </c>
      <c r="AB6" s="6" t="n">
        <v>0</v>
      </c>
      <c r="AC6" s="6" t="n">
        <v>0</v>
      </c>
      <c r="AD6" s="6" t="n">
        <v>0</v>
      </c>
      <c r="AE6" s="5" t="inlineStr">
        <is>
          <t>D 56 / C 506</t>
        </is>
      </c>
      <c r="AF6" s="5" t="inlineStr">
        <is>
          <t>OK</t>
        </is>
      </c>
      <c r="AG6" s="5" t="inlineStr">
        <is>
          <t>ICMS destacado (CST 51) em insumo (classificação do sped anterior)</t>
        </is>
      </c>
      <c r="AH6" s="5" t="inlineStr">
        <is>
          <t>Sim - exatamente o XML</t>
        </is>
      </c>
      <c r="AI6" s="6" t="n">
        <v>1870</v>
      </c>
      <c r="AJ6" s="6" t="n">
        <v>224.41</v>
      </c>
      <c r="AK6" s="6" t="n">
        <v>0</v>
      </c>
      <c r="AL6" s="6" t="n">
        <v>27.15</v>
      </c>
      <c r="AM6" s="6" t="n">
        <v>125.06</v>
      </c>
      <c r="AN6" s="5" t="inlineStr">
        <is>
          <t>41260904993269000177550010000417311010503945</t>
        </is>
      </c>
    </row>
    <row r="7">
      <c r="A7" s="4" t="n">
        <v>46267</v>
      </c>
      <c r="B7" s="5" t="n">
        <v>300</v>
      </c>
      <c r="C7" s="5" t="inlineStr">
        <is>
          <t>1</t>
        </is>
      </c>
      <c r="D7" s="5" t="inlineStr">
        <is>
          <t>THERMOSUL RESISTENCIAS ELETRICAS LTDA</t>
        </is>
      </c>
      <c r="E7" s="5" t="inlineStr">
        <is>
          <t>66434370000145</t>
        </is>
      </c>
      <c r="F7" s="5" t="inlineStr">
        <is>
          <t>PR</t>
        </is>
      </c>
      <c r="G7" s="5" t="inlineStr">
        <is>
          <t>Autorizada</t>
        </is>
      </c>
      <c r="H7" s="5" t="inlineStr">
        <is>
          <t>5101</t>
        </is>
      </c>
      <c r="I7" s="5" t="inlineStr">
        <is>
          <t>1556</t>
        </is>
      </c>
      <c r="J7" s="6" t="n">
        <v>2592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2592</v>
      </c>
      <c r="Y7" s="5" t="inlineStr">
        <is>
          <t>104 - COMPRA USO E CONSUMO DENTR</t>
        </is>
      </c>
      <c r="Z7" s="5" t="inlineStr">
        <is>
          <t>uso</t>
        </is>
      </c>
      <c r="AA7" s="6" t="n">
        <v>0</v>
      </c>
      <c r="AB7" s="6" t="n">
        <v>0</v>
      </c>
      <c r="AC7" s="6" t="n">
        <v>0</v>
      </c>
      <c r="AD7" s="6" t="n">
        <v>0</v>
      </c>
      <c r="AE7" s="5" t="inlineStr">
        <is>
          <t>D 513 / C 506 (conferir)</t>
        </is>
      </c>
      <c r="AF7" s="5" t="inlineStr">
        <is>
          <t>OK</t>
        </is>
      </c>
      <c r="AG7" s="5" t="inlineStr">
        <is>
          <t>Simples (CSOSN 102) - Uso e consumo (peça de manutenção): sem crédito (só mercadoria para industrialização/comercialização)</t>
        </is>
      </c>
      <c r="AH7" s="5" t="inlineStr">
        <is>
          <t>Sim - uso e consumo: bases zeradas</t>
        </is>
      </c>
      <c r="AI7" s="6" t="n">
        <v>0</v>
      </c>
      <c r="AJ7" s="6" t="n">
        <v>0</v>
      </c>
      <c r="AK7" s="6" t="n">
        <v>0</v>
      </c>
      <c r="AL7" s="6" t="n">
        <v>0</v>
      </c>
      <c r="AM7" s="6" t="n">
        <v>0</v>
      </c>
      <c r="AN7" s="5" t="inlineStr">
        <is>
          <t>41260966434370000145550010000003001634619321</t>
        </is>
      </c>
    </row>
    <row r="8">
      <c r="A8" s="4" t="n">
        <v>46267</v>
      </c>
      <c r="B8" s="5" t="n">
        <v>695</v>
      </c>
      <c r="C8" s="5" t="inlineStr">
        <is>
          <t>1</t>
        </is>
      </c>
      <c r="D8" s="5" t="inlineStr">
        <is>
          <t>REATEC DO BRASIL LTDA</t>
        </is>
      </c>
      <c r="E8" s="5" t="inlineStr">
        <is>
          <t>62341566000134</t>
        </is>
      </c>
      <c r="F8" s="5" t="inlineStr">
        <is>
          <t>PR</t>
        </is>
      </c>
      <c r="G8" s="5" t="inlineStr">
        <is>
          <t>Autorizada</t>
        </is>
      </c>
      <c r="H8" s="5" t="inlineStr">
        <is>
          <t>5102</t>
        </is>
      </c>
      <c r="I8" s="5" t="inlineStr">
        <is>
          <t>1556</t>
        </is>
      </c>
      <c r="J8" s="6" t="n">
        <v>3738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3738</v>
      </c>
      <c r="Y8" s="5" t="inlineStr">
        <is>
          <t>104 - COMPRA USO E CONSUMO DENTR</t>
        </is>
      </c>
      <c r="Z8" s="5" t="inlineStr">
        <is>
          <t>uso</t>
        </is>
      </c>
      <c r="AA8" s="6" t="n">
        <v>0</v>
      </c>
      <c r="AB8" s="6" t="n">
        <v>0</v>
      </c>
      <c r="AC8" s="6" t="n">
        <v>0</v>
      </c>
      <c r="AD8" s="6" t="n">
        <v>0</v>
      </c>
      <c r="AE8" s="5" t="inlineStr">
        <is>
          <t>D 513 / C 506 (conferir)</t>
        </is>
      </c>
      <c r="AF8" s="5" t="inlineStr">
        <is>
          <t>OK</t>
        </is>
      </c>
      <c r="AG8" s="5" t="inlineStr">
        <is>
          <t>Simples (CSOSN 101) - Uso e consumo (classificação do SPED anterior): sem crédito (só mercadoria para industrialização/comercialização)</t>
        </is>
      </c>
      <c r="AH8" s="5" t="inlineStr">
        <is>
          <t>Sim - uso e consumo: bases zeradas</t>
        </is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5" t="inlineStr">
        <is>
          <t>41260962341566000134550010000006951857187453</t>
        </is>
      </c>
    </row>
    <row r="9">
      <c r="A9" s="4" t="n">
        <v>46267</v>
      </c>
      <c r="B9" s="5" t="n">
        <v>786</v>
      </c>
      <c r="C9" s="5" t="inlineStr">
        <is>
          <t>1</t>
        </is>
      </c>
      <c r="D9" s="5" t="inlineStr">
        <is>
          <t>YAHWEH PRINT BRASIL LTDA</t>
        </is>
      </c>
      <c r="E9" s="5" t="inlineStr">
        <is>
          <t>52680145000184</t>
        </is>
      </c>
      <c r="F9" s="5" t="inlineStr">
        <is>
          <t>PR</t>
        </is>
      </c>
      <c r="G9" s="5" t="inlineStr">
        <is>
          <t>Autorizada</t>
        </is>
      </c>
      <c r="H9" s="5" t="inlineStr">
        <is>
          <t>5101</t>
        </is>
      </c>
      <c r="I9" s="5" t="inlineStr">
        <is>
          <t>1101</t>
        </is>
      </c>
      <c r="J9" s="6" t="n">
        <v>7002.79</v>
      </c>
      <c r="K9" s="6" t="n">
        <v>0</v>
      </c>
      <c r="L9" s="6" t="n">
        <v>50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7052.79</v>
      </c>
      <c r="Y9" s="5" t="inlineStr">
        <is>
          <t xml:space="preserve">100 - COMPRA P/ INDUST - DENTRO </t>
        </is>
      </c>
      <c r="Z9" s="5" t="inlineStr">
        <is>
          <t>insumo</t>
        </is>
      </c>
      <c r="AA9" s="6" t="n">
        <v>0</v>
      </c>
      <c r="AB9" s="6" t="n">
        <v>0</v>
      </c>
      <c r="AC9" s="6" t="n">
        <v>0</v>
      </c>
      <c r="AD9" s="6" t="n">
        <v>0</v>
      </c>
      <c r="AE9" s="5" t="inlineStr">
        <is>
          <t>D 600 / C 506</t>
        </is>
      </c>
      <c r="AF9" s="5" t="inlineStr">
        <is>
          <t>OK</t>
        </is>
      </c>
      <c r="AG9" s="5" t="inlineStr">
        <is>
          <t>Simples CSOSN 102 (tributada SEM permissão de crédito): sem direito a crédito</t>
        </is>
      </c>
      <c r="AH9" s="5" t="inlineStr">
        <is>
          <t>Sim - exatamente o XML</t>
        </is>
      </c>
      <c r="AI9" s="6" t="n">
        <v>0</v>
      </c>
      <c r="AJ9" s="6" t="n">
        <v>0</v>
      </c>
      <c r="AK9" s="6" t="n">
        <v>0</v>
      </c>
      <c r="AL9" s="6" t="n">
        <v>0</v>
      </c>
      <c r="AM9" s="6" t="n">
        <v>0</v>
      </c>
      <c r="AN9" s="5" t="inlineStr">
        <is>
          <t>41260952680145000184550010000007861702940405</t>
        </is>
      </c>
    </row>
    <row r="10">
      <c r="A10" s="4" t="n">
        <v>46267</v>
      </c>
      <c r="B10" s="5" t="n">
        <v>5027</v>
      </c>
      <c r="C10" s="5" t="inlineStr">
        <is>
          <t>3</t>
        </is>
      </c>
      <c r="D10" s="5" t="inlineStr">
        <is>
          <t>JOSE DOMINGOS LINARES LTDA</t>
        </is>
      </c>
      <c r="E10" s="5" t="inlineStr">
        <is>
          <t>03839251000152</t>
        </is>
      </c>
      <c r="F10" s="5" t="inlineStr">
        <is>
          <t>PR</t>
        </is>
      </c>
      <c r="G10" s="5" t="inlineStr">
        <is>
          <t>Autorizada</t>
        </is>
      </c>
      <c r="H10" s="5" t="inlineStr">
        <is>
          <t>5923</t>
        </is>
      </c>
      <c r="I10" s="5" t="inlineStr">
        <is>
          <t>1923</t>
        </is>
      </c>
      <c r="J10" s="6" t="n">
        <v>600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600</v>
      </c>
      <c r="Y10" s="5" t="inlineStr">
        <is>
          <t>definir (CFOP 1923)</t>
        </is>
      </c>
      <c r="Z10" s="5" t="inlineStr">
        <is>
          <t>remessa</t>
        </is>
      </c>
      <c r="AA10" s="6" t="n">
        <v>0</v>
      </c>
      <c r="AB10" s="6" t="n">
        <v>0</v>
      </c>
      <c r="AC10" s="6" t="n">
        <v>0</v>
      </c>
      <c r="AD10" s="6" t="n">
        <v>0</v>
      </c>
      <c r="AE10" s="5" t="inlineStr">
        <is>
          <t>sem conta: CFOP 1923 sem acumulador/conta no histórico do Domínio</t>
        </is>
      </c>
      <c r="AF10" s="5" t="inlineStr">
        <is>
          <t>OK</t>
        </is>
      </c>
      <c r="AG10" s="5" t="inlineStr">
        <is>
          <t>Remessa por conta e ordem de terceiros em venda à ordem (a venda vem em outra nota)</t>
        </is>
      </c>
      <c r="AH10" s="5" t="inlineStr">
        <is>
          <t>NÃO - sem acumulador para o CFOP de entrada</t>
        </is>
      </c>
      <c r="AI10" s="6" t="n"/>
      <c r="AJ10" s="6" t="n"/>
      <c r="AK10" s="6" t="n"/>
      <c r="AL10" s="6" t="n"/>
      <c r="AM10" s="6" t="n"/>
      <c r="AN10" s="5" t="inlineStr">
        <is>
          <t>41260903839251000152550030000050271834583570</t>
        </is>
      </c>
    </row>
    <row r="11">
      <c r="A11" s="4" t="n">
        <v>46267</v>
      </c>
      <c r="B11" s="5" t="n">
        <v>22837</v>
      </c>
      <c r="C11" s="5" t="inlineStr">
        <is>
          <t>1</t>
        </is>
      </c>
      <c r="D11" s="5" t="inlineStr">
        <is>
          <t>CARBON CIENTIFICA LTDA</t>
        </is>
      </c>
      <c r="E11" s="5" t="inlineStr">
        <is>
          <t>44114040000130</t>
        </is>
      </c>
      <c r="F11" s="5" t="inlineStr">
        <is>
          <t>PR</t>
        </is>
      </c>
      <c r="G11" s="5" t="inlineStr">
        <is>
          <t>Autorizada</t>
        </is>
      </c>
      <c r="H11" s="5" t="inlineStr">
        <is>
          <t>5949</t>
        </is>
      </c>
      <c r="I11" s="5" t="inlineStr">
        <is>
          <t>1949</t>
        </is>
      </c>
      <c r="J11" s="6" t="n">
        <v>2</v>
      </c>
      <c r="K11" s="6" t="n">
        <v>0</v>
      </c>
      <c r="L11" s="6" t="n">
        <v>0</v>
      </c>
      <c r="M11" s="6" t="n">
        <v>0</v>
      </c>
      <c r="N11" s="6" t="n">
        <v>2</v>
      </c>
      <c r="O11" s="6" t="n">
        <v>0.4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2</v>
      </c>
      <c r="Y11" s="5" t="inlineStr">
        <is>
          <t>155 - OUTRAS ENTRADAS DE MERCADO</t>
        </is>
      </c>
      <c r="Z11" s="5" t="inlineStr">
        <is>
          <t>outras</t>
        </is>
      </c>
      <c r="AA11" s="6" t="n">
        <v>0</v>
      </c>
      <c r="AB11" s="6" t="n">
        <v>0</v>
      </c>
      <c r="AC11" s="6" t="n">
        <v>0</v>
      </c>
      <c r="AD11" s="6" t="n">
        <v>0</v>
      </c>
      <c r="AE11" s="5" t="inlineStr">
        <is>
          <t>D 612 / C 613</t>
        </is>
      </c>
      <c r="AF11" s="5" t="inlineStr">
        <is>
          <t>OK</t>
        </is>
      </c>
      <c r="AG11" s="5" t="inlineStr">
        <is>
          <t>Matéria-prima (químico inorgânico) - mas CFOP 5949 (outras saídas: amostra/brinde/remessa): ICMS destacado R$ 0.20 não gera crédito</t>
        </is>
      </c>
      <c r="AH11" s="5" t="inlineStr">
        <is>
          <t>Sim - exatamente o XML</t>
        </is>
      </c>
      <c r="AI11" s="6" t="n">
        <v>2</v>
      </c>
      <c r="AJ11" s="6" t="n">
        <v>0.4</v>
      </c>
      <c r="AK11" s="6" t="n">
        <v>0</v>
      </c>
      <c r="AL11" s="6" t="n">
        <v>0</v>
      </c>
      <c r="AM11" s="6" t="n">
        <v>0</v>
      </c>
      <c r="AN11" s="5" t="inlineStr">
        <is>
          <t>41260944114040000130550010000228371000945488</t>
        </is>
      </c>
    </row>
    <row r="12">
      <c r="A12" s="4" t="n">
        <v>46267</v>
      </c>
      <c r="B12" s="5" t="n">
        <v>160326</v>
      </c>
      <c r="C12" s="5" t="inlineStr">
        <is>
          <t>1</t>
        </is>
      </c>
      <c r="D12" s="5" t="inlineStr">
        <is>
          <t>NewProv - Produtos para Laboratório Ltda</t>
        </is>
      </c>
      <c r="E12" s="5" t="inlineStr">
        <is>
          <t>73636391000109</t>
        </is>
      </c>
      <c r="F12" s="5" t="inlineStr">
        <is>
          <t>PR</t>
        </is>
      </c>
      <c r="G12" s="5" t="inlineStr">
        <is>
          <t>Autorizada</t>
        </is>
      </c>
      <c r="H12" s="5" t="inlineStr">
        <is>
          <t>5101</t>
        </is>
      </c>
      <c r="I12" s="5" t="inlineStr">
        <is>
          <t>1556</t>
        </is>
      </c>
      <c r="J12" s="6" t="n">
        <v>2248.65</v>
      </c>
      <c r="K12" s="6" t="n">
        <v>0</v>
      </c>
      <c r="L12" s="6" t="n">
        <v>0</v>
      </c>
      <c r="M12" s="6" t="n">
        <v>0</v>
      </c>
      <c r="N12" s="6" t="n">
        <v>2248.65</v>
      </c>
      <c r="O12" s="6" t="n">
        <v>438.49</v>
      </c>
      <c r="P12" s="6" t="n">
        <v>0</v>
      </c>
      <c r="Q12" s="6" t="n">
        <v>0</v>
      </c>
      <c r="R12" s="6" t="n">
        <v>0</v>
      </c>
      <c r="S12" s="6" t="n">
        <v>11.75</v>
      </c>
      <c r="T12" s="6" t="n">
        <v>54.31</v>
      </c>
      <c r="U12" s="6" t="n">
        <v>1744.1</v>
      </c>
      <c r="V12" s="6" t="n">
        <v>1.75</v>
      </c>
      <c r="W12" s="6" t="n">
        <v>15.7</v>
      </c>
      <c r="X12" s="6" t="n">
        <v>2248.65</v>
      </c>
      <c r="Y12" s="5" t="inlineStr">
        <is>
          <t>104 - COMPRA USO E CONSUMO DENTR</t>
        </is>
      </c>
      <c r="Z12" s="5" t="inlineStr">
        <is>
          <t>uso</t>
        </is>
      </c>
      <c r="AA12" s="6" t="n">
        <v>0</v>
      </c>
      <c r="AB12" s="6" t="n">
        <v>0</v>
      </c>
      <c r="AC12" s="6" t="n">
        <v>0</v>
      </c>
      <c r="AD12" s="6" t="n">
        <v>0</v>
      </c>
      <c r="AE12" s="5" t="inlineStr">
        <is>
          <t>D 513 / C 506 (conferir)</t>
        </is>
      </c>
      <c r="AF12" s="5" t="inlineStr">
        <is>
          <t>OK</t>
        </is>
      </c>
      <c r="AG12" s="5" t="inlineStr">
        <is>
          <t>Uso e consumo (reagente de laboratório): ICMS destacado R$ 48.83 não gera crédito; Uso e consumo (reagente de laboratório): ICMS destacado R$ 43.40 não gera crédito; Uso e consumo (reagente de laboratório): ICMS destacado R$ 6.84 não gera crédito; Us</t>
        </is>
      </c>
      <c r="AH12" s="5" t="inlineStr">
        <is>
          <t>Sim - uso e consumo: bases zeradas</t>
        </is>
      </c>
      <c r="AI12" s="6" t="n">
        <v>0</v>
      </c>
      <c r="AJ12" s="6" t="n">
        <v>0</v>
      </c>
      <c r="AK12" s="6" t="n">
        <v>0</v>
      </c>
      <c r="AL12" s="6" t="n">
        <v>0</v>
      </c>
      <c r="AM12" s="6" t="n">
        <v>0</v>
      </c>
      <c r="AN12" s="5" t="inlineStr">
        <is>
          <t>41260973636391000109550010001603261915612489</t>
        </is>
      </c>
    </row>
    <row r="13">
      <c r="A13" s="4" t="n">
        <v>46268</v>
      </c>
      <c r="B13" s="5" t="n">
        <v>4920</v>
      </c>
      <c r="C13" s="5" t="inlineStr">
        <is>
          <t>1</t>
        </is>
      </c>
      <c r="D13" s="5" t="inlineStr">
        <is>
          <t>DISPOLI COMERCIO DE COSMETICOS LTDA</t>
        </is>
      </c>
      <c r="E13" s="5" t="inlineStr">
        <is>
          <t>41726398000125</t>
        </is>
      </c>
      <c r="F13" s="5" t="inlineStr">
        <is>
          <t>PR</t>
        </is>
      </c>
      <c r="G13" s="5" t="inlineStr">
        <is>
          <t>Autorizada</t>
        </is>
      </c>
      <c r="H13" s="5" t="inlineStr">
        <is>
          <t>5102</t>
        </is>
      </c>
      <c r="I13" s="5" t="inlineStr">
        <is>
          <t>1556</t>
        </is>
      </c>
      <c r="J13" s="6" t="n">
        <v>169.38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1.1</v>
      </c>
      <c r="T13" s="6" t="n">
        <v>5.08</v>
      </c>
      <c r="U13" s="6" t="n">
        <v>0</v>
      </c>
      <c r="V13" s="6" t="n">
        <v>0</v>
      </c>
      <c r="W13" s="6" t="n">
        <v>0</v>
      </c>
      <c r="X13" s="6" t="n">
        <v>169.38</v>
      </c>
      <c r="Y13" s="5" t="inlineStr">
        <is>
          <t>104 - COMPRA USO E CONSUMO DENTR</t>
        </is>
      </c>
      <c r="Z13" s="5" t="inlineStr">
        <is>
          <t>uso</t>
        </is>
      </c>
      <c r="AA13" s="6" t="n">
        <v>0</v>
      </c>
      <c r="AB13" s="6" t="n">
        <v>0</v>
      </c>
      <c r="AC13" s="6" t="n">
        <v>0</v>
      </c>
      <c r="AD13" s="6" t="n">
        <v>0</v>
      </c>
      <c r="AE13" s="5" t="inlineStr">
        <is>
          <t>D 513 / C 506 (conferir)</t>
        </is>
      </c>
      <c r="AF13" s="5" t="inlineStr">
        <is>
          <t>OK</t>
        </is>
      </c>
      <c r="AG13" s="5" t="inlineStr">
        <is>
          <t>Simples (CSOSN 102) - Uso e consumo (luva/artigo plástico): sem crédito (só mercadoria para industrialização/comercialização)</t>
        </is>
      </c>
      <c r="AH13" s="5" t="inlineStr">
        <is>
          <t>Sim - uso e consumo: bases zeradas</t>
        </is>
      </c>
      <c r="AI13" s="6" t="n">
        <v>0</v>
      </c>
      <c r="AJ13" s="6" t="n">
        <v>0</v>
      </c>
      <c r="AK13" s="6" t="n">
        <v>0</v>
      </c>
      <c r="AL13" s="6" t="n">
        <v>0</v>
      </c>
      <c r="AM13" s="6" t="n">
        <v>0</v>
      </c>
      <c r="AN13" s="5" t="inlineStr">
        <is>
          <t>41260941726398000125550010000049201009949200</t>
        </is>
      </c>
    </row>
    <row r="14">
      <c r="A14" s="4" t="n">
        <v>46268</v>
      </c>
      <c r="B14" s="5" t="n">
        <v>5048</v>
      </c>
      <c r="C14" s="5" t="inlineStr">
        <is>
          <t>3</t>
        </is>
      </c>
      <c r="D14" s="5" t="inlineStr">
        <is>
          <t>JOSE DOMINGOS LINARES LTDA</t>
        </is>
      </c>
      <c r="E14" s="5" t="inlineStr">
        <is>
          <t>03839251000152</t>
        </is>
      </c>
      <c r="F14" s="5" t="inlineStr">
        <is>
          <t>PR</t>
        </is>
      </c>
      <c r="G14" s="5" t="inlineStr">
        <is>
          <t>Autorizada</t>
        </is>
      </c>
      <c r="H14" s="5" t="inlineStr">
        <is>
          <t>5923</t>
        </is>
      </c>
      <c r="I14" s="5" t="inlineStr">
        <is>
          <t>1923</t>
        </is>
      </c>
      <c r="J14" s="6" t="n">
        <v>1964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1964</v>
      </c>
      <c r="Y14" s="5" t="inlineStr">
        <is>
          <t>definir (CFOP 1923)</t>
        </is>
      </c>
      <c r="Z14" s="5" t="inlineStr">
        <is>
          <t>remessa</t>
        </is>
      </c>
      <c r="AA14" s="6" t="n">
        <v>0</v>
      </c>
      <c r="AB14" s="6" t="n">
        <v>0</v>
      </c>
      <c r="AC14" s="6" t="n">
        <v>0</v>
      </c>
      <c r="AD14" s="6" t="n">
        <v>0</v>
      </c>
      <c r="AE14" s="5" t="inlineStr">
        <is>
          <t>sem conta: CFOP 1923 sem acumulador/conta no histórico do Domínio</t>
        </is>
      </c>
      <c r="AF14" s="5" t="inlineStr">
        <is>
          <t>OK</t>
        </is>
      </c>
      <c r="AG14" s="5" t="inlineStr">
        <is>
          <t>Remessa por conta e ordem de terceiros em venda à ordem (a venda vem em outra nota)</t>
        </is>
      </c>
      <c r="AH14" s="5" t="inlineStr">
        <is>
          <t>NÃO - sem acumulador para o CFOP de entrada</t>
        </is>
      </c>
      <c r="AI14" s="6" t="n"/>
      <c r="AJ14" s="6" t="n"/>
      <c r="AK14" s="6" t="n"/>
      <c r="AL14" s="6" t="n"/>
      <c r="AM14" s="6" t="n"/>
      <c r="AN14" s="5" t="inlineStr">
        <is>
          <t>41260903839251000152550030000050481113690367</t>
        </is>
      </c>
    </row>
    <row r="15">
      <c r="A15" s="10" t="n">
        <v>46274</v>
      </c>
      <c r="B15" s="11" t="n">
        <v>794</v>
      </c>
      <c r="C15" s="11" t="inlineStr">
        <is>
          <t>1</t>
        </is>
      </c>
      <c r="D15" s="11" t="inlineStr">
        <is>
          <t>YAHWEH PRINT BRASIL LTDA</t>
        </is>
      </c>
      <c r="E15" s="11" t="inlineStr">
        <is>
          <t>52680145000184</t>
        </is>
      </c>
      <c r="F15" s="11" t="inlineStr">
        <is>
          <t>PR</t>
        </is>
      </c>
      <c r="G15" s="11" t="inlineStr">
        <is>
          <t>Cancelada</t>
        </is>
      </c>
      <c r="H15" s="11" t="inlineStr">
        <is>
          <t>5101</t>
        </is>
      </c>
      <c r="I15" s="11" t="inlineStr"/>
      <c r="J15" s="12" t="n">
        <v>4370.44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2" t="n">
        <v>0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4370.44</v>
      </c>
      <c r="Y15" s="11" t="inlineStr">
        <is>
          <t>cancelada (situação 02)</t>
        </is>
      </c>
      <c r="Z15" s="11" t="inlineStr"/>
      <c r="AA15" s="12" t="n"/>
      <c r="AB15" s="12" t="n"/>
      <c r="AC15" s="12" t="n"/>
      <c r="AD15" s="12" t="n"/>
      <c r="AE15" s="11" t="inlineStr">
        <is>
          <t>cancelada - sem lançamento</t>
        </is>
      </c>
      <c r="AF15" s="11" t="inlineStr">
        <is>
          <t>Cancelada - confere: evento de cancelamento no XML e status "Cancelamento" no relatório</t>
        </is>
      </c>
      <c r="AG15" s="11" t="inlineStr"/>
      <c r="AH15" s="11" t="inlineStr">
        <is>
          <t>Sim - cancelada (situação 02)</t>
        </is>
      </c>
      <c r="AI15" s="12" t="n"/>
      <c r="AJ15" s="12" t="n"/>
      <c r="AK15" s="12" t="n"/>
      <c r="AL15" s="12" t="n"/>
      <c r="AM15" s="12" t="n"/>
      <c r="AN15" s="11" t="inlineStr">
        <is>
          <t>41260952680145000184550010000007941049258979</t>
        </is>
      </c>
    </row>
    <row r="16">
      <c r="A16" s="4" t="n">
        <v>46274</v>
      </c>
      <c r="B16" s="5" t="n">
        <v>795</v>
      </c>
      <c r="C16" s="5" t="inlineStr">
        <is>
          <t>1</t>
        </is>
      </c>
      <c r="D16" s="5" t="inlineStr">
        <is>
          <t>YAHWEH PRINT BRASIL LTDA</t>
        </is>
      </c>
      <c r="E16" s="5" t="inlineStr">
        <is>
          <t>52680145000184</t>
        </is>
      </c>
      <c r="F16" s="5" t="inlineStr">
        <is>
          <t>PR</t>
        </is>
      </c>
      <c r="G16" s="5" t="inlineStr">
        <is>
          <t>Autorizada</t>
        </is>
      </c>
      <c r="H16" s="5" t="inlineStr">
        <is>
          <t>5101</t>
        </is>
      </c>
      <c r="I16" s="5" t="inlineStr">
        <is>
          <t>1101</t>
        </is>
      </c>
      <c r="J16" s="6" t="n">
        <v>4106.89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4106.89</v>
      </c>
      <c r="Y16" s="5" t="inlineStr">
        <is>
          <t xml:space="preserve">100 - COMPRA P/ INDUST - DENTRO </t>
        </is>
      </c>
      <c r="Z16" s="5" t="inlineStr">
        <is>
          <t>insumo</t>
        </is>
      </c>
      <c r="AA16" s="6" t="n">
        <v>0</v>
      </c>
      <c r="AB16" s="6" t="n">
        <v>0</v>
      </c>
      <c r="AC16" s="6" t="n">
        <v>0</v>
      </c>
      <c r="AD16" s="6" t="n">
        <v>0</v>
      </c>
      <c r="AE16" s="5" t="inlineStr">
        <is>
          <t>D 600 / C 506</t>
        </is>
      </c>
      <c r="AF16" s="5" t="inlineStr">
        <is>
          <t>OK</t>
        </is>
      </c>
      <c r="AG16" s="5" t="inlineStr">
        <is>
          <t>Simples CSOSN 102 (tributada SEM permissão de crédito): sem direito a crédito</t>
        </is>
      </c>
      <c r="AH16" s="5" t="inlineStr">
        <is>
          <t>Sim - exatamente o XML</t>
        </is>
      </c>
      <c r="AI16" s="6" t="n">
        <v>0</v>
      </c>
      <c r="AJ16" s="6" t="n">
        <v>0</v>
      </c>
      <c r="AK16" s="6" t="n">
        <v>0</v>
      </c>
      <c r="AL16" s="6" t="n">
        <v>0</v>
      </c>
      <c r="AM16" s="6" t="n">
        <v>0</v>
      </c>
      <c r="AN16" s="5" t="inlineStr">
        <is>
          <t>41260952680145000184550010000007951158784741</t>
        </is>
      </c>
    </row>
    <row r="17">
      <c r="A17" s="4" t="n">
        <v>46274</v>
      </c>
      <c r="B17" s="5" t="n">
        <v>5080</v>
      </c>
      <c r="C17" s="5" t="inlineStr">
        <is>
          <t>3</t>
        </is>
      </c>
      <c r="D17" s="5" t="inlineStr">
        <is>
          <t>JOSE DOMINGOS LINARES LTDA</t>
        </is>
      </c>
      <c r="E17" s="5" t="inlineStr">
        <is>
          <t>03839251000152</t>
        </is>
      </c>
      <c r="F17" s="5" t="inlineStr">
        <is>
          <t>PR</t>
        </is>
      </c>
      <c r="G17" s="5" t="inlineStr">
        <is>
          <t>Autorizada</t>
        </is>
      </c>
      <c r="H17" s="5" t="inlineStr">
        <is>
          <t>5924</t>
        </is>
      </c>
      <c r="I17" s="5" t="inlineStr">
        <is>
          <t>1924</t>
        </is>
      </c>
      <c r="J17" s="6" t="n">
        <v>5670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5670</v>
      </c>
      <c r="Y17" s="5" t="inlineStr">
        <is>
          <t>165 - ENTRADA P/ IND POR CONTA E</t>
        </is>
      </c>
      <c r="Z17" s="5" t="inlineStr">
        <is>
          <t>remessa</t>
        </is>
      </c>
      <c r="AA17" s="6" t="n">
        <v>0</v>
      </c>
      <c r="AB17" s="6" t="n">
        <v>0</v>
      </c>
      <c r="AC17" s="6" t="n">
        <v>0</v>
      </c>
      <c r="AD17" s="6" t="n">
        <v>0</v>
      </c>
      <c r="AE17" s="5" t="inlineStr">
        <is>
          <t>D 608 / C 609</t>
        </is>
      </c>
      <c r="AF17" s="5" t="inlineStr">
        <is>
          <t>OK</t>
        </is>
      </c>
      <c r="AG17" s="5" t="inlineStr">
        <is>
          <t>Remessa para industrialização por conta e ordem do adquirente (insumo do cliente)</t>
        </is>
      </c>
      <c r="AH17" s="5" t="inlineStr">
        <is>
          <t>Sim - exatamente o XML</t>
        </is>
      </c>
      <c r="AI17" s="6" t="n">
        <v>0</v>
      </c>
      <c r="AJ17" s="6" t="n">
        <v>0</v>
      </c>
      <c r="AK17" s="6" t="n">
        <v>0</v>
      </c>
      <c r="AL17" s="6" t="n">
        <v>0</v>
      </c>
      <c r="AM17" s="6" t="n">
        <v>0</v>
      </c>
      <c r="AN17" s="5" t="inlineStr">
        <is>
          <t>41260903839251000152550030000050801135229929</t>
        </is>
      </c>
    </row>
    <row r="18">
      <c r="A18" s="4" t="n">
        <v>46279</v>
      </c>
      <c r="B18" s="5" t="n">
        <v>5133</v>
      </c>
      <c r="C18" s="5" t="inlineStr">
        <is>
          <t>3</t>
        </is>
      </c>
      <c r="D18" s="5" t="inlineStr">
        <is>
          <t>JOSE DOMINGOS LINARES LTDA</t>
        </is>
      </c>
      <c r="E18" s="5" t="inlineStr">
        <is>
          <t>03839251000152</t>
        </is>
      </c>
      <c r="F18" s="5" t="inlineStr">
        <is>
          <t>PR</t>
        </is>
      </c>
      <c r="G18" s="5" t="inlineStr">
        <is>
          <t>Autorizada</t>
        </is>
      </c>
      <c r="H18" s="5" t="inlineStr">
        <is>
          <t>5924</t>
        </is>
      </c>
      <c r="I18" s="5" t="inlineStr">
        <is>
          <t>1924</t>
        </is>
      </c>
      <c r="J18" s="6" t="n">
        <v>2136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2136</v>
      </c>
      <c r="Y18" s="5" t="inlineStr">
        <is>
          <t>165 - ENTRADA P/ IND POR CONTA E</t>
        </is>
      </c>
      <c r="Z18" s="5" t="inlineStr">
        <is>
          <t>remessa</t>
        </is>
      </c>
      <c r="AA18" s="6" t="n">
        <v>0</v>
      </c>
      <c r="AB18" s="6" t="n">
        <v>0</v>
      </c>
      <c r="AC18" s="6" t="n">
        <v>0</v>
      </c>
      <c r="AD18" s="6" t="n">
        <v>0</v>
      </c>
      <c r="AE18" s="5" t="inlineStr">
        <is>
          <t>D 608 / C 609</t>
        </is>
      </c>
      <c r="AF18" s="5" t="inlineStr">
        <is>
          <t>OK</t>
        </is>
      </c>
      <c r="AG18" s="5" t="inlineStr">
        <is>
          <t>Remessa para industrialização por conta e ordem do adquirente (insumo do cliente)</t>
        </is>
      </c>
      <c r="AH18" s="5" t="inlineStr">
        <is>
          <t>Sim - exatamente o XML</t>
        </is>
      </c>
      <c r="AI18" s="6" t="n">
        <v>0</v>
      </c>
      <c r="AJ18" s="6" t="n">
        <v>0</v>
      </c>
      <c r="AK18" s="6" t="n">
        <v>0</v>
      </c>
      <c r="AL18" s="6" t="n">
        <v>0</v>
      </c>
      <c r="AM18" s="6" t="n">
        <v>0</v>
      </c>
      <c r="AN18" s="5" t="inlineStr">
        <is>
          <t>41260903839251000152550030000051331151580428</t>
        </is>
      </c>
    </row>
    <row r="19">
      <c r="A19" s="4" t="n">
        <v>46279</v>
      </c>
      <c r="B19" s="5" t="n">
        <v>13721</v>
      </c>
      <c r="C19" s="5" t="inlineStr">
        <is>
          <t>1</t>
        </is>
      </c>
      <c r="D19" s="5" t="inlineStr">
        <is>
          <t>CAETANO PLASTICOS EMBALAGENS LTDA</t>
        </is>
      </c>
      <c r="E19" s="5" t="inlineStr">
        <is>
          <t>37295717000118</t>
        </is>
      </c>
      <c r="F19" s="5" t="inlineStr">
        <is>
          <t>PR</t>
        </is>
      </c>
      <c r="G19" s="5" t="inlineStr">
        <is>
          <t>Autorizada</t>
        </is>
      </c>
      <c r="H19" s="5" t="inlineStr">
        <is>
          <t>5102</t>
        </is>
      </c>
      <c r="I19" s="5" t="inlineStr">
        <is>
          <t>1101</t>
        </is>
      </c>
      <c r="J19" s="6" t="n">
        <v>2286.82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2286.82</v>
      </c>
      <c r="Y19" s="5" t="inlineStr">
        <is>
          <t xml:space="preserve">100 - COMPRA P/ INDUST - DENTRO </t>
        </is>
      </c>
      <c r="Z19" s="5" t="inlineStr">
        <is>
          <t>insumo</t>
        </is>
      </c>
      <c r="AA19" s="6" t="n">
        <v>0</v>
      </c>
      <c r="AB19" s="6" t="n">
        <v>0</v>
      </c>
      <c r="AC19" s="6" t="n">
        <v>0</v>
      </c>
      <c r="AD19" s="6" t="n">
        <v>0</v>
      </c>
      <c r="AE19" s="5" t="inlineStr">
        <is>
          <t>D 600 / C 506</t>
        </is>
      </c>
      <c r="AF19" s="5" t="inlineStr">
        <is>
          <t>OK</t>
        </is>
      </c>
      <c r="AG19" s="5" t="inlineStr">
        <is>
          <t>Simples CSOSN 102 (tributada SEM permissão de crédito): sem direito a crédito</t>
        </is>
      </c>
      <c r="AH19" s="5" t="inlineStr">
        <is>
          <t>Sim - exatamente o XML</t>
        </is>
      </c>
      <c r="AI19" s="6" t="n">
        <v>0</v>
      </c>
      <c r="AJ19" s="6" t="n">
        <v>0</v>
      </c>
      <c r="AK19" s="6" t="n">
        <v>0</v>
      </c>
      <c r="AL19" s="6" t="n">
        <v>0</v>
      </c>
      <c r="AM19" s="6" t="n">
        <v>0</v>
      </c>
      <c r="AN19" s="5" t="inlineStr">
        <is>
          <t>41260937295717000118550010000137211931581334</t>
        </is>
      </c>
    </row>
    <row r="20">
      <c r="A20" s="4" t="n">
        <v>46280</v>
      </c>
      <c r="B20" s="5" t="n">
        <v>5162</v>
      </c>
      <c r="C20" s="5" t="inlineStr">
        <is>
          <t>3</t>
        </is>
      </c>
      <c r="D20" s="5" t="inlineStr">
        <is>
          <t>JOSE DOMINGOS LINARES LTDA</t>
        </is>
      </c>
      <c r="E20" s="5" t="inlineStr">
        <is>
          <t>03839251000152</t>
        </is>
      </c>
      <c r="F20" s="5" t="inlineStr">
        <is>
          <t>PR</t>
        </is>
      </c>
      <c r="G20" s="5" t="inlineStr">
        <is>
          <t>Autorizada</t>
        </is>
      </c>
      <c r="H20" s="5" t="inlineStr">
        <is>
          <t>5923</t>
        </is>
      </c>
      <c r="I20" s="5" t="inlineStr">
        <is>
          <t>1923</t>
        </is>
      </c>
      <c r="J20" s="6" t="n">
        <v>1112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1112</v>
      </c>
      <c r="Y20" s="5" t="inlineStr">
        <is>
          <t>definir (CFOP 1923)</t>
        </is>
      </c>
      <c r="Z20" s="5" t="inlineStr">
        <is>
          <t>remessa</t>
        </is>
      </c>
      <c r="AA20" s="6" t="n">
        <v>0</v>
      </c>
      <c r="AB20" s="6" t="n">
        <v>0</v>
      </c>
      <c r="AC20" s="6" t="n">
        <v>0</v>
      </c>
      <c r="AD20" s="6" t="n">
        <v>0</v>
      </c>
      <c r="AE20" s="5" t="inlineStr">
        <is>
          <t>sem conta: CFOP 1923 sem acumulador/conta no histórico do Domínio</t>
        </is>
      </c>
      <c r="AF20" s="5" t="inlineStr">
        <is>
          <t>OK</t>
        </is>
      </c>
      <c r="AG20" s="5" t="inlineStr">
        <is>
          <t>Remessa por conta e ordem de terceiros em venda à ordem (a venda vem em outra nota)</t>
        </is>
      </c>
      <c r="AH20" s="5" t="inlineStr">
        <is>
          <t>NÃO - sem acumulador para o CFOP de entrada</t>
        </is>
      </c>
      <c r="AI20" s="6" t="n"/>
      <c r="AJ20" s="6" t="n"/>
      <c r="AK20" s="6" t="n"/>
      <c r="AL20" s="6" t="n"/>
      <c r="AM20" s="6" t="n"/>
      <c r="AN20" s="5" t="inlineStr">
        <is>
          <t>41260903839251000152550030000051621201311907</t>
        </is>
      </c>
    </row>
    <row r="21">
      <c r="A21" s="4" t="n">
        <v>46280</v>
      </c>
      <c r="B21" s="5" t="n">
        <v>40451</v>
      </c>
      <c r="C21" s="5" t="inlineStr">
        <is>
          <t>1</t>
        </is>
      </c>
      <c r="D21" s="5" t="inlineStr">
        <is>
          <t>ILS TECNOLOGIA EM EQUIP DE SEG DO TRABALHO LTDA</t>
        </is>
      </c>
      <c r="E21" s="5" t="inlineStr">
        <is>
          <t>10265455000192</t>
        </is>
      </c>
      <c r="F21" s="5" t="inlineStr">
        <is>
          <t>PR</t>
        </is>
      </c>
      <c r="G21" s="5" t="inlineStr">
        <is>
          <t>Autorizada</t>
        </is>
      </c>
      <c r="H21" s="5" t="inlineStr">
        <is>
          <t>5102</t>
        </is>
      </c>
      <c r="I21" s="5" t="inlineStr">
        <is>
          <t>1556</t>
        </is>
      </c>
      <c r="J21" s="6" t="n">
        <v>370.86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370.86</v>
      </c>
      <c r="Y21" s="5" t="inlineStr">
        <is>
          <t>104 - COMPRA USO E CONSUMO DENTR</t>
        </is>
      </c>
      <c r="Z21" s="5" t="inlineStr">
        <is>
          <t>uso</t>
        </is>
      </c>
      <c r="AA21" s="6" t="n">
        <v>0</v>
      </c>
      <c r="AB21" s="6" t="n">
        <v>0</v>
      </c>
      <c r="AC21" s="6" t="n">
        <v>0</v>
      </c>
      <c r="AD21" s="6" t="n">
        <v>0</v>
      </c>
      <c r="AE21" s="5" t="inlineStr">
        <is>
          <t>D 656 / C 506 (conferir)</t>
        </is>
      </c>
      <c r="AF21" s="5" t="inlineStr">
        <is>
          <t>OK</t>
        </is>
      </c>
      <c r="AG21" s="5" t="inlineStr">
        <is>
          <t>Simples (CSOSN 102) - Uso e consumo (classificação do SPED anterior): sem crédito (só mercadoria para industrialização/comercialização)</t>
        </is>
      </c>
      <c r="AH21" s="5" t="inlineStr">
        <is>
          <t>Sim - uso e consumo: bases zeradas</t>
        </is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0</v>
      </c>
      <c r="AN21" s="5" t="inlineStr">
        <is>
          <t>41260910265455000192550010000404511000405060</t>
        </is>
      </c>
    </row>
    <row r="22">
      <c r="A22" s="4" t="n">
        <v>46281</v>
      </c>
      <c r="B22" s="5" t="n">
        <v>418</v>
      </c>
      <c r="C22" s="5" t="inlineStr">
        <is>
          <t>1</t>
        </is>
      </c>
      <c r="D22" s="5" t="inlineStr">
        <is>
          <t>SAVATEC COMERCIO E SERVICOS LTDA</t>
        </is>
      </c>
      <c r="E22" s="5" t="inlineStr">
        <is>
          <t>59087034000108</t>
        </is>
      </c>
      <c r="F22" s="5" t="inlineStr">
        <is>
          <t>PR</t>
        </is>
      </c>
      <c r="G22" s="5" t="inlineStr">
        <is>
          <t>Autorizada</t>
        </is>
      </c>
      <c r="H22" s="5" t="inlineStr">
        <is>
          <t>5102</t>
        </is>
      </c>
      <c r="I22" s="5" t="inlineStr">
        <is>
          <t>1556</t>
        </is>
      </c>
      <c r="J22" s="6" t="n">
        <v>1280.74</v>
      </c>
      <c r="K22" s="6" t="n">
        <v>0</v>
      </c>
      <c r="L22" s="6" t="n">
        <v>40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1320.74</v>
      </c>
      <c r="V22" s="6" t="n">
        <v>1.32</v>
      </c>
      <c r="W22" s="6" t="n">
        <v>11.89</v>
      </c>
      <c r="X22" s="6" t="n">
        <v>1320.74</v>
      </c>
      <c r="Y22" s="5" t="inlineStr">
        <is>
          <t>104 - COMPRA USO E CONSUMO DENTR</t>
        </is>
      </c>
      <c r="Z22" s="5" t="inlineStr">
        <is>
          <t>uso</t>
        </is>
      </c>
      <c r="AA22" s="6" t="n">
        <v>0</v>
      </c>
      <c r="AB22" s="6" t="n">
        <v>0</v>
      </c>
      <c r="AC22" s="6" t="n">
        <v>0</v>
      </c>
      <c r="AD22" s="6" t="n">
        <v>0</v>
      </c>
      <c r="AE22" s="5" t="inlineStr">
        <is>
          <t>D 513 / C 506 (conferir)</t>
        </is>
      </c>
      <c r="AF22" s="5" t="inlineStr">
        <is>
          <t>OK</t>
        </is>
      </c>
      <c r="AG22" s="5" t="inlineStr">
        <is>
          <t>Simples (CSOSN 103) - Uso e consumo (classificação do SPED anterior): sem crédito (só mercadoria para industrialização/comercialização)</t>
        </is>
      </c>
      <c r="AH22" s="5" t="inlineStr">
        <is>
          <t>Sim - uso e consumo: bases zeradas</t>
        </is>
      </c>
      <c r="AI22" s="6" t="n">
        <v>0</v>
      </c>
      <c r="AJ22" s="6" t="n">
        <v>0</v>
      </c>
      <c r="AK22" s="6" t="n">
        <v>0</v>
      </c>
      <c r="AL22" s="6" t="n">
        <v>0</v>
      </c>
      <c r="AM22" s="6" t="n">
        <v>0</v>
      </c>
      <c r="AN22" s="5" t="inlineStr">
        <is>
          <t>41260959087034000108550010000004181258202600</t>
        </is>
      </c>
    </row>
    <row r="23">
      <c r="A23" s="4" t="n">
        <v>46281</v>
      </c>
      <c r="B23" s="5" t="n">
        <v>5170</v>
      </c>
      <c r="C23" s="5" t="inlineStr">
        <is>
          <t>3</t>
        </is>
      </c>
      <c r="D23" s="5" t="inlineStr">
        <is>
          <t>JOSE DOMINGOS LINARES LTDA</t>
        </is>
      </c>
      <c r="E23" s="5" t="inlineStr">
        <is>
          <t>03839251000152</t>
        </is>
      </c>
      <c r="F23" s="5" t="inlineStr">
        <is>
          <t>PR</t>
        </is>
      </c>
      <c r="G23" s="5" t="inlineStr">
        <is>
          <t>Autorizada</t>
        </is>
      </c>
      <c r="H23" s="5" t="inlineStr">
        <is>
          <t>5924</t>
        </is>
      </c>
      <c r="I23" s="5" t="inlineStr">
        <is>
          <t>1924</t>
        </is>
      </c>
      <c r="J23" s="6" t="n">
        <v>667.2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667.2</v>
      </c>
      <c r="Y23" s="5" t="inlineStr">
        <is>
          <t>165 - ENTRADA P/ IND POR CONTA E</t>
        </is>
      </c>
      <c r="Z23" s="5" t="inlineStr">
        <is>
          <t>remessa</t>
        </is>
      </c>
      <c r="AA23" s="6" t="n">
        <v>0</v>
      </c>
      <c r="AB23" s="6" t="n">
        <v>0</v>
      </c>
      <c r="AC23" s="6" t="n">
        <v>0</v>
      </c>
      <c r="AD23" s="6" t="n">
        <v>0</v>
      </c>
      <c r="AE23" s="5" t="inlineStr">
        <is>
          <t>D 608 / C 609</t>
        </is>
      </c>
      <c r="AF23" s="5" t="inlineStr">
        <is>
          <t>OK</t>
        </is>
      </c>
      <c r="AG23" s="5" t="inlineStr">
        <is>
          <t>Remessa para industrialização por conta e ordem do adquirente (insumo do cliente)</t>
        </is>
      </c>
      <c r="AH23" s="5" t="inlineStr">
        <is>
          <t>Sim - exatamente o XML</t>
        </is>
      </c>
      <c r="AI23" s="6" t="n">
        <v>0</v>
      </c>
      <c r="AJ23" s="6" t="n">
        <v>0</v>
      </c>
      <c r="AK23" s="6" t="n">
        <v>0</v>
      </c>
      <c r="AL23" s="6" t="n">
        <v>0</v>
      </c>
      <c r="AM23" s="6" t="n">
        <v>0</v>
      </c>
      <c r="AN23" s="5" t="inlineStr">
        <is>
          <t>41260903839251000152550030000051701177572396</t>
        </is>
      </c>
    </row>
    <row r="24">
      <c r="A24" s="4" t="n">
        <v>46282</v>
      </c>
      <c r="B24" s="5" t="n">
        <v>814</v>
      </c>
      <c r="C24" s="5" t="inlineStr">
        <is>
          <t>1</t>
        </is>
      </c>
      <c r="D24" s="5" t="inlineStr">
        <is>
          <t>YAHWEH PRINT BRASIL LTDA</t>
        </is>
      </c>
      <c r="E24" s="5" t="inlineStr">
        <is>
          <t>52680145000184</t>
        </is>
      </c>
      <c r="F24" s="5" t="inlineStr">
        <is>
          <t>PR</t>
        </is>
      </c>
      <c r="G24" s="5" t="inlineStr">
        <is>
          <t>Autorizada</t>
        </is>
      </c>
      <c r="H24" s="5" t="inlineStr">
        <is>
          <t>5101</t>
        </is>
      </c>
      <c r="I24" s="5" t="inlineStr">
        <is>
          <t>1101</t>
        </is>
      </c>
      <c r="J24" s="6" t="n">
        <v>253.5</v>
      </c>
      <c r="K24" s="6" t="n">
        <v>0</v>
      </c>
      <c r="L24" s="6" t="n">
        <v>20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273.5</v>
      </c>
      <c r="Y24" s="5" t="inlineStr">
        <is>
          <t xml:space="preserve">100 - COMPRA P/ INDUST - DENTRO </t>
        </is>
      </c>
      <c r="Z24" s="5" t="inlineStr">
        <is>
          <t>insumo</t>
        </is>
      </c>
      <c r="AA24" s="6" t="n">
        <v>0</v>
      </c>
      <c r="AB24" s="6" t="n">
        <v>0</v>
      </c>
      <c r="AC24" s="6" t="n">
        <v>0</v>
      </c>
      <c r="AD24" s="6" t="n">
        <v>0</v>
      </c>
      <c r="AE24" s="5" t="inlineStr">
        <is>
          <t>D 600 / C 506</t>
        </is>
      </c>
      <c r="AF24" s="5" t="inlineStr">
        <is>
          <t>OK</t>
        </is>
      </c>
      <c r="AG24" s="5" t="inlineStr">
        <is>
          <t>Simples CSOSN 102 (tributada SEM permissão de crédito): sem direito a crédito</t>
        </is>
      </c>
      <c r="AH24" s="5" t="inlineStr">
        <is>
          <t>Sim - exatamente o XML</t>
        </is>
      </c>
      <c r="AI24" s="6" t="n">
        <v>0</v>
      </c>
      <c r="AJ24" s="6" t="n">
        <v>0</v>
      </c>
      <c r="AK24" s="6" t="n">
        <v>0</v>
      </c>
      <c r="AL24" s="6" t="n">
        <v>0</v>
      </c>
      <c r="AM24" s="6" t="n">
        <v>0</v>
      </c>
      <c r="AN24" s="5" t="inlineStr">
        <is>
          <t>41260952680145000184550010000008141610067850</t>
        </is>
      </c>
    </row>
    <row r="25">
      <c r="A25" s="4" t="n">
        <v>46282</v>
      </c>
      <c r="B25" s="5" t="n">
        <v>6782</v>
      </c>
      <c r="C25" s="5" t="inlineStr">
        <is>
          <t>1</t>
        </is>
      </c>
      <c r="D25" s="5" t="inlineStr">
        <is>
          <t>ELLOLIMP COMERCIO DE PRODUTOS DE HIGIENE E LIMPEZA LTDA</t>
        </is>
      </c>
      <c r="E25" s="5" t="inlineStr">
        <is>
          <t>49547438000183</t>
        </is>
      </c>
      <c r="F25" s="5" t="inlineStr">
        <is>
          <t>PR</t>
        </is>
      </c>
      <c r="G25" s="5" t="inlineStr">
        <is>
          <t>Autorizada</t>
        </is>
      </c>
      <c r="H25" s="5" t="inlineStr">
        <is>
          <t>5102</t>
        </is>
      </c>
      <c r="I25" s="5" t="inlineStr">
        <is>
          <t>1556</t>
        </is>
      </c>
      <c r="J25" s="6" t="n">
        <v>833.9</v>
      </c>
      <c r="K25" s="6" t="n">
        <v>0</v>
      </c>
      <c r="L25" s="6" t="n">
        <v>0</v>
      </c>
      <c r="M25" s="6" t="n">
        <v>0</v>
      </c>
      <c r="N25" s="6" t="n">
        <v>833.9</v>
      </c>
      <c r="O25" s="6" t="n">
        <v>102.69</v>
      </c>
      <c r="P25" s="6" t="n">
        <v>0</v>
      </c>
      <c r="Q25" s="6" t="n">
        <v>0</v>
      </c>
      <c r="R25" s="6" t="n">
        <v>0</v>
      </c>
      <c r="S25" s="6" t="n">
        <v>12.06</v>
      </c>
      <c r="T25" s="6" t="n">
        <v>55.57</v>
      </c>
      <c r="U25" s="6" t="n">
        <v>731.21</v>
      </c>
      <c r="V25" s="6" t="n">
        <v>0.73</v>
      </c>
      <c r="W25" s="6" t="n">
        <v>6.58</v>
      </c>
      <c r="X25" s="6" t="n">
        <v>833.9</v>
      </c>
      <c r="Y25" s="5" t="inlineStr">
        <is>
          <t>104 - COMPRA USO E CONSUMO DENTR</t>
        </is>
      </c>
      <c r="Z25" s="5" t="inlineStr">
        <is>
          <t>uso</t>
        </is>
      </c>
      <c r="AA25" s="6" t="n">
        <v>0</v>
      </c>
      <c r="AB25" s="6" t="n">
        <v>0</v>
      </c>
      <c r="AC25" s="6" t="n">
        <v>0</v>
      </c>
      <c r="AD25" s="6" t="n">
        <v>0</v>
      </c>
      <c r="AE25" s="5" t="inlineStr">
        <is>
          <t>D 513 / C 506</t>
        </is>
      </c>
      <c r="AF25" s="5" t="inlineStr">
        <is>
          <t>OK</t>
        </is>
      </c>
      <c r="AG25" s="5" t="inlineStr">
        <is>
          <t>Uso e consumo (pano/TNT/EPI): ICMS destacado R$ 95.88 não gera crédito; Uso e consumo (ferramenta/limpeza): ICMS destacado R$ 6.81 não gera crédito</t>
        </is>
      </c>
      <c r="AH25" s="5" t="inlineStr">
        <is>
          <t>Sim - uso e consumo: bases zeradas</t>
        </is>
      </c>
      <c r="AI25" s="6" t="n">
        <v>0</v>
      </c>
      <c r="AJ25" s="6" t="n">
        <v>0</v>
      </c>
      <c r="AK25" s="6" t="n">
        <v>0</v>
      </c>
      <c r="AL25" s="6" t="n">
        <v>0</v>
      </c>
      <c r="AM25" s="6" t="n">
        <v>0</v>
      </c>
      <c r="AN25" s="5" t="inlineStr">
        <is>
          <t>41260949547438000183550010000067821963905200</t>
        </is>
      </c>
    </row>
    <row r="26">
      <c r="A26" s="4" t="n">
        <v>46282</v>
      </c>
      <c r="B26" s="5" t="n">
        <v>23127</v>
      </c>
      <c r="C26" s="5" t="inlineStr">
        <is>
          <t>1</t>
        </is>
      </c>
      <c r="D26" s="5" t="inlineStr">
        <is>
          <t>CARBON CIENTIFICA LTDA</t>
        </is>
      </c>
      <c r="E26" s="5" t="inlineStr">
        <is>
          <t>44114040000130</t>
        </is>
      </c>
      <c r="F26" s="5" t="inlineStr">
        <is>
          <t>PR</t>
        </is>
      </c>
      <c r="G26" s="5" t="inlineStr">
        <is>
          <t>Autorizada</t>
        </is>
      </c>
      <c r="H26" s="5" t="inlineStr">
        <is>
          <t>5949</t>
        </is>
      </c>
      <c r="I26" s="5" t="inlineStr">
        <is>
          <t>1949</t>
        </is>
      </c>
      <c r="J26" s="6" t="n">
        <v>1</v>
      </c>
      <c r="K26" s="6" t="n">
        <v>0</v>
      </c>
      <c r="L26" s="6" t="n">
        <v>0</v>
      </c>
      <c r="M26" s="6" t="n">
        <v>0</v>
      </c>
      <c r="N26" s="6" t="n">
        <v>1</v>
      </c>
      <c r="O26" s="6" t="n">
        <v>0.2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  <c r="Y26" s="5" t="inlineStr">
        <is>
          <t>155 - OUTRAS ENTRADAS DE MERCADO</t>
        </is>
      </c>
      <c r="Z26" s="5" t="inlineStr">
        <is>
          <t>outras</t>
        </is>
      </c>
      <c r="AA26" s="6" t="n">
        <v>0</v>
      </c>
      <c r="AB26" s="6" t="n">
        <v>0</v>
      </c>
      <c r="AC26" s="6" t="n">
        <v>0</v>
      </c>
      <c r="AD26" s="6" t="n">
        <v>0</v>
      </c>
      <c r="AE26" s="5" t="inlineStr">
        <is>
          <t>D 612 / C 613</t>
        </is>
      </c>
      <c r="AF26" s="5" t="inlineStr">
        <is>
          <t>OK</t>
        </is>
      </c>
      <c r="AG26" s="5" t="inlineStr">
        <is>
          <t>Matéria-prima (químico orgânico) - mas CFOP 5949 (outras saídas: amostra/brinde/remessa): ICMS destacado R$ 0.20 não gera crédito</t>
        </is>
      </c>
      <c r="AH26" s="5" t="inlineStr">
        <is>
          <t>Sim - exatamente o XML</t>
        </is>
      </c>
      <c r="AI26" s="6" t="n">
        <v>1</v>
      </c>
      <c r="AJ26" s="6" t="n">
        <v>0.2</v>
      </c>
      <c r="AK26" s="6" t="n">
        <v>0</v>
      </c>
      <c r="AL26" s="6" t="n">
        <v>0</v>
      </c>
      <c r="AM26" s="6" t="n">
        <v>0</v>
      </c>
      <c r="AN26" s="5" t="inlineStr">
        <is>
          <t>41260944114040000130550010000231271000948452</t>
        </is>
      </c>
    </row>
    <row r="27">
      <c r="A27" s="4" t="n">
        <v>46283</v>
      </c>
      <c r="B27" s="5" t="n">
        <v>3214</v>
      </c>
      <c r="C27" s="5" t="inlineStr">
        <is>
          <t>2</t>
        </is>
      </c>
      <c r="D27" s="5" t="inlineStr">
        <is>
          <t>Sul Tape Comercio de Embalagens EIRELI</t>
        </is>
      </c>
      <c r="E27" s="5" t="inlineStr">
        <is>
          <t>25141658000144</t>
        </is>
      </c>
      <c r="F27" s="5" t="inlineStr">
        <is>
          <t>PR</t>
        </is>
      </c>
      <c r="G27" s="5" t="inlineStr">
        <is>
          <t>Autorizada</t>
        </is>
      </c>
      <c r="H27" s="5" t="inlineStr">
        <is>
          <t>5102</t>
        </is>
      </c>
      <c r="I27" s="5" t="inlineStr">
        <is>
          <t>1556</t>
        </is>
      </c>
      <c r="J27" s="6" t="n">
        <v>1140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1140</v>
      </c>
      <c r="V27" s="6" t="n">
        <v>1.14</v>
      </c>
      <c r="W27" s="6" t="n">
        <v>10.26</v>
      </c>
      <c r="X27" s="6" t="n">
        <v>1140</v>
      </c>
      <c r="Y27" s="5" t="inlineStr">
        <is>
          <t>104 - COMPRA USO E CONSUMO DENTR</t>
        </is>
      </c>
      <c r="Z27" s="5" t="inlineStr">
        <is>
          <t>uso</t>
        </is>
      </c>
      <c r="AA27" s="6" t="n">
        <v>0</v>
      </c>
      <c r="AB27" s="6" t="n">
        <v>0</v>
      </c>
      <c r="AC27" s="6" t="n">
        <v>0</v>
      </c>
      <c r="AD27" s="6" t="n">
        <v>0</v>
      </c>
      <c r="AE27" s="5" t="inlineStr">
        <is>
          <t>D 513 / C 506</t>
        </is>
      </c>
      <c r="AF27" s="5" t="inlineStr">
        <is>
          <t>OK</t>
        </is>
      </c>
      <c r="AG27" s="5" t="inlineStr">
        <is>
          <t>Simples (CSOSN 103) - Uso e consumo (classificação do SPED anterior): sem crédito (só mercadoria para industrialização/comercialização)</t>
        </is>
      </c>
      <c r="AH27" s="5" t="inlineStr">
        <is>
          <t>Sim - uso e consumo: bases zeradas</t>
        </is>
      </c>
      <c r="AI27" s="6" t="n">
        <v>0</v>
      </c>
      <c r="AJ27" s="6" t="n">
        <v>0</v>
      </c>
      <c r="AK27" s="6" t="n">
        <v>0</v>
      </c>
      <c r="AL27" s="6" t="n">
        <v>0</v>
      </c>
      <c r="AM27" s="6" t="n">
        <v>0</v>
      </c>
      <c r="AN27" s="5" t="inlineStr">
        <is>
          <t>41260925141658000144550020000032141236266620</t>
        </is>
      </c>
    </row>
    <row r="28">
      <c r="A28" s="4" t="n">
        <v>46283</v>
      </c>
      <c r="B28" s="5" t="n">
        <v>17187</v>
      </c>
      <c r="C28" s="5" t="inlineStr">
        <is>
          <t>1</t>
        </is>
      </c>
      <c r="D28" s="5" t="inlineStr">
        <is>
          <t>ONIXSUL COSMETICOS</t>
        </is>
      </c>
      <c r="E28" s="5" t="inlineStr">
        <is>
          <t>18074269000188</t>
        </is>
      </c>
      <c r="F28" s="5" t="inlineStr">
        <is>
          <t>PR</t>
        </is>
      </c>
      <c r="G28" s="5" t="inlineStr">
        <is>
          <t>Autorizada</t>
        </is>
      </c>
      <c r="H28" s="5" t="inlineStr">
        <is>
          <t>5901</t>
        </is>
      </c>
      <c r="I28" s="5" t="inlineStr">
        <is>
          <t>1901</t>
        </is>
      </c>
      <c r="J28" s="6" t="n">
        <v>5700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5700</v>
      </c>
      <c r="Y28" s="5" t="inlineStr">
        <is>
          <t>149 - ENTRADA PARA IND. POR ENCO</t>
        </is>
      </c>
      <c r="Z28" s="5" t="inlineStr">
        <is>
          <t>remessa</t>
        </is>
      </c>
      <c r="AA28" s="6" t="n">
        <v>0</v>
      </c>
      <c r="AB28" s="6" t="n">
        <v>0</v>
      </c>
      <c r="AC28" s="6" t="n">
        <v>0</v>
      </c>
      <c r="AD28" s="6" t="n">
        <v>0</v>
      </c>
      <c r="AE28" s="5" t="inlineStr">
        <is>
          <t>D 614 / C 607</t>
        </is>
      </c>
      <c r="AF28" s="5" t="inlineStr">
        <is>
          <t>OK</t>
        </is>
      </c>
      <c r="AG28" s="5" t="inlineStr">
        <is>
          <t>Simples (CSOSN 400) - Remessa para industrialização por encomenda (insumo do cliente): sem crédito (só mercadoria para industrialização/comercialização)</t>
        </is>
      </c>
      <c r="AH28" s="5" t="inlineStr">
        <is>
          <t>Sim - exatamente o XML</t>
        </is>
      </c>
      <c r="AI28" s="6" t="n">
        <v>0</v>
      </c>
      <c r="AJ28" s="6" t="n">
        <v>0</v>
      </c>
      <c r="AK28" s="6" t="n">
        <v>0</v>
      </c>
      <c r="AL28" s="6" t="n">
        <v>0</v>
      </c>
      <c r="AM28" s="6" t="n">
        <v>0</v>
      </c>
      <c r="AN28" s="5" t="inlineStr">
        <is>
          <t>41260918074269000188550010000171871932036922</t>
        </is>
      </c>
    </row>
    <row r="29">
      <c r="A29" s="4" t="n">
        <v>46286</v>
      </c>
      <c r="B29" s="5" t="n">
        <v>4551</v>
      </c>
      <c r="C29" s="5" t="inlineStr">
        <is>
          <t>2</t>
        </is>
      </c>
      <c r="D29" s="5" t="inlineStr">
        <is>
          <t>BB COSMETICOS LTDA</t>
        </is>
      </c>
      <c r="E29" s="5" t="inlineStr">
        <is>
          <t>21822008000103</t>
        </is>
      </c>
      <c r="F29" s="5" t="inlineStr">
        <is>
          <t>PR</t>
        </is>
      </c>
      <c r="G29" s="5" t="inlineStr">
        <is>
          <t>Autorizada</t>
        </is>
      </c>
      <c r="H29" s="5" t="inlineStr">
        <is>
          <t>5901</t>
        </is>
      </c>
      <c r="I29" s="5" t="inlineStr">
        <is>
          <t>1901</t>
        </is>
      </c>
      <c r="J29" s="6" t="n">
        <v>65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65</v>
      </c>
      <c r="Y29" s="5" t="inlineStr">
        <is>
          <t>149 - ENTRADA PARA IND. POR ENCO</t>
        </is>
      </c>
      <c r="Z29" s="5" t="inlineStr">
        <is>
          <t>remessa</t>
        </is>
      </c>
      <c r="AA29" s="6" t="n">
        <v>0</v>
      </c>
      <c r="AB29" s="6" t="n">
        <v>0</v>
      </c>
      <c r="AC29" s="6" t="n">
        <v>0</v>
      </c>
      <c r="AD29" s="6" t="n">
        <v>0</v>
      </c>
      <c r="AE29" s="5" t="inlineStr">
        <is>
          <t>D 614 / C 607</t>
        </is>
      </c>
      <c r="AF29" s="5" t="inlineStr">
        <is>
          <t>OK</t>
        </is>
      </c>
      <c r="AG29" s="5" t="inlineStr">
        <is>
          <t>Simples (CSOSN 500) - Remessa para industrialização por encomenda (insumo do cliente): sem crédito (só mercadoria para industrialização/comercialização)</t>
        </is>
      </c>
      <c r="AH29" s="5" t="inlineStr">
        <is>
          <t>Sim - exatamente o XML</t>
        </is>
      </c>
      <c r="AI29" s="6" t="n">
        <v>0</v>
      </c>
      <c r="AJ29" s="6" t="n">
        <v>0</v>
      </c>
      <c r="AK29" s="6" t="n">
        <v>0</v>
      </c>
      <c r="AL29" s="6" t="n">
        <v>0</v>
      </c>
      <c r="AM29" s="6" t="n">
        <v>0</v>
      </c>
      <c r="AN29" s="5" t="inlineStr">
        <is>
          <t>41260921822008000103550020000045511028307079</t>
        </is>
      </c>
    </row>
    <row r="30">
      <c r="A30" s="4" t="n">
        <v>46286</v>
      </c>
      <c r="B30" s="5" t="n">
        <v>5233</v>
      </c>
      <c r="C30" s="5" t="inlineStr">
        <is>
          <t>3</t>
        </is>
      </c>
      <c r="D30" s="5" t="inlineStr">
        <is>
          <t>JOSE DOMINGOS LINARES LTDA</t>
        </is>
      </c>
      <c r="E30" s="5" t="inlineStr">
        <is>
          <t>03839251000152</t>
        </is>
      </c>
      <c r="F30" s="5" t="inlineStr">
        <is>
          <t>PR</t>
        </is>
      </c>
      <c r="G30" s="5" t="inlineStr">
        <is>
          <t>Autorizada</t>
        </is>
      </c>
      <c r="H30" s="5" t="inlineStr">
        <is>
          <t>5924</t>
        </is>
      </c>
      <c r="I30" s="5" t="inlineStr">
        <is>
          <t>1924</t>
        </is>
      </c>
      <c r="J30" s="6" t="n">
        <v>2420.01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2420.01</v>
      </c>
      <c r="Y30" s="5" t="inlineStr">
        <is>
          <t>165 - ENTRADA P/ IND POR CONTA E</t>
        </is>
      </c>
      <c r="Z30" s="5" t="inlineStr">
        <is>
          <t>remessa</t>
        </is>
      </c>
      <c r="AA30" s="6" t="n">
        <v>0</v>
      </c>
      <c r="AB30" s="6" t="n">
        <v>0</v>
      </c>
      <c r="AC30" s="6" t="n">
        <v>0</v>
      </c>
      <c r="AD30" s="6" t="n">
        <v>0</v>
      </c>
      <c r="AE30" s="5" t="inlineStr">
        <is>
          <t>D 608 / C 609</t>
        </is>
      </c>
      <c r="AF30" s="5" t="inlineStr">
        <is>
          <t>OK</t>
        </is>
      </c>
      <c r="AG30" s="5" t="inlineStr">
        <is>
          <t>Remessa para industrialização por conta e ordem do adquirente (insumo do cliente)</t>
        </is>
      </c>
      <c r="AH30" s="5" t="inlineStr">
        <is>
          <t>Sim - exatamente o XML</t>
        </is>
      </c>
      <c r="AI30" s="6" t="n">
        <v>0</v>
      </c>
      <c r="AJ30" s="6" t="n">
        <v>0</v>
      </c>
      <c r="AK30" s="6" t="n">
        <v>0</v>
      </c>
      <c r="AL30" s="6" t="n">
        <v>0</v>
      </c>
      <c r="AM30" s="6" t="n">
        <v>0</v>
      </c>
      <c r="AN30" s="5" t="inlineStr">
        <is>
          <t>41260903839251000152550030000052331135756040</t>
        </is>
      </c>
    </row>
    <row r="31">
      <c r="A31" s="4" t="n">
        <v>46286</v>
      </c>
      <c r="B31" s="5" t="n">
        <v>5235</v>
      </c>
      <c r="C31" s="5" t="inlineStr">
        <is>
          <t>3</t>
        </is>
      </c>
      <c r="D31" s="5" t="inlineStr">
        <is>
          <t>JOSE DOMINGOS LINARES LTDA</t>
        </is>
      </c>
      <c r="E31" s="5" t="inlineStr">
        <is>
          <t>03839251000152</t>
        </is>
      </c>
      <c r="F31" s="5" t="inlineStr">
        <is>
          <t>PR</t>
        </is>
      </c>
      <c r="G31" s="5" t="inlineStr">
        <is>
          <t>Autorizada</t>
        </is>
      </c>
      <c r="H31" s="5" t="inlineStr">
        <is>
          <t>5924</t>
        </is>
      </c>
      <c r="I31" s="5" t="inlineStr">
        <is>
          <t>1924</t>
        </is>
      </c>
      <c r="J31" s="6" t="n">
        <v>1760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1760</v>
      </c>
      <c r="Y31" s="5" t="inlineStr">
        <is>
          <t>165 - ENTRADA P/ IND POR CONTA E</t>
        </is>
      </c>
      <c r="Z31" s="5" t="inlineStr">
        <is>
          <t>remessa</t>
        </is>
      </c>
      <c r="AA31" s="6" t="n">
        <v>0</v>
      </c>
      <c r="AB31" s="6" t="n">
        <v>0</v>
      </c>
      <c r="AC31" s="6" t="n">
        <v>0</v>
      </c>
      <c r="AD31" s="6" t="n">
        <v>0</v>
      </c>
      <c r="AE31" s="5" t="inlineStr">
        <is>
          <t>D 608 / C 609</t>
        </is>
      </c>
      <c r="AF31" s="5" t="inlineStr">
        <is>
          <t>OK</t>
        </is>
      </c>
      <c r="AG31" s="5" t="inlineStr">
        <is>
          <t>Remessa para industrialização por conta e ordem do adquirente (insumo do cliente)</t>
        </is>
      </c>
      <c r="AH31" s="5" t="inlineStr">
        <is>
          <t>Sim - exatamente o XML</t>
        </is>
      </c>
      <c r="AI31" s="6" t="n">
        <v>0</v>
      </c>
      <c r="AJ31" s="6" t="n">
        <v>0</v>
      </c>
      <c r="AK31" s="6" t="n">
        <v>0</v>
      </c>
      <c r="AL31" s="6" t="n">
        <v>0</v>
      </c>
      <c r="AM31" s="6" t="n">
        <v>0</v>
      </c>
      <c r="AN31" s="5" t="inlineStr">
        <is>
          <t>41260903839251000152550030000052351191452986</t>
        </is>
      </c>
    </row>
    <row r="32">
      <c r="A32" s="4" t="n">
        <v>46286</v>
      </c>
      <c r="B32" s="5" t="n">
        <v>55874</v>
      </c>
      <c r="C32" s="5" t="inlineStr">
        <is>
          <t>1</t>
        </is>
      </c>
      <c r="D32" s="5" t="inlineStr">
        <is>
          <t>Mix Perfumaria</t>
        </is>
      </c>
      <c r="E32" s="5" t="inlineStr">
        <is>
          <t>06237330000181</t>
        </is>
      </c>
      <c r="F32" s="5" t="inlineStr">
        <is>
          <t>PR</t>
        </is>
      </c>
      <c r="G32" s="5" t="inlineStr">
        <is>
          <t>Autorizada</t>
        </is>
      </c>
      <c r="H32" s="5" t="inlineStr">
        <is>
          <t>5901</t>
        </is>
      </c>
      <c r="I32" s="5" t="inlineStr">
        <is>
          <t>1901</t>
        </is>
      </c>
      <c r="J32" s="6" t="n">
        <v>600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600</v>
      </c>
      <c r="Y32" s="5" t="inlineStr">
        <is>
          <t>149 - ENTRADA PARA IND. POR ENCO</t>
        </is>
      </c>
      <c r="Z32" s="5" t="inlineStr">
        <is>
          <t>remessa</t>
        </is>
      </c>
      <c r="AA32" s="6" t="n">
        <v>0</v>
      </c>
      <c r="AB32" s="6" t="n">
        <v>0</v>
      </c>
      <c r="AC32" s="6" t="n">
        <v>0</v>
      </c>
      <c r="AD32" s="6" t="n">
        <v>0</v>
      </c>
      <c r="AE32" s="5" t="inlineStr">
        <is>
          <t>D 614 / C 607</t>
        </is>
      </c>
      <c r="AF32" s="5" t="inlineStr">
        <is>
          <t>OK</t>
        </is>
      </c>
      <c r="AG32" s="5" t="inlineStr">
        <is>
          <t>Remessa para industrialização por encomenda (insumo do cliente)</t>
        </is>
      </c>
      <c r="AH32" s="5" t="inlineStr">
        <is>
          <t>Sim - exatamente o XML</t>
        </is>
      </c>
      <c r="AI32" s="6" t="n">
        <v>0</v>
      </c>
      <c r="AJ32" s="6" t="n">
        <v>0</v>
      </c>
      <c r="AK32" s="6" t="n">
        <v>0</v>
      </c>
      <c r="AL32" s="6" t="n">
        <v>0</v>
      </c>
      <c r="AM32" s="6" t="n">
        <v>0</v>
      </c>
      <c r="AN32" s="5" t="inlineStr">
        <is>
          <t>41260906237330000181550010000558741118273450</t>
        </is>
      </c>
    </row>
    <row r="33">
      <c r="A33" s="4" t="n">
        <v>46288</v>
      </c>
      <c r="B33" s="5" t="n">
        <v>55913</v>
      </c>
      <c r="C33" s="5" t="inlineStr">
        <is>
          <t>1</t>
        </is>
      </c>
      <c r="D33" s="5" t="inlineStr">
        <is>
          <t>Mix Perfumaria</t>
        </is>
      </c>
      <c r="E33" s="5" t="inlineStr">
        <is>
          <t>06237330000181</t>
        </is>
      </c>
      <c r="F33" s="5" t="inlineStr">
        <is>
          <t>PR</t>
        </is>
      </c>
      <c r="G33" s="5" t="inlineStr">
        <is>
          <t>Autorizada</t>
        </is>
      </c>
      <c r="H33" s="5" t="inlineStr">
        <is>
          <t>5901</t>
        </is>
      </c>
      <c r="I33" s="5" t="inlineStr">
        <is>
          <t>1901</t>
        </is>
      </c>
      <c r="J33" s="6" t="n">
        <v>556.5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556.5</v>
      </c>
      <c r="Y33" s="5" t="inlineStr">
        <is>
          <t>149 - ENTRADA PARA IND. POR ENCO</t>
        </is>
      </c>
      <c r="Z33" s="5" t="inlineStr">
        <is>
          <t>remessa</t>
        </is>
      </c>
      <c r="AA33" s="6" t="n">
        <v>0</v>
      </c>
      <c r="AB33" s="6" t="n">
        <v>0</v>
      </c>
      <c r="AC33" s="6" t="n">
        <v>0</v>
      </c>
      <c r="AD33" s="6" t="n">
        <v>0</v>
      </c>
      <c r="AE33" s="5" t="inlineStr">
        <is>
          <t>D 614 / C 607</t>
        </is>
      </c>
      <c r="AF33" s="5" t="inlineStr">
        <is>
          <t>OK</t>
        </is>
      </c>
      <c r="AG33" s="5" t="inlineStr">
        <is>
          <t>Remessa para industrialização por encomenda (insumo do cliente)</t>
        </is>
      </c>
      <c r="AH33" s="5" t="inlineStr">
        <is>
          <t>Sim - exatamente o XML</t>
        </is>
      </c>
      <c r="AI33" s="6" t="n">
        <v>0</v>
      </c>
      <c r="AJ33" s="6" t="n">
        <v>0</v>
      </c>
      <c r="AK33" s="6" t="n">
        <v>0</v>
      </c>
      <c r="AL33" s="6" t="n">
        <v>0</v>
      </c>
      <c r="AM33" s="6" t="n">
        <v>0</v>
      </c>
      <c r="AN33" s="5" t="inlineStr">
        <is>
          <t>41260906237330000181550010000559131118294105</t>
        </is>
      </c>
    </row>
    <row r="34">
      <c r="A34" s="4" t="n">
        <v>46294</v>
      </c>
      <c r="B34" s="5" t="n">
        <v>5382</v>
      </c>
      <c r="C34" s="5" t="inlineStr">
        <is>
          <t>3</t>
        </is>
      </c>
      <c r="D34" s="5" t="inlineStr">
        <is>
          <t>JOSE DOMINGOS LINARES LTDA</t>
        </is>
      </c>
      <c r="E34" s="5" t="inlineStr">
        <is>
          <t>03839251000152</t>
        </is>
      </c>
      <c r="F34" s="5" t="inlineStr">
        <is>
          <t>PR</t>
        </is>
      </c>
      <c r="G34" s="5" t="inlineStr">
        <is>
          <t>Autorizada</t>
        </is>
      </c>
      <c r="H34" s="5" t="inlineStr">
        <is>
          <t>5949</t>
        </is>
      </c>
      <c r="I34" s="5" t="inlineStr">
        <is>
          <t>1949</t>
        </is>
      </c>
      <c r="J34" s="6" t="n">
        <v>1893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1893</v>
      </c>
      <c r="Y34" s="5" t="inlineStr">
        <is>
          <t>155 - OUTRAS ENTRADAS DE MERCADO</t>
        </is>
      </c>
      <c r="Z34" s="5" t="inlineStr">
        <is>
          <t>outras</t>
        </is>
      </c>
      <c r="AA34" s="6" t="n">
        <v>0</v>
      </c>
      <c r="AB34" s="6" t="n">
        <v>0</v>
      </c>
      <c r="AC34" s="6" t="n">
        <v>0</v>
      </c>
      <c r="AD34" s="6" t="n">
        <v>0</v>
      </c>
      <c r="AE34" s="5" t="inlineStr">
        <is>
          <t>D 612 / C 613</t>
        </is>
      </c>
      <c r="AF34" s="5" t="inlineStr">
        <is>
          <t>OK</t>
        </is>
      </c>
      <c r="AG34" s="5" t="inlineStr">
        <is>
          <t>Embalagem (rótulo/etiqueta) - mas CFOP 5949 (outras saídas: amostra/brinde/remessa)</t>
        </is>
      </c>
      <c r="AH34" s="5" t="inlineStr">
        <is>
          <t>Sim - exatamente o XML</t>
        </is>
      </c>
      <c r="AI34" s="6" t="n">
        <v>0</v>
      </c>
      <c r="AJ34" s="6" t="n">
        <v>0</v>
      </c>
      <c r="AK34" s="6" t="n">
        <v>0</v>
      </c>
      <c r="AL34" s="6" t="n">
        <v>0</v>
      </c>
      <c r="AM34" s="6" t="n">
        <v>0</v>
      </c>
      <c r="AN34" s="5" t="inlineStr">
        <is>
          <t>41260903839251000152550030000053821102007626</t>
        </is>
      </c>
    </row>
    <row r="35">
      <c r="A35" s="4" t="n">
        <v>46294</v>
      </c>
      <c r="B35" s="5" t="n">
        <v>56004</v>
      </c>
      <c r="C35" s="5" t="inlineStr">
        <is>
          <t>1</t>
        </is>
      </c>
      <c r="D35" s="5" t="inlineStr">
        <is>
          <t>Mix Perfumaria</t>
        </is>
      </c>
      <c r="E35" s="5" t="inlineStr">
        <is>
          <t>06237330000181</t>
        </is>
      </c>
      <c r="F35" s="5" t="inlineStr">
        <is>
          <t>PR</t>
        </is>
      </c>
      <c r="G35" s="5" t="inlineStr">
        <is>
          <t>Autorizada</t>
        </is>
      </c>
      <c r="H35" s="5" t="inlineStr">
        <is>
          <t>5901</t>
        </is>
      </c>
      <c r="I35" s="5" t="inlineStr">
        <is>
          <t>1901</t>
        </is>
      </c>
      <c r="J35" s="6" t="n">
        <v>300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300</v>
      </c>
      <c r="Y35" s="5" t="inlineStr">
        <is>
          <t>149 - ENTRADA PARA IND. POR ENCO</t>
        </is>
      </c>
      <c r="Z35" s="5" t="inlineStr">
        <is>
          <t>remessa</t>
        </is>
      </c>
      <c r="AA35" s="6" t="n">
        <v>0</v>
      </c>
      <c r="AB35" s="6" t="n">
        <v>0</v>
      </c>
      <c r="AC35" s="6" t="n">
        <v>0</v>
      </c>
      <c r="AD35" s="6" t="n">
        <v>0</v>
      </c>
      <c r="AE35" s="5" t="inlineStr">
        <is>
          <t>D 614 / C 607</t>
        </is>
      </c>
      <c r="AF35" s="5" t="inlineStr">
        <is>
          <t>OK</t>
        </is>
      </c>
      <c r="AG35" s="5" t="inlineStr">
        <is>
          <t>Remessa para industrialização por encomenda (insumo do cliente)</t>
        </is>
      </c>
      <c r="AH35" s="5" t="inlineStr">
        <is>
          <t>Sim - exatamente o XML</t>
        </is>
      </c>
      <c r="AI35" s="6" t="n">
        <v>0</v>
      </c>
      <c r="AJ35" s="6" t="n">
        <v>0</v>
      </c>
      <c r="AK35" s="6" t="n">
        <v>0</v>
      </c>
      <c r="AL35" s="6" t="n">
        <v>0</v>
      </c>
      <c r="AM35" s="6" t="n">
        <v>0</v>
      </c>
      <c r="AN35" s="5" t="inlineStr">
        <is>
          <t>41260906237330000181550010000560041118322920</t>
        </is>
      </c>
    </row>
    <row r="36">
      <c r="A36" s="4" t="n">
        <v>46294</v>
      </c>
      <c r="B36" s="5" t="n">
        <v>222098</v>
      </c>
      <c r="C36" s="5" t="inlineStr">
        <is>
          <t>1</t>
        </is>
      </c>
      <c r="D36" s="5" t="inlineStr">
        <is>
          <t>FARMANILQUIMA COM. ANILINAS E PRODS.QUIM.LTDA</t>
        </is>
      </c>
      <c r="E36" s="5" t="inlineStr">
        <is>
          <t>76509488000149</t>
        </is>
      </c>
      <c r="F36" s="5" t="inlineStr">
        <is>
          <t>PR</t>
        </is>
      </c>
      <c r="G36" s="5" t="inlineStr">
        <is>
          <t>Autorizada</t>
        </is>
      </c>
      <c r="H36" s="5" t="inlineStr">
        <is>
          <t>5102</t>
        </is>
      </c>
      <c r="I36" s="5" t="inlineStr">
        <is>
          <t>1101</t>
        </is>
      </c>
      <c r="J36" s="6" t="n">
        <v>200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200</v>
      </c>
      <c r="Y36" s="5" t="inlineStr">
        <is>
          <t xml:space="preserve">100 - COMPRA P/ INDUST - DENTRO </t>
        </is>
      </c>
      <c r="Z36" s="5" t="inlineStr">
        <is>
          <t>insumo</t>
        </is>
      </c>
      <c r="AA36" s="6" t="n">
        <v>0</v>
      </c>
      <c r="AB36" s="6" t="n">
        <v>0</v>
      </c>
      <c r="AC36" s="6" t="n">
        <v>0</v>
      </c>
      <c r="AD36" s="6" t="n">
        <v>0</v>
      </c>
      <c r="AE36" s="5" t="inlineStr">
        <is>
          <t>D 56 / C 506</t>
        </is>
      </c>
      <c r="AF36" s="5" t="inlineStr">
        <is>
          <t>OK</t>
        </is>
      </c>
      <c r="AG36" s="5" t="inlineStr">
        <is>
          <t>Simples CSOSN 102 (tributada SEM permissão de crédito): sem direito a crédito</t>
        </is>
      </c>
      <c r="AH36" s="5" t="inlineStr">
        <is>
          <t>Sim - exatamente o XML</t>
        </is>
      </c>
      <c r="AI36" s="6" t="n">
        <v>0</v>
      </c>
      <c r="AJ36" s="6" t="n">
        <v>0</v>
      </c>
      <c r="AK36" s="6" t="n">
        <v>0</v>
      </c>
      <c r="AL36" s="6" t="n">
        <v>0</v>
      </c>
      <c r="AM36" s="6" t="n">
        <v>0</v>
      </c>
      <c r="AN36" s="5" t="inlineStr">
        <is>
          <t>41260976509488000149550010002220981017634246</t>
        </is>
      </c>
    </row>
    <row r="37">
      <c r="A37" s="4" t="n">
        <v>46295</v>
      </c>
      <c r="B37" s="5" t="n">
        <v>42</v>
      </c>
      <c r="C37" s="5" t="inlineStr">
        <is>
          <t>1</t>
        </is>
      </c>
      <c r="D37" s="5" t="inlineStr">
        <is>
          <t>MERCKPAR COMERCIAL LTDA</t>
        </is>
      </c>
      <c r="E37" s="5" t="inlineStr">
        <is>
          <t>63460684000124</t>
        </is>
      </c>
      <c r="F37" s="5" t="inlineStr">
        <is>
          <t>PR</t>
        </is>
      </c>
      <c r="G37" s="5" t="inlineStr">
        <is>
          <t>Autorizada</t>
        </is>
      </c>
      <c r="H37" s="5" t="inlineStr">
        <is>
          <t>5102</t>
        </is>
      </c>
      <c r="I37" s="5" t="inlineStr">
        <is>
          <t>1101</t>
        </is>
      </c>
      <c r="J37" s="6" t="n">
        <v>1180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1180</v>
      </c>
      <c r="Y37" s="5" t="inlineStr">
        <is>
          <t xml:space="preserve">100 - COMPRA P/ INDUST - DENTRO </t>
        </is>
      </c>
      <c r="Z37" s="5" t="inlineStr">
        <is>
          <t>insumo</t>
        </is>
      </c>
      <c r="AA37" s="6" t="n">
        <v>0</v>
      </c>
      <c r="AB37" s="6" t="n">
        <v>0</v>
      </c>
      <c r="AC37" s="6" t="n">
        <v>0</v>
      </c>
      <c r="AD37" s="6" t="n">
        <v>0</v>
      </c>
      <c r="AE37" s="5" t="inlineStr">
        <is>
          <t>D 56 / C 506 (conferir)</t>
        </is>
      </c>
      <c r="AF37" s="5" t="inlineStr">
        <is>
          <t>OK</t>
        </is>
      </c>
      <c r="AG37" s="5" t="inlineStr">
        <is>
          <t>Simples CSOSN 101 sem percentual de crédito (pCredSN 0%); Sem crédito: segue o XML (CSOSN com permissão de crédito, mas sem % informado)</t>
        </is>
      </c>
      <c r="AH37" s="5" t="inlineStr">
        <is>
          <t>Sim - exatamente o XML</t>
        </is>
      </c>
      <c r="AI37" s="6" t="n">
        <v>0</v>
      </c>
      <c r="AJ37" s="6" t="n">
        <v>0</v>
      </c>
      <c r="AK37" s="6" t="n">
        <v>0</v>
      </c>
      <c r="AL37" s="6" t="n">
        <v>0</v>
      </c>
      <c r="AM37" s="6" t="n">
        <v>0</v>
      </c>
      <c r="AN37" s="5" t="inlineStr">
        <is>
          <t>41260963460684000124550010000000421742919846</t>
        </is>
      </c>
    </row>
    <row r="38">
      <c r="A38" s="4" t="n">
        <v>46295</v>
      </c>
      <c r="B38" s="5" t="n">
        <v>38175</v>
      </c>
      <c r="C38" s="5" t="inlineStr">
        <is>
          <t>1</t>
        </is>
      </c>
      <c r="D38" s="5" t="inlineStr">
        <is>
          <t>ALLOXY ESPECIALIDADES QUIMICAS LTDA</t>
        </is>
      </c>
      <c r="E38" s="5" t="inlineStr">
        <is>
          <t>16987597000140</t>
        </is>
      </c>
      <c r="F38" s="5" t="inlineStr">
        <is>
          <t>PR</t>
        </is>
      </c>
      <c r="G38" s="5" t="inlineStr">
        <is>
          <t>Autorizada</t>
        </is>
      </c>
      <c r="H38" s="5" t="inlineStr">
        <is>
          <t>5101</t>
        </is>
      </c>
      <c r="I38" s="5" t="inlineStr">
        <is>
          <t>1101</t>
        </is>
      </c>
      <c r="J38" s="6" t="n">
        <v>5593.5</v>
      </c>
      <c r="K38" s="6" t="n">
        <v>0</v>
      </c>
      <c r="L38" s="6" t="n">
        <v>0</v>
      </c>
      <c r="M38" s="6" t="n">
        <v>0</v>
      </c>
      <c r="N38" s="6" t="n">
        <v>5593.5</v>
      </c>
      <c r="O38" s="6" t="n">
        <v>671.22</v>
      </c>
      <c r="P38" s="6" t="n">
        <v>0</v>
      </c>
      <c r="Q38" s="6" t="n">
        <v>0</v>
      </c>
      <c r="R38" s="6" t="n">
        <v>0</v>
      </c>
      <c r="S38" s="6" t="n">
        <v>81.22</v>
      </c>
      <c r="T38" s="6" t="n">
        <v>374.09</v>
      </c>
      <c r="U38" s="6" t="n">
        <v>4466.97</v>
      </c>
      <c r="V38" s="6" t="n">
        <v>4.47</v>
      </c>
      <c r="W38" s="6" t="n">
        <v>40.2</v>
      </c>
      <c r="X38" s="6" t="n">
        <v>5593.5</v>
      </c>
      <c r="Y38" s="5" t="inlineStr">
        <is>
          <t xml:space="preserve">100 - COMPRA P/ INDUST - DENTRO </t>
        </is>
      </c>
      <c r="Z38" s="5" t="inlineStr">
        <is>
          <t>insumo</t>
        </is>
      </c>
      <c r="AA38" s="6" t="n">
        <v>671.22</v>
      </c>
      <c r="AB38" s="6" t="n">
        <v>0</v>
      </c>
      <c r="AC38" s="6" t="n">
        <v>0</v>
      </c>
      <c r="AD38" s="6" t="n">
        <v>0</v>
      </c>
      <c r="AE38" s="5" t="inlineStr">
        <is>
          <t>D 56 / C 506</t>
        </is>
      </c>
      <c r="AF38" s="5" t="inlineStr">
        <is>
          <t>OK</t>
        </is>
      </c>
      <c r="AG38" s="5" t="inlineStr">
        <is>
          <t>ICMS destacado (CST 51) em insumo (classificação do sped anterior)</t>
        </is>
      </c>
      <c r="AH38" s="5" t="inlineStr">
        <is>
          <t>Sim - exatamente o XML</t>
        </is>
      </c>
      <c r="AI38" s="6" t="n">
        <v>5593.5</v>
      </c>
      <c r="AJ38" s="6" t="n">
        <v>671.22</v>
      </c>
      <c r="AK38" s="6" t="n">
        <v>0</v>
      </c>
      <c r="AL38" s="6" t="n">
        <v>81.22</v>
      </c>
      <c r="AM38" s="6" t="n">
        <v>374.09</v>
      </c>
      <c r="AN38" s="5" t="inlineStr">
        <is>
          <t>41260916987597000140550010000381751288422874</t>
        </is>
      </c>
    </row>
    <row r="39">
      <c r="A39" s="4" t="n">
        <v>46295</v>
      </c>
      <c r="B39" s="5" t="n">
        <v>97145</v>
      </c>
      <c r="C39" s="5" t="inlineStr">
        <is>
          <t>1</t>
        </is>
      </c>
      <c r="D39" s="5" t="inlineStr">
        <is>
          <t>Supermercado Boza Ltda</t>
        </is>
      </c>
      <c r="E39" s="5" t="inlineStr">
        <is>
          <t>73419905000174</t>
        </is>
      </c>
      <c r="F39" s="5" t="inlineStr">
        <is>
          <t>PR</t>
        </is>
      </c>
      <c r="G39" s="5" t="inlineStr">
        <is>
          <t>Autorizada</t>
        </is>
      </c>
      <c r="H39" s="5" t="inlineStr">
        <is>
          <t>5102</t>
        </is>
      </c>
      <c r="I39" s="5" t="inlineStr">
        <is>
          <t>1556</t>
        </is>
      </c>
      <c r="J39" s="6" t="n">
        <v>356.97</v>
      </c>
      <c r="K39" s="6" t="n">
        <v>0</v>
      </c>
      <c r="L39" s="6" t="n">
        <v>0</v>
      </c>
      <c r="M39" s="6" t="n">
        <v>32.8</v>
      </c>
      <c r="N39" s="6" t="n">
        <v>27.67</v>
      </c>
      <c r="O39" s="6" t="n">
        <v>5.4</v>
      </c>
      <c r="P39" s="6" t="n">
        <v>0</v>
      </c>
      <c r="Q39" s="6" t="n">
        <v>0</v>
      </c>
      <c r="R39" s="6" t="n">
        <v>0</v>
      </c>
      <c r="S39" s="6" t="n">
        <v>0.77</v>
      </c>
      <c r="T39" s="6" t="n">
        <v>3.53</v>
      </c>
      <c r="U39" s="6" t="n">
        <v>0</v>
      </c>
      <c r="V39" s="6" t="n">
        <v>0</v>
      </c>
      <c r="W39" s="6" t="n">
        <v>0</v>
      </c>
      <c r="X39" s="6" t="n">
        <v>389.77</v>
      </c>
      <c r="Y39" s="5" t="inlineStr">
        <is>
          <t>104 - COMPRA USO E CONSUMO DENTR</t>
        </is>
      </c>
      <c r="Z39" s="5" t="inlineStr">
        <is>
          <t>uso</t>
        </is>
      </c>
      <c r="AA39" s="6" t="n">
        <v>0</v>
      </c>
      <c r="AB39" s="6" t="n">
        <v>0</v>
      </c>
      <c r="AC39" s="6" t="n">
        <v>0</v>
      </c>
      <c r="AD39" s="6" t="n">
        <v>0</v>
      </c>
      <c r="AE39" s="5" t="inlineStr">
        <is>
          <t>D 360 / C 506 (conferir)</t>
        </is>
      </c>
      <c r="AF39" s="5" t="inlineStr">
        <is>
          <t>OK</t>
        </is>
      </c>
      <c r="AG39" s="5" t="inlineStr">
        <is>
          <t>Uso e consumo (classificação do SPED anterior); Uso e consumo (classificação do SPED anterior): ICMS destacado R$ 5.40 não gera crédito</t>
        </is>
      </c>
      <c r="AH39" s="5" t="inlineStr">
        <is>
          <t>Sim - uso e consumo: bases zeradas</t>
        </is>
      </c>
      <c r="AI39" s="6" t="n">
        <v>0</v>
      </c>
      <c r="AJ39" s="6" t="n">
        <v>0</v>
      </c>
      <c r="AK39" s="6" t="n">
        <v>0</v>
      </c>
      <c r="AL39" s="6" t="n">
        <v>0</v>
      </c>
      <c r="AM39" s="6" t="n">
        <v>0</v>
      </c>
      <c r="AN39" s="5" t="inlineStr">
        <is>
          <t>41260973419905000174550010000971451002693820</t>
        </is>
      </c>
    </row>
    <row r="40">
      <c r="A40" s="16" t="inlineStr">
        <is>
          <t>Total (sem canceladas)</t>
        </is>
      </c>
      <c r="B40" s="17" t="n"/>
      <c r="C40" s="16">
        <f>COUNTA(C5:C39)&amp;" docs"</f>
        <v/>
      </c>
      <c r="D40" s="17" t="n"/>
      <c r="E40" s="17" t="n"/>
      <c r="F40" s="17" t="n"/>
      <c r="G40" s="17" t="n"/>
      <c r="H40" s="17" t="n"/>
      <c r="I40" s="17" t="n"/>
      <c r="J40" s="18">
        <f>SUMPRODUCT((G5:G39&lt;&gt;"Cancelada")*(G5:G39&lt;&gt;"Cancelado")*J5:J39)</f>
        <v/>
      </c>
      <c r="K40" s="18">
        <f>SUMPRODUCT((G5:G39&lt;&gt;"Cancelada")*(G5:G39&lt;&gt;"Cancelado")*K5:K39)</f>
        <v/>
      </c>
      <c r="L40" s="18">
        <f>SUMPRODUCT((G5:G39&lt;&gt;"Cancelada")*(G5:G39&lt;&gt;"Cancelado")*L5:L39)</f>
        <v/>
      </c>
      <c r="M40" s="18">
        <f>SUMPRODUCT((G5:G39&lt;&gt;"Cancelada")*(G5:G39&lt;&gt;"Cancelado")*M5:M39)</f>
        <v/>
      </c>
      <c r="N40" s="18">
        <f>SUMPRODUCT((G5:G39&lt;&gt;"Cancelada")*(G5:G39&lt;&gt;"Cancelado")*N5:N39)</f>
        <v/>
      </c>
      <c r="O40" s="18">
        <f>SUMPRODUCT((G5:G39&lt;&gt;"Cancelada")*(G5:G39&lt;&gt;"Cancelado")*O5:O39)</f>
        <v/>
      </c>
      <c r="P40" s="18">
        <f>SUMPRODUCT((G5:G39&lt;&gt;"Cancelada")*(G5:G39&lt;&gt;"Cancelado")*P5:P39)</f>
        <v/>
      </c>
      <c r="Q40" s="18">
        <f>SUMPRODUCT((G5:G39&lt;&gt;"Cancelada")*(G5:G39&lt;&gt;"Cancelado")*Q5:Q39)</f>
        <v/>
      </c>
      <c r="R40" s="18">
        <f>SUMPRODUCT((G5:G39&lt;&gt;"Cancelada")*(G5:G39&lt;&gt;"Cancelado")*R5:R39)</f>
        <v/>
      </c>
      <c r="S40" s="18">
        <f>SUMPRODUCT((G5:G39&lt;&gt;"Cancelada")*(G5:G39&lt;&gt;"Cancelado")*S5:S39)</f>
        <v/>
      </c>
      <c r="T40" s="18">
        <f>SUMPRODUCT((G5:G39&lt;&gt;"Cancelada")*(G5:G39&lt;&gt;"Cancelado")*T5:T39)</f>
        <v/>
      </c>
      <c r="U40" s="18">
        <f>SUMPRODUCT((G5:G39&lt;&gt;"Cancelada")*(G5:G39&lt;&gt;"Cancelado")*U5:U39)</f>
        <v/>
      </c>
      <c r="V40" s="18">
        <f>SUMPRODUCT((G5:G39&lt;&gt;"Cancelada")*(G5:G39&lt;&gt;"Cancelado")*V5:V39)</f>
        <v/>
      </c>
      <c r="W40" s="18">
        <f>SUMPRODUCT((G5:G39&lt;&gt;"Cancelada")*(G5:G39&lt;&gt;"Cancelado")*W5:W39)</f>
        <v/>
      </c>
      <c r="X40" s="18">
        <f>SUMPRODUCT((G5:G39&lt;&gt;"Cancelada")*(G5:G39&lt;&gt;"Cancelado")*X5:X39)</f>
        <v/>
      </c>
      <c r="Y40" s="17" t="n"/>
      <c r="Z40" s="17" t="n"/>
      <c r="AA40" s="18">
        <f>SUMPRODUCT((G5:G39&lt;&gt;"Cancelada")*(G5:G39&lt;&gt;"Cancelado")*AA5:AA39)</f>
        <v/>
      </c>
      <c r="AB40" s="18">
        <f>SUMPRODUCT((G5:G39&lt;&gt;"Cancelada")*(G5:G39&lt;&gt;"Cancelado")*AB5:AB39)</f>
        <v/>
      </c>
      <c r="AC40" s="18">
        <f>SUMPRODUCT((G5:G39&lt;&gt;"Cancelada")*(G5:G39&lt;&gt;"Cancelado")*AC5:AC39)</f>
        <v/>
      </c>
      <c r="AD40" s="18">
        <f>SUMPRODUCT((G5:G39&lt;&gt;"Cancelada")*(G5:G39&lt;&gt;"Cancelado")*AD5:AD39)</f>
        <v/>
      </c>
      <c r="AE40" s="17" t="n"/>
      <c r="AF40" s="17" t="n"/>
      <c r="AG40" s="17" t="n"/>
      <c r="AH40" s="17" t="n"/>
      <c r="AI40" s="18">
        <f>SUMPRODUCT((G5:G39&lt;&gt;"Cancelada")*(G5:G39&lt;&gt;"Cancelado")*AI5:AI39)</f>
        <v/>
      </c>
      <c r="AJ40" s="18">
        <f>SUMPRODUCT((G5:G39&lt;&gt;"Cancelada")*(G5:G39&lt;&gt;"Cancelado")*AJ5:AJ39)</f>
        <v/>
      </c>
      <c r="AK40" s="18">
        <f>SUMPRODUCT((G5:G39&lt;&gt;"Cancelada")*(G5:G39&lt;&gt;"Cancelado")*AK5:AK39)</f>
        <v/>
      </c>
      <c r="AL40" s="18">
        <f>SUMPRODUCT((G5:G39&lt;&gt;"Cancelada")*(G5:G39&lt;&gt;"Cancelado")*AL5:AL39)</f>
        <v/>
      </c>
      <c r="AM40" s="18">
        <f>SUMPRODUCT((G5:G39&lt;&gt;"Cancelada")*(G5:G39&lt;&gt;"Cancelado")*AM5:AM39)</f>
        <v/>
      </c>
      <c r="AN40" s="17" t="n"/>
    </row>
  </sheetData>
  <autoFilter ref="A4:AN39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4"/>
  <sheetViews>
    <sheetView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5" customWidth="1" min="3" max="3"/>
    <col width="32" customWidth="1" min="4" max="4"/>
    <col width="15" customWidth="1" min="5" max="5"/>
    <col width="4" customWidth="1" min="6" max="6"/>
    <col width="10" customWidth="1" min="7" max="7"/>
    <col width="9" customWidth="1" min="8" max="8"/>
    <col width="10" customWidth="1" min="9" max="9"/>
    <col width="11" customWidth="1" min="10" max="10"/>
    <col width="9" customWidth="1" min="11" max="11"/>
    <col width="9" customWidth="1" min="12" max="12"/>
    <col width="9" customWidth="1" min="13" max="13"/>
    <col width="11" customWidth="1" min="14" max="14"/>
    <col width="10" customWidth="1" min="15" max="15"/>
    <col width="10" customWidth="1" min="16" max="16"/>
    <col width="9" customWidth="1" min="17" max="17"/>
    <col width="9" customWidth="1" min="18" max="18"/>
    <col width="8" customWidth="1" min="19" max="19"/>
    <col width="9" customWidth="1" min="20" max="20"/>
    <col width="10" customWidth="1" min="21" max="21"/>
    <col width="8" customWidth="1" min="22" max="22"/>
    <col width="8" customWidth="1" min="23" max="23"/>
    <col width="12" customWidth="1" min="24" max="24"/>
    <col width="26" customWidth="1" min="25" max="25"/>
    <col width="14" customWidth="1" min="26" max="26"/>
    <col width="10" customWidth="1" min="27" max="27"/>
    <col width="9" customWidth="1" min="28" max="28"/>
    <col width="8" customWidth="1" min="29" max="29"/>
    <col width="9" customWidth="1" min="30" max="30"/>
    <col width="14" customWidth="1" min="31" max="31"/>
    <col width="26" customWidth="1" min="32" max="32"/>
    <col width="50" customWidth="1" min="33" max="33"/>
    <col width="22" customWidth="1" min="34" max="34"/>
    <col width="11" customWidth="1" min="35" max="35"/>
    <col width="10" customWidth="1" min="36" max="36"/>
    <col width="9" customWidth="1" min="37" max="37"/>
    <col width="8" customWidth="1" min="38" max="38"/>
    <col width="9" customWidth="1" min="39" max="39"/>
    <col width="46" customWidth="1" min="40" max="40"/>
  </cols>
  <sheetData>
    <row r="1">
      <c r="A1" s="1" t="inlineStr">
        <is>
          <t>NF-e fora do estado</t>
        </is>
      </c>
    </row>
    <row r="2">
      <c r="A2" s="2" t="inlineStr">
        <is>
          <t>NF-e de entrada de fornecedores de outras UF - 09/2026. Valores do XML; CFOP de entrada e acumulador = sugestão.</t>
        </is>
      </c>
    </row>
    <row r="4" ht="30" customHeight="1">
      <c r="A4" s="3" t="inlineStr">
        <is>
          <t>Emissão</t>
        </is>
      </c>
      <c r="B4" s="3" t="inlineStr">
        <is>
          <t>NF</t>
        </is>
      </c>
      <c r="C4" s="3" t="inlineStr">
        <is>
          <t>Série</t>
        </is>
      </c>
      <c r="D4" s="3" t="inlineStr">
        <is>
          <t>Fornecedor</t>
        </is>
      </c>
      <c r="E4" s="3" t="inlineStr">
        <is>
          <t>CNPJ</t>
        </is>
      </c>
      <c r="F4" s="3" t="inlineStr">
        <is>
          <t>UF</t>
        </is>
      </c>
      <c r="G4" s="3" t="inlineStr">
        <is>
          <t>Situação</t>
        </is>
      </c>
      <c r="H4" s="3" t="inlineStr">
        <is>
          <t>CFOP (XML)</t>
        </is>
      </c>
      <c r="I4" s="3" t="inlineStr">
        <is>
          <t>CFOP entrada (sugestão)</t>
        </is>
      </c>
      <c r="J4" s="3" t="inlineStr">
        <is>
          <t>Produtos</t>
        </is>
      </c>
      <c r="K4" s="3" t="inlineStr">
        <is>
          <t>Desconto</t>
        </is>
      </c>
      <c r="L4" s="3" t="inlineStr">
        <is>
          <t>Frete</t>
        </is>
      </c>
      <c r="M4" s="3" t="inlineStr">
        <is>
          <t>Outras desp.</t>
        </is>
      </c>
      <c r="N4" s="3" t="inlineStr">
        <is>
          <t>Base ICMS</t>
        </is>
      </c>
      <c r="O4" s="3" t="inlineStr">
        <is>
          <t>ICMS</t>
        </is>
      </c>
      <c r="P4" s="3" t="inlineStr">
        <is>
          <t>Base ICMS-ST</t>
        </is>
      </c>
      <c r="Q4" s="3" t="inlineStr">
        <is>
          <t>ICMS-ST</t>
        </is>
      </c>
      <c r="R4" s="3" t="inlineStr">
        <is>
          <t>IPI</t>
        </is>
      </c>
      <c r="S4" s="3" t="inlineStr">
        <is>
          <t>PIS</t>
        </is>
      </c>
      <c r="T4" s="3" t="inlineStr">
        <is>
          <t>COFINS</t>
        </is>
      </c>
      <c r="U4" s="3" t="inlineStr">
        <is>
          <t>Base IBS/CBS</t>
        </is>
      </c>
      <c r="V4" s="3" t="inlineStr">
        <is>
          <t>IBS</t>
        </is>
      </c>
      <c r="W4" s="3" t="inlineStr">
        <is>
          <t>CBS</t>
        </is>
      </c>
      <c r="X4" s="3" t="inlineStr">
        <is>
          <t>Total da nota</t>
        </is>
      </c>
      <c r="Y4" s="3" t="inlineStr">
        <is>
          <t>Acumulador (sugestão)</t>
        </is>
      </c>
      <c r="Z4" s="3" t="inlineStr">
        <is>
          <t>Natureza</t>
        </is>
      </c>
      <c r="AA4" s="3" t="inlineStr">
        <is>
          <t>Crédito ICMS</t>
        </is>
      </c>
      <c r="AB4" s="3" t="inlineStr">
        <is>
          <t>Crédito IPI</t>
        </is>
      </c>
      <c r="AC4" s="3" t="inlineStr">
        <is>
          <t>DIFAL</t>
        </is>
      </c>
      <c r="AD4" s="3" t="inlineStr">
        <is>
          <t>ICMS antecipado</t>
        </is>
      </c>
      <c r="AE4" s="3" t="inlineStr">
        <is>
          <t>Conta contábil (Domínio)</t>
        </is>
      </c>
      <c r="AF4" s="3" t="inlineStr">
        <is>
          <t>Conferência XML x relatório SIEG</t>
        </is>
      </c>
      <c r="AG4" s="3" t="inlineStr">
        <is>
          <t>Análise</t>
        </is>
      </c>
      <c r="AH4" s="3" t="inlineStr">
        <is>
          <t>Vai no TXT?</t>
        </is>
      </c>
      <c r="AI4" s="3" t="inlineStr">
        <is>
          <t>Base ICMS no TXT</t>
        </is>
      </c>
      <c r="AJ4" s="3" t="inlineStr">
        <is>
          <t>ICMS no TXT</t>
        </is>
      </c>
      <c r="AK4" s="3" t="inlineStr">
        <is>
          <t>IPI no TXT</t>
        </is>
      </c>
      <c r="AL4" s="3" t="inlineStr">
        <is>
          <t>PIS no TXT</t>
        </is>
      </c>
      <c r="AM4" s="3" t="inlineStr">
        <is>
          <t>COFINS no TXT</t>
        </is>
      </c>
      <c r="AN4" s="3" t="inlineStr">
        <is>
          <t>Chave de acesso</t>
        </is>
      </c>
    </row>
    <row r="5">
      <c r="A5" s="4" t="n">
        <v>46269</v>
      </c>
      <c r="B5" s="5" t="n">
        <v>2564</v>
      </c>
      <c r="C5" s="5" t="inlineStr">
        <is>
          <t>1</t>
        </is>
      </c>
      <c r="D5" s="5" t="inlineStr">
        <is>
          <t>AGATHA INDUSTRIA DE MANUFATURADOS LTDA</t>
        </is>
      </c>
      <c r="E5" s="5" t="inlineStr">
        <is>
          <t>54079636000108</t>
        </is>
      </c>
      <c r="F5" s="5" t="inlineStr">
        <is>
          <t>RS</t>
        </is>
      </c>
      <c r="G5" s="5" t="inlineStr">
        <is>
          <t>Autorizada</t>
        </is>
      </c>
      <c r="H5" s="5" t="inlineStr">
        <is>
          <t>6949</t>
        </is>
      </c>
      <c r="I5" s="5" t="inlineStr">
        <is>
          <t>2556</t>
        </is>
      </c>
      <c r="J5" s="6" t="n">
        <v>924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924</v>
      </c>
      <c r="Y5" s="5" t="inlineStr">
        <is>
          <t xml:space="preserve">105 - COMPRA USO E CONSUMO FORA </t>
        </is>
      </c>
      <c r="Z5" s="5" t="inlineStr">
        <is>
          <t>uso</t>
        </is>
      </c>
      <c r="AA5" s="6" t="n">
        <v>0</v>
      </c>
      <c r="AB5" s="6" t="n">
        <v>0</v>
      </c>
      <c r="AC5" s="6" t="n">
        <v>86.09</v>
      </c>
      <c r="AD5" s="6" t="n">
        <v>0</v>
      </c>
      <c r="AE5" s="5" t="inlineStr">
        <is>
          <t>D 513 / C 506</t>
        </is>
      </c>
      <c r="AF5" s="5" t="inlineStr">
        <is>
          <t>OK</t>
        </is>
      </c>
      <c r="AG5" s="5" t="inlineStr">
        <is>
          <t>Simples (CSOSN 201) - Uso e consumo (classificação do SPED anterior): sem crédito (só mercadoria para industrialização/comercialização); DIFAL R$ 86.09 (base dupla) - ajuste a débito PR000081</t>
        </is>
      </c>
      <c r="AH5" s="5" t="inlineStr">
        <is>
          <t>Sim - uso e consumo: bases zeradas</t>
        </is>
      </c>
      <c r="AI5" s="6" t="n">
        <v>0</v>
      </c>
      <c r="AJ5" s="6" t="n">
        <v>0</v>
      </c>
      <c r="AK5" s="6" t="n">
        <v>0</v>
      </c>
      <c r="AL5" s="6" t="n">
        <v>0</v>
      </c>
      <c r="AM5" s="6" t="n">
        <v>0</v>
      </c>
      <c r="AN5" s="5" t="inlineStr">
        <is>
          <t>43260954079636000108550010000025641087230517</t>
        </is>
      </c>
    </row>
    <row r="6">
      <c r="A6" s="4" t="n">
        <v>46279</v>
      </c>
      <c r="B6" s="5" t="n">
        <v>8099</v>
      </c>
      <c r="C6" s="5" t="inlineStr">
        <is>
          <t>1</t>
        </is>
      </c>
      <c r="D6" s="5" t="inlineStr">
        <is>
          <t>BEPUMP IMPORTACAO E EXPORTACAO LTDA</t>
        </is>
      </c>
      <c r="E6" s="5" t="inlineStr">
        <is>
          <t>39237959000180</t>
        </is>
      </c>
      <c r="F6" s="5" t="inlineStr">
        <is>
          <t>SP</t>
        </is>
      </c>
      <c r="G6" s="5" t="inlineStr">
        <is>
          <t>Autorizada</t>
        </is>
      </c>
      <c r="H6" s="5" t="inlineStr">
        <is>
          <t>6924</t>
        </is>
      </c>
      <c r="I6" s="5" t="inlineStr">
        <is>
          <t>2924</t>
        </is>
      </c>
      <c r="J6" s="6" t="n">
        <v>1408.12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1408.12</v>
      </c>
      <c r="Y6" s="5" t="inlineStr">
        <is>
          <t>164 - ENTRADA P/ IND POR CONTA E</t>
        </is>
      </c>
      <c r="Z6" s="5" t="inlineStr">
        <is>
          <t>remessa</t>
        </is>
      </c>
      <c r="AA6" s="6" t="n">
        <v>0</v>
      </c>
      <c r="AB6" s="6" t="n">
        <v>0</v>
      </c>
      <c r="AC6" s="6" t="n">
        <v>0</v>
      </c>
      <c r="AD6" s="6" t="n">
        <v>0</v>
      </c>
      <c r="AE6" s="5" t="inlineStr">
        <is>
          <t>D 608 / C 609</t>
        </is>
      </c>
      <c r="AF6" s="5" t="inlineStr">
        <is>
          <t>OK</t>
        </is>
      </c>
      <c r="AG6" s="5" t="inlineStr">
        <is>
          <t>Simples (CSOSN 101) - Remessa para industrialização por conta e ordem do adquirente (insumo do cliente): sem crédito (só mercadoria para industrialização/comercialização)</t>
        </is>
      </c>
      <c r="AH6" s="5" t="inlineStr">
        <is>
          <t>Sim - exatamente o XML</t>
        </is>
      </c>
      <c r="AI6" s="6" t="n">
        <v>0</v>
      </c>
      <c r="AJ6" s="6" t="n">
        <v>0</v>
      </c>
      <c r="AK6" s="6" t="n">
        <v>0</v>
      </c>
      <c r="AL6" s="6" t="n">
        <v>0</v>
      </c>
      <c r="AM6" s="6" t="n">
        <v>0</v>
      </c>
      <c r="AN6" s="5" t="inlineStr">
        <is>
          <t>35260939237959000180550010000080991000082318</t>
        </is>
      </c>
    </row>
    <row r="7">
      <c r="A7" s="4" t="n">
        <v>46279</v>
      </c>
      <c r="B7" s="5" t="n">
        <v>8112</v>
      </c>
      <c r="C7" s="5" t="inlineStr">
        <is>
          <t>1</t>
        </is>
      </c>
      <c r="D7" s="5" t="inlineStr">
        <is>
          <t>OUTLET PREMIUM PACK LTDA</t>
        </is>
      </c>
      <c r="E7" s="5" t="inlineStr">
        <is>
          <t>34970658000148</t>
        </is>
      </c>
      <c r="F7" s="5" t="inlineStr">
        <is>
          <t>SP</t>
        </is>
      </c>
      <c r="G7" s="5" t="inlineStr">
        <is>
          <t>Autorizada</t>
        </is>
      </c>
      <c r="H7" s="5" t="inlineStr">
        <is>
          <t>6924</t>
        </is>
      </c>
      <c r="I7" s="5" t="inlineStr">
        <is>
          <t>2924</t>
        </is>
      </c>
      <c r="J7" s="6" t="n">
        <v>2462.03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2462.03</v>
      </c>
      <c r="Y7" s="5" t="inlineStr">
        <is>
          <t>164 - ENTRADA P/ IND POR CONTA E</t>
        </is>
      </c>
      <c r="Z7" s="5" t="inlineStr">
        <is>
          <t>remessa</t>
        </is>
      </c>
      <c r="AA7" s="6" t="n">
        <v>0</v>
      </c>
      <c r="AB7" s="6" t="n">
        <v>0</v>
      </c>
      <c r="AC7" s="6" t="n">
        <v>0</v>
      </c>
      <c r="AD7" s="6" t="n">
        <v>0</v>
      </c>
      <c r="AE7" s="5" t="inlineStr">
        <is>
          <t>D 608 / C 609</t>
        </is>
      </c>
      <c r="AF7" s="5" t="inlineStr">
        <is>
          <t>OK</t>
        </is>
      </c>
      <c r="AG7" s="5" t="inlineStr">
        <is>
          <t>Simples (CSOSN 101) - Remessa para industrialização por conta e ordem do adquirente (insumo do cliente): sem crédito (só mercadoria para industrialização/comercialização)</t>
        </is>
      </c>
      <c r="AH7" s="5" t="inlineStr">
        <is>
          <t>Sim - exatamente o XML</t>
        </is>
      </c>
      <c r="AI7" s="6" t="n">
        <v>0</v>
      </c>
      <c r="AJ7" s="6" t="n">
        <v>0</v>
      </c>
      <c r="AK7" s="6" t="n">
        <v>0</v>
      </c>
      <c r="AL7" s="6" t="n">
        <v>0</v>
      </c>
      <c r="AM7" s="6" t="n">
        <v>0</v>
      </c>
      <c r="AN7" s="5" t="inlineStr">
        <is>
          <t>35260934970658000148550010000081121000087609</t>
        </is>
      </c>
    </row>
    <row r="8">
      <c r="A8" s="4" t="n">
        <v>46282</v>
      </c>
      <c r="B8" s="5" t="n">
        <v>30338</v>
      </c>
      <c r="C8" s="5" t="inlineStr">
        <is>
          <t>1</t>
        </is>
      </c>
      <c r="D8" s="5" t="inlineStr">
        <is>
          <t>ALTEC IND.COM.IMP.E EXP.LTDA.</t>
        </is>
      </c>
      <c r="E8" s="5" t="inlineStr">
        <is>
          <t>67598292000187</t>
        </is>
      </c>
      <c r="F8" s="5" t="inlineStr">
        <is>
          <t>SP</t>
        </is>
      </c>
      <c r="G8" s="5" t="inlineStr">
        <is>
          <t>Autorizada</t>
        </is>
      </c>
      <c r="H8" s="5" t="inlineStr">
        <is>
          <t>6101</t>
        </is>
      </c>
      <c r="I8" s="5" t="inlineStr">
        <is>
          <t>2101</t>
        </is>
      </c>
      <c r="J8" s="6" t="n">
        <v>2506.56</v>
      </c>
      <c r="K8" s="6" t="n">
        <v>0</v>
      </c>
      <c r="L8" s="6" t="n">
        <v>0</v>
      </c>
      <c r="M8" s="6" t="n">
        <v>0</v>
      </c>
      <c r="N8" s="6" t="n">
        <v>2506.56</v>
      </c>
      <c r="O8" s="6" t="n">
        <v>300.79</v>
      </c>
      <c r="P8" s="6" t="n">
        <v>0</v>
      </c>
      <c r="Q8" s="6" t="n">
        <v>0</v>
      </c>
      <c r="R8" s="6" t="n">
        <v>0</v>
      </c>
      <c r="S8" s="6" t="n">
        <v>14.34</v>
      </c>
      <c r="T8" s="6" t="n">
        <v>66.17</v>
      </c>
      <c r="U8" s="6" t="n">
        <v>2426.05</v>
      </c>
      <c r="V8" s="6" t="n">
        <v>2.43</v>
      </c>
      <c r="W8" s="6" t="n">
        <v>21.83</v>
      </c>
      <c r="X8" s="6" t="n">
        <v>2506.56</v>
      </c>
      <c r="Y8" s="5" t="inlineStr">
        <is>
          <t>101 - COMPRA P/ INDUST - FORA ES</t>
        </is>
      </c>
      <c r="Z8" s="5" t="inlineStr">
        <is>
          <t>insumo</t>
        </is>
      </c>
      <c r="AA8" s="6" t="n">
        <v>300.79</v>
      </c>
      <c r="AB8" s="6" t="n">
        <v>0</v>
      </c>
      <c r="AC8" s="6" t="n">
        <v>0</v>
      </c>
      <c r="AD8" s="6" t="n">
        <v>0</v>
      </c>
      <c r="AE8" s="5" t="inlineStr">
        <is>
          <t>D 56 / C 506 (conferir)</t>
        </is>
      </c>
      <c r="AF8" s="5" t="inlineStr">
        <is>
          <t>OK</t>
        </is>
      </c>
      <c r="AG8" s="5" t="inlineStr">
        <is>
          <t>ICMS destacado (CST 00) em embalagem (tampa metálica)</t>
        </is>
      </c>
      <c r="AH8" s="5" t="inlineStr">
        <is>
          <t>Sim - exatamente o XML</t>
        </is>
      </c>
      <c r="AI8" s="6" t="n">
        <v>2506.56</v>
      </c>
      <c r="AJ8" s="6" t="n">
        <v>300.79</v>
      </c>
      <c r="AK8" s="6" t="n">
        <v>0</v>
      </c>
      <c r="AL8" s="6" t="n">
        <v>14.34</v>
      </c>
      <c r="AM8" s="6" t="n">
        <v>66.17</v>
      </c>
      <c r="AN8" s="5" t="inlineStr">
        <is>
          <t>35260967598292000187550010000303381000323387</t>
        </is>
      </c>
    </row>
    <row r="9">
      <c r="A9" s="4" t="n">
        <v>46286</v>
      </c>
      <c r="B9" s="5" t="n">
        <v>117690</v>
      </c>
      <c r="C9" s="5" t="inlineStr">
        <is>
          <t>5</t>
        </is>
      </c>
      <c r="D9" s="5" t="inlineStr">
        <is>
          <t>BISPHARMA EMBALAGENS LTDA</t>
        </is>
      </c>
      <c r="E9" s="5" t="inlineStr">
        <is>
          <t>59610485000188</t>
        </is>
      </c>
      <c r="F9" s="5" t="inlineStr">
        <is>
          <t>SP</t>
        </is>
      </c>
      <c r="G9" s="5" t="inlineStr">
        <is>
          <t>Autorizada</t>
        </is>
      </c>
      <c r="H9" s="5" t="inlineStr">
        <is>
          <t>6101</t>
        </is>
      </c>
      <c r="I9" s="5" t="inlineStr">
        <is>
          <t>2101</t>
        </is>
      </c>
      <c r="J9" s="6" t="n">
        <v>24897.18</v>
      </c>
      <c r="K9" s="6" t="n">
        <v>0</v>
      </c>
      <c r="L9" s="6" t="n">
        <v>0</v>
      </c>
      <c r="M9" s="6" t="n">
        <v>0</v>
      </c>
      <c r="N9" s="6" t="n">
        <v>24897.18</v>
      </c>
      <c r="O9" s="6" t="n">
        <v>2987.66</v>
      </c>
      <c r="P9" s="6" t="n">
        <v>0</v>
      </c>
      <c r="Q9" s="6" t="n">
        <v>0</v>
      </c>
      <c r="R9" s="6" t="n">
        <v>1618.32</v>
      </c>
      <c r="S9" s="6" t="n">
        <v>361.51</v>
      </c>
      <c r="T9" s="6" t="n">
        <v>1665.12</v>
      </c>
      <c r="U9" s="6" t="n">
        <v>19882.89</v>
      </c>
      <c r="V9" s="6" t="n">
        <v>19.88</v>
      </c>
      <c r="W9" s="6" t="n">
        <v>178.95</v>
      </c>
      <c r="X9" s="6" t="n">
        <v>26515.5</v>
      </c>
      <c r="Y9" s="5" t="inlineStr">
        <is>
          <t>101 - COMPRA P/ INDUST - FORA ES</t>
        </is>
      </c>
      <c r="Z9" s="5" t="inlineStr">
        <is>
          <t>insumo</t>
        </is>
      </c>
      <c r="AA9" s="6" t="n">
        <v>2987.66</v>
      </c>
      <c r="AB9" s="6" t="n">
        <v>1618.32</v>
      </c>
      <c r="AC9" s="6" t="n">
        <v>0</v>
      </c>
      <c r="AD9" s="6" t="n">
        <v>0</v>
      </c>
      <c r="AE9" s="5" t="inlineStr">
        <is>
          <t>D 56 / C 506 (conferir)</t>
        </is>
      </c>
      <c r="AF9" s="5" t="inlineStr">
        <is>
          <t>OK</t>
        </is>
      </c>
      <c r="AG9" s="5" t="inlineStr">
        <is>
          <t>ICMS destacado (CST 00) em embalagem (tubo de alumínio)</t>
        </is>
      </c>
      <c r="AH9" s="5" t="inlineStr">
        <is>
          <t>Sim - exatamente o XML</t>
        </is>
      </c>
      <c r="AI9" s="6" t="n">
        <v>24897.18</v>
      </c>
      <c r="AJ9" s="6" t="n">
        <v>2987.66</v>
      </c>
      <c r="AK9" s="6" t="n">
        <v>1618.32</v>
      </c>
      <c r="AL9" s="6" t="n">
        <v>361.51</v>
      </c>
      <c r="AM9" s="6" t="n">
        <v>1665.12</v>
      </c>
      <c r="AN9" s="5" t="inlineStr">
        <is>
          <t>35260959610485000188550050001176901971337303</t>
        </is>
      </c>
    </row>
    <row r="10">
      <c r="A10" s="4" t="n">
        <v>46287</v>
      </c>
      <c r="B10" s="5" t="n">
        <v>275966</v>
      </c>
      <c r="C10" s="5" t="inlineStr">
        <is>
          <t>55</t>
        </is>
      </c>
      <c r="D10" s="5" t="inlineStr">
        <is>
          <t>MCASSAB COMERCIO E INDUSTRIA LTDA</t>
        </is>
      </c>
      <c r="E10" s="5" t="inlineStr">
        <is>
          <t>49698723003110</t>
        </is>
      </c>
      <c r="F10" s="5" t="inlineStr">
        <is>
          <t>SP</t>
        </is>
      </c>
      <c r="G10" s="5" t="inlineStr">
        <is>
          <t>Autorizada</t>
        </is>
      </c>
      <c r="H10" s="5" t="inlineStr">
        <is>
          <t>6102</t>
        </is>
      </c>
      <c r="I10" s="5" t="inlineStr">
        <is>
          <t>2101</t>
        </is>
      </c>
      <c r="J10" s="6" t="n">
        <v>3873.74</v>
      </c>
      <c r="K10" s="6" t="n">
        <v>0</v>
      </c>
      <c r="L10" s="6" t="n">
        <v>0</v>
      </c>
      <c r="M10" s="6" t="n">
        <v>0</v>
      </c>
      <c r="N10" s="6" t="n">
        <v>3873.74</v>
      </c>
      <c r="O10" s="6" t="n">
        <v>154.95</v>
      </c>
      <c r="P10" s="6" t="n">
        <v>0</v>
      </c>
      <c r="Q10" s="6" t="n">
        <v>0</v>
      </c>
      <c r="R10" s="6" t="n">
        <v>0</v>
      </c>
      <c r="S10" s="6" t="n">
        <v>61.36</v>
      </c>
      <c r="T10" s="6" t="n">
        <v>282.63</v>
      </c>
      <c r="U10" s="6" t="n">
        <v>3374.8</v>
      </c>
      <c r="V10" s="6" t="n">
        <v>3.37</v>
      </c>
      <c r="W10" s="6" t="n">
        <v>30.37</v>
      </c>
      <c r="X10" s="6" t="n">
        <v>3873.74</v>
      </c>
      <c r="Y10" s="5" t="inlineStr">
        <is>
          <t>101 - COMPRA P/ INDUST - FORA ES</t>
        </is>
      </c>
      <c r="Z10" s="5" t="inlineStr">
        <is>
          <t>insumo</t>
        </is>
      </c>
      <c r="AA10" s="6" t="n">
        <v>154.95</v>
      </c>
      <c r="AB10" s="6" t="n">
        <v>0</v>
      </c>
      <c r="AC10" s="6" t="n">
        <v>0</v>
      </c>
      <c r="AD10" s="6" t="n">
        <v>309.9</v>
      </c>
      <c r="AE10" s="5" t="inlineStr">
        <is>
          <t>D 56 / C 506</t>
        </is>
      </c>
      <c r="AF10" s="5" t="inlineStr">
        <is>
          <t>OK</t>
        </is>
      </c>
      <c r="AG10" s="5" t="inlineStr">
        <is>
          <t>ICMS destacado (CST 00) em insumo (classificação do sped anterior); ICMS antecipado importado 8% x 3,873.74 = R$ 309.90 (E111 PR000080 débito / PR020212 crédito + E113)</t>
        </is>
      </c>
      <c r="AH10" s="5" t="inlineStr">
        <is>
          <t>Sim - exatamente o XML</t>
        </is>
      </c>
      <c r="AI10" s="6" t="n">
        <v>3873.74</v>
      </c>
      <c r="AJ10" s="6" t="n">
        <v>154.95</v>
      </c>
      <c r="AK10" s="6" t="n">
        <v>0</v>
      </c>
      <c r="AL10" s="6" t="n">
        <v>61.36</v>
      </c>
      <c r="AM10" s="6" t="n">
        <v>282.63</v>
      </c>
      <c r="AN10" s="5" t="inlineStr">
        <is>
          <t>35260949698723003110550550002759661838341135</t>
        </is>
      </c>
    </row>
    <row r="11">
      <c r="A11" s="4" t="n">
        <v>46288</v>
      </c>
      <c r="B11" s="5" t="n">
        <v>14838</v>
      </c>
      <c r="C11" s="5" t="inlineStr">
        <is>
          <t>1</t>
        </is>
      </c>
      <c r="D11" s="5" t="inlineStr">
        <is>
          <t>Mix Cosmeticos Ltda</t>
        </is>
      </c>
      <c r="E11" s="5" t="inlineStr">
        <is>
          <t>27697083000176</t>
        </is>
      </c>
      <c r="F11" s="5" t="inlineStr">
        <is>
          <t>MS</t>
        </is>
      </c>
      <c r="G11" s="5" t="inlineStr">
        <is>
          <t>Autorizada</t>
        </is>
      </c>
      <c r="H11" s="5" t="inlineStr">
        <is>
          <t>6901</t>
        </is>
      </c>
      <c r="I11" s="5" t="inlineStr">
        <is>
          <t>2901</t>
        </is>
      </c>
      <c r="J11" s="6" t="n">
        <v>948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948</v>
      </c>
      <c r="Y11" s="5" t="inlineStr">
        <is>
          <t>144 - ENTRADA PARA IND. POR ENCO</t>
        </is>
      </c>
      <c r="Z11" s="5" t="inlineStr">
        <is>
          <t>remessa</t>
        </is>
      </c>
      <c r="AA11" s="6" t="n">
        <v>0</v>
      </c>
      <c r="AB11" s="6" t="n">
        <v>0</v>
      </c>
      <c r="AC11" s="6" t="n">
        <v>0</v>
      </c>
      <c r="AD11" s="6" t="n">
        <v>0</v>
      </c>
      <c r="AE11" s="5" t="inlineStr">
        <is>
          <t>D 614 / C 607</t>
        </is>
      </c>
      <c r="AF11" s="5" t="inlineStr">
        <is>
          <t>OK</t>
        </is>
      </c>
      <c r="AG11" s="5" t="inlineStr">
        <is>
          <t>Remessa para industrialização por encomenda (insumo do cliente)</t>
        </is>
      </c>
      <c r="AH11" s="5" t="inlineStr">
        <is>
          <t>Sim - exatamente o XML</t>
        </is>
      </c>
      <c r="AI11" s="6" t="n">
        <v>0</v>
      </c>
      <c r="AJ11" s="6" t="n">
        <v>0</v>
      </c>
      <c r="AK11" s="6" t="n">
        <v>0</v>
      </c>
      <c r="AL11" s="6" t="n">
        <v>0</v>
      </c>
      <c r="AM11" s="6" t="n">
        <v>0</v>
      </c>
      <c r="AN11" s="5" t="inlineStr">
        <is>
          <t>50260927697083000176550010000148381118293998</t>
        </is>
      </c>
    </row>
    <row r="12">
      <c r="A12" s="4" t="n">
        <v>46288</v>
      </c>
      <c r="B12" s="5" t="n">
        <v>48241</v>
      </c>
      <c r="C12" s="5" t="inlineStr">
        <is>
          <t>1</t>
        </is>
      </c>
      <c r="D12" s="5" t="inlineStr">
        <is>
          <t>HS INKLASER LTDA</t>
        </is>
      </c>
      <c r="E12" s="5" t="inlineStr">
        <is>
          <t>18858535000163</t>
        </is>
      </c>
      <c r="F12" s="5" t="inlineStr">
        <is>
          <t>SP</t>
        </is>
      </c>
      <c r="G12" s="5" t="inlineStr">
        <is>
          <t>Autorizada</t>
        </is>
      </c>
      <c r="H12" s="5" t="inlineStr">
        <is>
          <t>6102</t>
        </is>
      </c>
      <c r="I12" s="5" t="inlineStr">
        <is>
          <t>2101</t>
        </is>
      </c>
      <c r="J12" s="6" t="n">
        <v>983</v>
      </c>
      <c r="K12" s="6" t="n">
        <v>0</v>
      </c>
      <c r="L12" s="6" t="n">
        <v>59.55</v>
      </c>
      <c r="M12" s="6" t="n">
        <v>0</v>
      </c>
      <c r="N12" s="6" t="n">
        <v>1042.55</v>
      </c>
      <c r="O12" s="6" t="n">
        <v>125.11</v>
      </c>
      <c r="P12" s="6" t="n">
        <v>0</v>
      </c>
      <c r="Q12" s="6" t="n">
        <v>0</v>
      </c>
      <c r="R12" s="6" t="n">
        <v>31.95</v>
      </c>
      <c r="S12" s="6" t="n">
        <v>5.96</v>
      </c>
      <c r="T12" s="6" t="n">
        <v>27.52</v>
      </c>
      <c r="U12" s="6" t="n">
        <v>883.96</v>
      </c>
      <c r="V12" s="6" t="n">
        <v>0.88</v>
      </c>
      <c r="W12" s="6" t="n">
        <v>7.96</v>
      </c>
      <c r="X12" s="6" t="n">
        <v>1074.5</v>
      </c>
      <c r="Y12" s="5" t="inlineStr">
        <is>
          <t>101 - COMPRA P/ INDUST - FORA ES</t>
        </is>
      </c>
      <c r="Z12" s="5" t="inlineStr">
        <is>
          <t>insumo</t>
        </is>
      </c>
      <c r="AA12" s="6" t="n">
        <v>125.11</v>
      </c>
      <c r="AB12" s="6" t="n">
        <v>31.95</v>
      </c>
      <c r="AC12" s="6" t="n">
        <v>0</v>
      </c>
      <c r="AD12" s="6" t="n">
        <v>0</v>
      </c>
      <c r="AE12" s="5" t="inlineStr">
        <is>
          <t>D 56 / C 506</t>
        </is>
      </c>
      <c r="AF12" s="5" t="inlineStr">
        <is>
          <t>OK</t>
        </is>
      </c>
      <c r="AG12" s="5" t="inlineStr">
        <is>
          <t>ICMS destacado (CST 00) em insumo (classificação do sped anterior)</t>
        </is>
      </c>
      <c r="AH12" s="5" t="inlineStr">
        <is>
          <t>Sim - exatamente o XML</t>
        </is>
      </c>
      <c r="AI12" s="6" t="n">
        <v>1042.55</v>
      </c>
      <c r="AJ12" s="6" t="n">
        <v>125.11</v>
      </c>
      <c r="AK12" s="6" t="n">
        <v>31.95</v>
      </c>
      <c r="AL12" s="6" t="n">
        <v>5.96</v>
      </c>
      <c r="AM12" s="6" t="n">
        <v>27.52</v>
      </c>
      <c r="AN12" s="5" t="inlineStr">
        <is>
          <t>35260918858535000163550010000482411465753374</t>
        </is>
      </c>
    </row>
    <row r="13">
      <c r="A13" s="4" t="n">
        <v>46288</v>
      </c>
      <c r="B13" s="5" t="n">
        <v>141811</v>
      </c>
      <c r="C13" s="5" t="inlineStr">
        <is>
          <t>1</t>
        </is>
      </c>
      <c r="D13" s="5" t="inlineStr">
        <is>
          <t>SCENTEC ESSENCIAS E FRAGRANCIAS LTDA</t>
        </is>
      </c>
      <c r="E13" s="5" t="inlineStr">
        <is>
          <t>62514971000107</t>
        </is>
      </c>
      <c r="F13" s="5" t="inlineStr">
        <is>
          <t>SP</t>
        </is>
      </c>
      <c r="G13" s="5" t="inlineStr">
        <is>
          <t>Autorizada</t>
        </is>
      </c>
      <c r="H13" s="5" t="inlineStr">
        <is>
          <t>6101</t>
        </is>
      </c>
      <c r="I13" s="5" t="inlineStr">
        <is>
          <t>2101</t>
        </is>
      </c>
      <c r="J13" s="6" t="n">
        <v>4644.06</v>
      </c>
      <c r="K13" s="6" t="n">
        <v>0</v>
      </c>
      <c r="L13" s="6" t="n">
        <v>0</v>
      </c>
      <c r="M13" s="6" t="n">
        <v>0</v>
      </c>
      <c r="N13" s="6" t="n">
        <v>4644.06</v>
      </c>
      <c r="O13" s="6" t="n">
        <v>557.29</v>
      </c>
      <c r="P13" s="6" t="n">
        <v>0</v>
      </c>
      <c r="Q13" s="6" t="n">
        <v>0</v>
      </c>
      <c r="R13" s="6" t="n">
        <v>150.93</v>
      </c>
      <c r="S13" s="6" t="n">
        <v>76.62</v>
      </c>
      <c r="T13" s="6" t="n">
        <v>352.94</v>
      </c>
      <c r="U13" s="6" t="n">
        <v>3657.21</v>
      </c>
      <c r="V13" s="6" t="n">
        <v>3.66</v>
      </c>
      <c r="W13" s="6" t="n">
        <v>32.91</v>
      </c>
      <c r="X13" s="6" t="n">
        <v>4794.99</v>
      </c>
      <c r="Y13" s="5" t="inlineStr">
        <is>
          <t>101 - COMPRA P/ INDUST - FORA ES</t>
        </is>
      </c>
      <c r="Z13" s="5" t="inlineStr">
        <is>
          <t>insumo</t>
        </is>
      </c>
      <c r="AA13" s="6" t="n">
        <v>557.29</v>
      </c>
      <c r="AB13" s="6" t="n">
        <v>150.93</v>
      </c>
      <c r="AC13" s="6" t="n">
        <v>0</v>
      </c>
      <c r="AD13" s="6" t="n">
        <v>0</v>
      </c>
      <c r="AE13" s="5" t="inlineStr">
        <is>
          <t>D 56 / C 506</t>
        </is>
      </c>
      <c r="AF13" s="5" t="inlineStr">
        <is>
          <t>OK</t>
        </is>
      </c>
      <c r="AG13" s="5" t="inlineStr">
        <is>
          <t>ICMS destacado (CST 00) em matéria-prima (fragrância/essência)</t>
        </is>
      </c>
      <c r="AH13" s="5" t="inlineStr">
        <is>
          <t>Sim - exatamente o XML</t>
        </is>
      </c>
      <c r="AI13" s="6" t="n">
        <v>4644.06</v>
      </c>
      <c r="AJ13" s="6" t="n">
        <v>557.29</v>
      </c>
      <c r="AK13" s="6" t="n">
        <v>150.93</v>
      </c>
      <c r="AL13" s="6" t="n">
        <v>76.62</v>
      </c>
      <c r="AM13" s="6" t="n">
        <v>352.94</v>
      </c>
      <c r="AN13" s="5" t="inlineStr">
        <is>
          <t>35260962514971000107550010001418111026832844</t>
        </is>
      </c>
    </row>
    <row r="14">
      <c r="A14" s="4" t="n">
        <v>46293</v>
      </c>
      <c r="B14" s="5" t="n">
        <v>391</v>
      </c>
      <c r="C14" s="5" t="inlineStr">
        <is>
          <t>7</t>
        </is>
      </c>
      <c r="D14" s="5" t="inlineStr">
        <is>
          <t>CHEMYUNION LTDA</t>
        </is>
      </c>
      <c r="E14" s="5" t="inlineStr">
        <is>
          <t>58309709000820</t>
        </is>
      </c>
      <c r="F14" s="5" t="inlineStr">
        <is>
          <t>MG</t>
        </is>
      </c>
      <c r="G14" s="5" t="inlineStr">
        <is>
          <t>Autorizada</t>
        </is>
      </c>
      <c r="H14" s="5" t="inlineStr">
        <is>
          <t>6949</t>
        </is>
      </c>
      <c r="I14" s="5" t="inlineStr">
        <is>
          <t>2949</t>
        </is>
      </c>
      <c r="J14" s="6" t="n">
        <v>8472.040000000001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8472.040000000001</v>
      </c>
      <c r="V14" s="6" t="n">
        <v>8.470000000000001</v>
      </c>
      <c r="W14" s="6" t="n">
        <v>76.25</v>
      </c>
      <c r="X14" s="6" t="n">
        <v>8472.040000000001</v>
      </c>
      <c r="Y14" s="5" t="inlineStr">
        <is>
          <t>155 - OUTRAS ENTRADAS DE MERCADO</t>
        </is>
      </c>
      <c r="Z14" s="5" t="inlineStr">
        <is>
          <t>financeiro</t>
        </is>
      </c>
      <c r="AA14" s="6" t="n">
        <v>0</v>
      </c>
      <c r="AB14" s="6" t="n">
        <v>0</v>
      </c>
      <c r="AC14" s="6" t="n">
        <v>0</v>
      </c>
      <c r="AD14" s="6" t="n">
        <v>0</v>
      </c>
      <c r="AE14" s="5" t="inlineStr">
        <is>
          <t>D 612 / C 613</t>
        </is>
      </c>
      <c r="AF14" s="5" t="inlineStr">
        <is>
          <t>OK</t>
        </is>
      </c>
      <c r="AG14" s="5" t="inlineStr">
        <is>
          <t>Nota sem mercadoria (antecipação/financeira)</t>
        </is>
      </c>
      <c r="AH14" s="5" t="inlineStr">
        <is>
          <t>Sim - exatamente o XML</t>
        </is>
      </c>
      <c r="AI14" s="6" t="n">
        <v>0</v>
      </c>
      <c r="AJ14" s="6" t="n">
        <v>0</v>
      </c>
      <c r="AK14" s="6" t="n">
        <v>0</v>
      </c>
      <c r="AL14" s="6" t="n">
        <v>0</v>
      </c>
      <c r="AM14" s="6" t="n">
        <v>0</v>
      </c>
      <c r="AN14" s="5" t="inlineStr">
        <is>
          <t>31260958309709000820550070000003911550019201</t>
        </is>
      </c>
    </row>
    <row r="15">
      <c r="A15" s="4" t="n">
        <v>46294</v>
      </c>
      <c r="B15" s="5" t="n">
        <v>392</v>
      </c>
      <c r="C15" s="5" t="inlineStr">
        <is>
          <t>7</t>
        </is>
      </c>
      <c r="D15" s="5" t="inlineStr">
        <is>
          <t>CHEMYUNION LTDA</t>
        </is>
      </c>
      <c r="E15" s="5" t="inlineStr">
        <is>
          <t>58309709000820</t>
        </is>
      </c>
      <c r="F15" s="5" t="inlineStr">
        <is>
          <t>MG</t>
        </is>
      </c>
      <c r="G15" s="5" t="inlineStr">
        <is>
          <t>Autorizada</t>
        </is>
      </c>
      <c r="H15" s="5" t="inlineStr">
        <is>
          <t>6949</t>
        </is>
      </c>
      <c r="I15" s="5" t="inlineStr">
        <is>
          <t>2949</t>
        </is>
      </c>
      <c r="J15" s="6" t="n">
        <v>275.34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275.34</v>
      </c>
      <c r="V15" s="6" t="n">
        <v>0.28</v>
      </c>
      <c r="W15" s="6" t="n">
        <v>2.48</v>
      </c>
      <c r="X15" s="6" t="n">
        <v>275.34</v>
      </c>
      <c r="Y15" s="5" t="inlineStr">
        <is>
          <t>155 - OUTRAS ENTRADAS DE MERCADO</t>
        </is>
      </c>
      <c r="Z15" s="5" t="inlineStr">
        <is>
          <t>financeiro</t>
        </is>
      </c>
      <c r="AA15" s="6" t="n">
        <v>0</v>
      </c>
      <c r="AB15" s="6" t="n">
        <v>0</v>
      </c>
      <c r="AC15" s="6" t="n">
        <v>0</v>
      </c>
      <c r="AD15" s="6" t="n">
        <v>0</v>
      </c>
      <c r="AE15" s="5" t="inlineStr">
        <is>
          <t>D 612 / C 613</t>
        </is>
      </c>
      <c r="AF15" s="5" t="inlineStr">
        <is>
          <t>OK</t>
        </is>
      </c>
      <c r="AG15" s="5" t="inlineStr">
        <is>
          <t>Nota sem mercadoria (antecipação/financeira)</t>
        </is>
      </c>
      <c r="AH15" s="5" t="inlineStr">
        <is>
          <t>Sim - exatamente o XML</t>
        </is>
      </c>
      <c r="AI15" s="6" t="n">
        <v>0</v>
      </c>
      <c r="AJ15" s="6" t="n">
        <v>0</v>
      </c>
      <c r="AK15" s="6" t="n">
        <v>0</v>
      </c>
      <c r="AL15" s="6" t="n">
        <v>0</v>
      </c>
      <c r="AM15" s="6" t="n">
        <v>0</v>
      </c>
      <c r="AN15" s="5" t="inlineStr">
        <is>
          <t>31260958309709000820550070000003921611175930</t>
        </is>
      </c>
    </row>
    <row r="16">
      <c r="A16" s="4" t="n">
        <v>46294</v>
      </c>
      <c r="B16" s="5" t="n">
        <v>14856</v>
      </c>
      <c r="C16" s="5" t="inlineStr">
        <is>
          <t>1</t>
        </is>
      </c>
      <c r="D16" s="5" t="inlineStr">
        <is>
          <t>Mix Cosmeticos Ltda</t>
        </is>
      </c>
      <c r="E16" s="5" t="inlineStr">
        <is>
          <t>27697083000176</t>
        </is>
      </c>
      <c r="F16" s="5" t="inlineStr">
        <is>
          <t>MS</t>
        </is>
      </c>
      <c r="G16" s="5" t="inlineStr">
        <is>
          <t>Autorizada</t>
        </is>
      </c>
      <c r="H16" s="5" t="inlineStr">
        <is>
          <t>6901</t>
        </is>
      </c>
      <c r="I16" s="5" t="inlineStr">
        <is>
          <t>2901</t>
        </is>
      </c>
      <c r="J16" s="6" t="n">
        <v>600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600</v>
      </c>
      <c r="Y16" s="5" t="inlineStr">
        <is>
          <t>144 - ENTRADA PARA IND. POR ENCO</t>
        </is>
      </c>
      <c r="Z16" s="5" t="inlineStr">
        <is>
          <t>remessa</t>
        </is>
      </c>
      <c r="AA16" s="6" t="n">
        <v>0</v>
      </c>
      <c r="AB16" s="6" t="n">
        <v>0</v>
      </c>
      <c r="AC16" s="6" t="n">
        <v>0</v>
      </c>
      <c r="AD16" s="6" t="n">
        <v>0</v>
      </c>
      <c r="AE16" s="5" t="inlineStr">
        <is>
          <t>D 614 / C 607</t>
        </is>
      </c>
      <c r="AF16" s="5" t="inlineStr">
        <is>
          <t>OK</t>
        </is>
      </c>
      <c r="AG16" s="5" t="inlineStr">
        <is>
          <t>Remessa para industrialização por encomenda (insumo do cliente)</t>
        </is>
      </c>
      <c r="AH16" s="5" t="inlineStr">
        <is>
          <t>Sim - exatamente o XML</t>
        </is>
      </c>
      <c r="AI16" s="6" t="n">
        <v>0</v>
      </c>
      <c r="AJ16" s="6" t="n">
        <v>0</v>
      </c>
      <c r="AK16" s="6" t="n">
        <v>0</v>
      </c>
      <c r="AL16" s="6" t="n">
        <v>0</v>
      </c>
      <c r="AM16" s="6" t="n">
        <v>0</v>
      </c>
      <c r="AN16" s="5" t="inlineStr">
        <is>
          <t>50260927697083000176550010000148561118323143</t>
        </is>
      </c>
    </row>
    <row r="17">
      <c r="A17" s="4" t="n">
        <v>46294</v>
      </c>
      <c r="B17" s="5" t="n">
        <v>19303</v>
      </c>
      <c r="C17" s="5" t="inlineStr">
        <is>
          <t>2</t>
        </is>
      </c>
      <c r="D17" s="5" t="inlineStr">
        <is>
          <t>CHEMYUNION LTDA</t>
        </is>
      </c>
      <c r="E17" s="5" t="inlineStr">
        <is>
          <t>58309709000820</t>
        </is>
      </c>
      <c r="F17" s="5" t="inlineStr">
        <is>
          <t>MG</t>
        </is>
      </c>
      <c r="G17" s="5" t="inlineStr">
        <is>
          <t>Autorizada</t>
        </is>
      </c>
      <c r="H17" s="5" t="inlineStr">
        <is>
          <t>6101</t>
        </is>
      </c>
      <c r="I17" s="5" t="inlineStr">
        <is>
          <t>2101</t>
        </is>
      </c>
      <c r="J17" s="6" t="n">
        <v>8472.040000000001</v>
      </c>
      <c r="K17" s="6" t="n">
        <v>0</v>
      </c>
      <c r="L17" s="6" t="n">
        <v>0</v>
      </c>
      <c r="M17" s="6" t="n">
        <v>0</v>
      </c>
      <c r="N17" s="6" t="n">
        <v>8472.040000000001</v>
      </c>
      <c r="O17" s="6" t="n">
        <v>1016.64</v>
      </c>
      <c r="P17" s="6" t="n">
        <v>0</v>
      </c>
      <c r="Q17" s="6" t="n">
        <v>0</v>
      </c>
      <c r="R17" s="6" t="n">
        <v>275.34</v>
      </c>
      <c r="S17" s="6" t="n">
        <v>123.01</v>
      </c>
      <c r="T17" s="6" t="n">
        <v>566.61</v>
      </c>
      <c r="U17" s="6" t="n">
        <v>6765.78</v>
      </c>
      <c r="V17" s="6" t="n">
        <v>6.77</v>
      </c>
      <c r="W17" s="6" t="n">
        <v>60.89</v>
      </c>
      <c r="X17" s="6" t="n">
        <v>8747.379999999999</v>
      </c>
      <c r="Y17" s="5" t="inlineStr">
        <is>
          <t>101 - COMPRA P/ INDUST - FORA ES</t>
        </is>
      </c>
      <c r="Z17" s="5" t="inlineStr">
        <is>
          <t>insumo</t>
        </is>
      </c>
      <c r="AA17" s="6" t="n">
        <v>1016.64</v>
      </c>
      <c r="AB17" s="6" t="n">
        <v>275.34</v>
      </c>
      <c r="AC17" s="6" t="n">
        <v>0</v>
      </c>
      <c r="AD17" s="6" t="n">
        <v>0</v>
      </c>
      <c r="AE17" s="5" t="inlineStr">
        <is>
          <t>D 56 / C 506</t>
        </is>
      </c>
      <c r="AF17" s="5" t="inlineStr">
        <is>
          <t>OK</t>
        </is>
      </c>
      <c r="AG17" s="5" t="inlineStr">
        <is>
          <t>ICMS destacado (CST 00) em matéria-prima (tensoativo)</t>
        </is>
      </c>
      <c r="AH17" s="5" t="inlineStr">
        <is>
          <t>Sim - exatamente o XML</t>
        </is>
      </c>
      <c r="AI17" s="6" t="n">
        <v>8472.040000000001</v>
      </c>
      <c r="AJ17" s="6" t="n">
        <v>1016.64</v>
      </c>
      <c r="AK17" s="6" t="n">
        <v>275.34</v>
      </c>
      <c r="AL17" s="6" t="n">
        <v>123.01</v>
      </c>
      <c r="AM17" s="6" t="n">
        <v>566.61</v>
      </c>
      <c r="AN17" s="5" t="inlineStr">
        <is>
          <t>31260958309709000820550020000193031662295529</t>
        </is>
      </c>
    </row>
    <row r="18">
      <c r="A18" s="4" t="n">
        <v>46294</v>
      </c>
      <c r="B18" s="5" t="n">
        <v>42285</v>
      </c>
      <c r="C18" s="5" t="inlineStr">
        <is>
          <t>1</t>
        </is>
      </c>
      <c r="D18" s="5" t="inlineStr">
        <is>
          <t>PROVITAL DO BRASIL COM. DE INSUMOS PARA COSMETICOS LTDA</t>
        </is>
      </c>
      <c r="E18" s="5" t="inlineStr">
        <is>
          <t>11340087000162</t>
        </is>
      </c>
      <c r="F18" s="5" t="inlineStr">
        <is>
          <t>SP</t>
        </is>
      </c>
      <c r="G18" s="5" t="inlineStr">
        <is>
          <t>Autorizada</t>
        </is>
      </c>
      <c r="H18" s="5" t="inlineStr">
        <is>
          <t>6102</t>
        </is>
      </c>
      <c r="I18" s="5" t="inlineStr">
        <is>
          <t>2101</t>
        </is>
      </c>
      <c r="J18" s="6" t="n">
        <v>4017.69</v>
      </c>
      <c r="K18" s="6" t="n">
        <v>0</v>
      </c>
      <c r="L18" s="6" t="n">
        <v>0</v>
      </c>
      <c r="M18" s="6" t="n">
        <v>0</v>
      </c>
      <c r="N18" s="6" t="n">
        <v>4017.69</v>
      </c>
      <c r="O18" s="6" t="n">
        <v>160.71</v>
      </c>
      <c r="P18" s="6" t="n">
        <v>0</v>
      </c>
      <c r="Q18" s="6" t="n">
        <v>0</v>
      </c>
      <c r="R18" s="6" t="n">
        <v>261.15</v>
      </c>
      <c r="S18" s="6" t="n">
        <v>25.07</v>
      </c>
      <c r="T18" s="6" t="n">
        <v>115.71</v>
      </c>
      <c r="U18" s="6" t="n">
        <v>3716.2</v>
      </c>
      <c r="V18" s="6" t="n">
        <v>3.72</v>
      </c>
      <c r="W18" s="6" t="n">
        <v>33.45</v>
      </c>
      <c r="X18" s="6" t="n">
        <v>4278.84</v>
      </c>
      <c r="Y18" s="5" t="inlineStr">
        <is>
          <t>101 - COMPRA P/ INDUST - FORA ES</t>
        </is>
      </c>
      <c r="Z18" s="5" t="inlineStr">
        <is>
          <t>insumo</t>
        </is>
      </c>
      <c r="AA18" s="6" t="n">
        <v>160.71</v>
      </c>
      <c r="AB18" s="6" t="n">
        <v>261.15</v>
      </c>
      <c r="AC18" s="6" t="n">
        <v>0</v>
      </c>
      <c r="AD18" s="6" t="n">
        <v>321.42</v>
      </c>
      <c r="AE18" s="5" t="inlineStr">
        <is>
          <t>D 56 / C 506</t>
        </is>
      </c>
      <c r="AF18" s="5" t="inlineStr">
        <is>
          <t>OK</t>
        </is>
      </c>
      <c r="AG18" s="5" t="inlineStr">
        <is>
          <t>ICMS destacado (CST 00) em insumo (classificação do sped anterior); ICMS antecipado importado 8% x 4,017.69 = R$ 321.42 (E111 PR000080 débito / PR020212 crédito + E113)</t>
        </is>
      </c>
      <c r="AH18" s="5" t="inlineStr">
        <is>
          <t>Sim - exatamente o XML</t>
        </is>
      </c>
      <c r="AI18" s="6" t="n">
        <v>4017.69</v>
      </c>
      <c r="AJ18" s="6" t="n">
        <v>160.71</v>
      </c>
      <c r="AK18" s="6" t="n">
        <v>261.15</v>
      </c>
      <c r="AL18" s="6" t="n">
        <v>25.07</v>
      </c>
      <c r="AM18" s="6" t="n">
        <v>115.71</v>
      </c>
      <c r="AN18" s="5" t="inlineStr">
        <is>
          <t>35260911340087000162550010000422851305252223</t>
        </is>
      </c>
    </row>
    <row r="19">
      <c r="A19" s="16" t="inlineStr">
        <is>
          <t>Total (sem canceladas)</t>
        </is>
      </c>
      <c r="B19" s="17" t="n"/>
      <c r="C19" s="16">
        <f>COUNTA(C5:C18)&amp;" docs"</f>
        <v/>
      </c>
      <c r="D19" s="17" t="n"/>
      <c r="E19" s="17" t="n"/>
      <c r="F19" s="17" t="n"/>
      <c r="G19" s="17" t="n"/>
      <c r="H19" s="17" t="n"/>
      <c r="I19" s="17" t="n"/>
      <c r="J19" s="18">
        <f>SUMPRODUCT((G5:G18&lt;&gt;"Cancelada")*(G5:G18&lt;&gt;"Cancelado")*J5:J18)</f>
        <v/>
      </c>
      <c r="K19" s="18">
        <f>SUMPRODUCT((G5:G18&lt;&gt;"Cancelada")*(G5:G18&lt;&gt;"Cancelado")*K5:K18)</f>
        <v/>
      </c>
      <c r="L19" s="18">
        <f>SUMPRODUCT((G5:G18&lt;&gt;"Cancelada")*(G5:G18&lt;&gt;"Cancelado")*L5:L18)</f>
        <v/>
      </c>
      <c r="M19" s="18">
        <f>SUMPRODUCT((G5:G18&lt;&gt;"Cancelada")*(G5:G18&lt;&gt;"Cancelado")*M5:M18)</f>
        <v/>
      </c>
      <c r="N19" s="18">
        <f>SUMPRODUCT((G5:G18&lt;&gt;"Cancelada")*(G5:G18&lt;&gt;"Cancelado")*N5:N18)</f>
        <v/>
      </c>
      <c r="O19" s="18">
        <f>SUMPRODUCT((G5:G18&lt;&gt;"Cancelada")*(G5:G18&lt;&gt;"Cancelado")*O5:O18)</f>
        <v/>
      </c>
      <c r="P19" s="18">
        <f>SUMPRODUCT((G5:G18&lt;&gt;"Cancelada")*(G5:G18&lt;&gt;"Cancelado")*P5:P18)</f>
        <v/>
      </c>
      <c r="Q19" s="18">
        <f>SUMPRODUCT((G5:G18&lt;&gt;"Cancelada")*(G5:G18&lt;&gt;"Cancelado")*Q5:Q18)</f>
        <v/>
      </c>
      <c r="R19" s="18">
        <f>SUMPRODUCT((G5:G18&lt;&gt;"Cancelada")*(G5:G18&lt;&gt;"Cancelado")*R5:R18)</f>
        <v/>
      </c>
      <c r="S19" s="18">
        <f>SUMPRODUCT((G5:G18&lt;&gt;"Cancelada")*(G5:G18&lt;&gt;"Cancelado")*S5:S18)</f>
        <v/>
      </c>
      <c r="T19" s="18">
        <f>SUMPRODUCT((G5:G18&lt;&gt;"Cancelada")*(G5:G18&lt;&gt;"Cancelado")*T5:T18)</f>
        <v/>
      </c>
      <c r="U19" s="18">
        <f>SUMPRODUCT((G5:G18&lt;&gt;"Cancelada")*(G5:G18&lt;&gt;"Cancelado")*U5:U18)</f>
        <v/>
      </c>
      <c r="V19" s="18">
        <f>SUMPRODUCT((G5:G18&lt;&gt;"Cancelada")*(G5:G18&lt;&gt;"Cancelado")*V5:V18)</f>
        <v/>
      </c>
      <c r="W19" s="18">
        <f>SUMPRODUCT((G5:G18&lt;&gt;"Cancelada")*(G5:G18&lt;&gt;"Cancelado")*W5:W18)</f>
        <v/>
      </c>
      <c r="X19" s="18">
        <f>SUMPRODUCT((G5:G18&lt;&gt;"Cancelada")*(G5:G18&lt;&gt;"Cancelado")*X5:X18)</f>
        <v/>
      </c>
      <c r="Y19" s="17" t="n"/>
      <c r="Z19" s="17" t="n"/>
      <c r="AA19" s="18">
        <f>SUMPRODUCT((G5:G18&lt;&gt;"Cancelada")*(G5:G18&lt;&gt;"Cancelado")*AA5:AA18)</f>
        <v/>
      </c>
      <c r="AB19" s="18">
        <f>SUMPRODUCT((G5:G18&lt;&gt;"Cancelada")*(G5:G18&lt;&gt;"Cancelado")*AB5:AB18)</f>
        <v/>
      </c>
      <c r="AC19" s="18">
        <f>SUMPRODUCT((G5:G18&lt;&gt;"Cancelada")*(G5:G18&lt;&gt;"Cancelado")*AC5:AC18)</f>
        <v/>
      </c>
      <c r="AD19" s="18">
        <f>SUMPRODUCT((G5:G18&lt;&gt;"Cancelada")*(G5:G18&lt;&gt;"Cancelado")*AD5:AD18)</f>
        <v/>
      </c>
      <c r="AE19" s="17" t="n"/>
      <c r="AF19" s="17" t="n"/>
      <c r="AG19" s="17" t="n"/>
      <c r="AH19" s="17" t="n"/>
      <c r="AI19" s="18">
        <f>SUMPRODUCT((G5:G18&lt;&gt;"Cancelada")*(G5:G18&lt;&gt;"Cancelado")*AI5:AI18)</f>
        <v/>
      </c>
      <c r="AJ19" s="18">
        <f>SUMPRODUCT((G5:G18&lt;&gt;"Cancelada")*(G5:G18&lt;&gt;"Cancelado")*AJ5:AJ18)</f>
        <v/>
      </c>
      <c r="AK19" s="18">
        <f>SUMPRODUCT((G5:G18&lt;&gt;"Cancelada")*(G5:G18&lt;&gt;"Cancelado")*AK5:AK18)</f>
        <v/>
      </c>
      <c r="AL19" s="18">
        <f>SUMPRODUCT((G5:G18&lt;&gt;"Cancelada")*(G5:G18&lt;&gt;"Cancelado")*AL5:AL18)</f>
        <v/>
      </c>
      <c r="AM19" s="18">
        <f>SUMPRODUCT((G5:G18&lt;&gt;"Cancelada")*(G5:G18&lt;&gt;"Cancelado")*AM5:AM18)</f>
        <v/>
      </c>
      <c r="AN19" s="17" t="n"/>
    </row>
    <row r="21">
      <c r="A21" s="19" t="inlineStr">
        <is>
          <t>UF MG</t>
        </is>
      </c>
      <c r="D21" s="19">
        <f>COUNTIF(F5:F18,"MG")</f>
        <v/>
      </c>
    </row>
    <row r="22">
      <c r="A22" s="19" t="inlineStr">
        <is>
          <t>UF MS</t>
        </is>
      </c>
      <c r="D22" s="19">
        <f>COUNTIF(F5:F18,"MS")</f>
        <v/>
      </c>
    </row>
    <row r="23">
      <c r="A23" s="19" t="inlineStr">
        <is>
          <t>UF RS</t>
        </is>
      </c>
      <c r="D23" s="19">
        <f>COUNTIF(F5:F18,"RS")</f>
        <v/>
      </c>
    </row>
    <row r="24">
      <c r="A24" s="19" t="inlineStr">
        <is>
          <t>UF SP</t>
        </is>
      </c>
      <c r="D24" s="19">
        <f>COUNTIF(F5:F18,"SP")</f>
        <v/>
      </c>
    </row>
  </sheetData>
  <autoFilter ref="A4:AN18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5"/>
  <sheetViews>
    <sheetView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5" customWidth="1" min="3" max="3"/>
    <col width="32" customWidth="1" min="4" max="4"/>
    <col width="15" customWidth="1" min="5" max="5"/>
    <col width="8" customWidth="1" min="6" max="6"/>
    <col width="10" customWidth="1" min="7" max="7"/>
    <col width="6" customWidth="1" min="8" max="8"/>
    <col width="5" customWidth="1" min="9" max="9"/>
    <col width="11" customWidth="1" min="10" max="10"/>
    <col width="11" customWidth="1" min="11" max="11"/>
    <col width="6" customWidth="1" min="12" max="12"/>
    <col width="10" customWidth="1" min="13" max="13"/>
    <col width="22" customWidth="1" min="14" max="14"/>
    <col width="26" customWidth="1" min="15" max="15"/>
    <col width="14" customWidth="1" min="16" max="16"/>
    <col width="30" customWidth="1" min="17" max="17"/>
    <col width="24" customWidth="1" min="18" max="18"/>
    <col width="11" customWidth="1" min="19" max="19"/>
    <col width="10" customWidth="1" min="20" max="20"/>
    <col width="46" customWidth="1" min="21" max="21"/>
  </cols>
  <sheetData>
    <row r="1">
      <c r="A1" s="1" t="inlineStr">
        <is>
          <t>CT-e</t>
        </is>
      </c>
    </row>
    <row r="2">
      <c r="A2" s="2" t="inlineStr">
        <is>
          <t>CT-e em que a Cosmetici é tomadora, dentro e fora do estado - 09/2026. Cinza = sem XML na pasta (dados do relatório SIEG); vermelho = cancelado.</t>
        </is>
      </c>
    </row>
    <row r="4" ht="30" customHeight="1">
      <c r="A4" s="3" t="inlineStr">
        <is>
          <t>Emissão</t>
        </is>
      </c>
      <c r="B4" s="3" t="inlineStr">
        <is>
          <t>CT-e</t>
        </is>
      </c>
      <c r="C4" s="3" t="inlineStr">
        <is>
          <t>Série</t>
        </is>
      </c>
      <c r="D4" s="3" t="inlineStr">
        <is>
          <t>Transportadora</t>
        </is>
      </c>
      <c r="E4" s="3" t="inlineStr">
        <is>
          <t>CNPJ</t>
        </is>
      </c>
      <c r="F4" s="3" t="inlineStr">
        <is>
          <t>Trajeto (UF)</t>
        </is>
      </c>
      <c r="G4" s="3" t="inlineStr">
        <is>
          <t>Situação</t>
        </is>
      </c>
      <c r="H4" s="3" t="inlineStr">
        <is>
          <t>CFOP</t>
        </is>
      </c>
      <c r="I4" s="3" t="inlineStr">
        <is>
          <t>CST</t>
        </is>
      </c>
      <c r="J4" s="3" t="inlineStr">
        <is>
          <t>Valor do frete</t>
        </is>
      </c>
      <c r="K4" s="3" t="inlineStr">
        <is>
          <t>Base ICMS</t>
        </is>
      </c>
      <c r="L4" s="3" t="inlineStr">
        <is>
          <t>% ICMS</t>
        </is>
      </c>
      <c r="M4" s="3" t="inlineStr">
        <is>
          <t>ICMS</t>
        </is>
      </c>
      <c r="N4" s="3" t="inlineStr">
        <is>
          <t>NF-e transportada</t>
        </is>
      </c>
      <c r="O4" s="3" t="inlineStr">
        <is>
          <t>Fonte</t>
        </is>
      </c>
      <c r="P4" s="3" t="inlineStr">
        <is>
          <t>Conta contábil (Domínio)</t>
        </is>
      </c>
      <c r="Q4" s="3" t="inlineStr">
        <is>
          <t>Conferência XML x relatório SIEG</t>
        </is>
      </c>
      <c r="R4" s="3" t="inlineStr">
        <is>
          <t>Vai no TXT?</t>
        </is>
      </c>
      <c r="S4" s="3" t="inlineStr">
        <is>
          <t>Base ICMS no TXT</t>
        </is>
      </c>
      <c r="T4" s="3" t="inlineStr">
        <is>
          <t>ICMS no TXT</t>
        </is>
      </c>
      <c r="U4" s="3" t="inlineStr">
        <is>
          <t>Chave de acesso</t>
        </is>
      </c>
    </row>
    <row r="5">
      <c r="A5" s="10" t="n">
        <v>46268</v>
      </c>
      <c r="B5" s="11" t="n">
        <v>4683984</v>
      </c>
      <c r="C5" s="11" t="inlineStr">
        <is>
          <t>3</t>
        </is>
      </c>
      <c r="D5" s="11" t="inlineStr">
        <is>
          <t>RODONAVES TRANSPORTES E ENCOMENDAS LTDA</t>
        </is>
      </c>
      <c r="E5" s="11" t="inlineStr">
        <is>
          <t>44914992003820</t>
        </is>
      </c>
      <c r="F5" s="11" t="inlineStr">
        <is>
          <t>PR-SP</t>
        </is>
      </c>
      <c r="G5" s="11" t="inlineStr">
        <is>
          <t>Cancelado</t>
        </is>
      </c>
      <c r="H5" s="11" t="inlineStr">
        <is>
          <t>6352</t>
        </is>
      </c>
      <c r="I5" s="11" t="inlineStr">
        <is>
          <t>00</t>
        </is>
      </c>
      <c r="J5" s="12" t="n">
        <v>172.64</v>
      </c>
      <c r="K5" s="12" t="n">
        <v>165.65</v>
      </c>
      <c r="L5" s="11" t="n">
        <v>12</v>
      </c>
      <c r="M5" s="12" t="n">
        <v>19.87</v>
      </c>
      <c r="N5" s="11" t="inlineStr">
        <is>
          <t>8953</t>
        </is>
      </c>
      <c r="O5" s="11" t="inlineStr">
        <is>
          <t>Relatório SIEG (sem XML na pasta)</t>
        </is>
      </c>
      <c r="P5" s="11" t="inlineStr">
        <is>
          <t>cancelado - sem lançamento</t>
        </is>
      </c>
      <c r="Q5" s="11" t="inlineStr">
        <is>
          <t>CT-e cancelado - status "Cancelamento" no relatório</t>
        </is>
      </c>
      <c r="R5" s="11" t="inlineStr">
        <is>
          <t>Não - cancelado (sem XML na pasta)</t>
        </is>
      </c>
      <c r="S5" s="12" t="n"/>
      <c r="T5" s="12" t="n"/>
      <c r="U5" s="11" t="inlineStr">
        <is>
          <t>41260944914992003820570030046839841046839848</t>
        </is>
      </c>
    </row>
    <row r="6">
      <c r="A6" s="13" t="n">
        <v>46268</v>
      </c>
      <c r="B6" s="14" t="n">
        <v>4687986</v>
      </c>
      <c r="C6" s="14" t="inlineStr">
        <is>
          <t>3</t>
        </is>
      </c>
      <c r="D6" s="14" t="inlineStr">
        <is>
          <t>RODONAVES TRANSPORTES E ENCOMENDAS LTDA</t>
        </is>
      </c>
      <c r="E6" s="14" t="inlineStr">
        <is>
          <t>44914992003820</t>
        </is>
      </c>
      <c r="F6" s="14" t="inlineStr">
        <is>
          <t>PR-SP</t>
        </is>
      </c>
      <c r="G6" s="14" t="inlineStr">
        <is>
          <t>Autorizado</t>
        </is>
      </c>
      <c r="H6" s="14" t="inlineStr">
        <is>
          <t>6352</t>
        </is>
      </c>
      <c r="I6" s="14" t="inlineStr">
        <is>
          <t>00</t>
        </is>
      </c>
      <c r="J6" s="15" t="n">
        <v>172.64</v>
      </c>
      <c r="K6" s="15" t="n">
        <v>165.65</v>
      </c>
      <c r="L6" s="14" t="n">
        <v>12</v>
      </c>
      <c r="M6" s="15" t="n">
        <v>19.87</v>
      </c>
      <c r="N6" s="14" t="inlineStr">
        <is>
          <t>8953</t>
        </is>
      </c>
      <c r="O6" s="14" t="inlineStr">
        <is>
          <t>Relatório SIEG (sem XML na pasta)</t>
        </is>
      </c>
      <c r="P6" s="14" t="inlineStr">
        <is>
          <t>D 312 / C 506</t>
        </is>
      </c>
      <c r="Q6" s="14" t="inlineStr">
        <is>
          <t>Sem XML na pasta (Cosmetici tomadora - pedir o XML)</t>
        </is>
      </c>
      <c r="R6" s="14" t="inlineStr">
        <is>
          <t>NÃO - sem XML na pasta (pedir o XML)</t>
        </is>
      </c>
      <c r="S6" s="15" t="n"/>
      <c r="T6" s="15" t="n"/>
      <c r="U6" s="14" t="inlineStr">
        <is>
          <t>41260944914992003820570030046879861046879869</t>
        </is>
      </c>
    </row>
    <row r="7">
      <c r="A7" s="4" t="n">
        <v>46269</v>
      </c>
      <c r="B7" s="5" t="n">
        <v>5597996</v>
      </c>
      <c r="C7" s="5" t="inlineStr">
        <is>
          <t>1</t>
        </is>
      </c>
      <c r="D7" s="5" t="inlineStr">
        <is>
          <t>CAXIAS DO SUL - EXPRESSO SAO MIGUEL S/A</t>
        </is>
      </c>
      <c r="E7" s="5" t="inlineStr">
        <is>
          <t>00428307000600</t>
        </is>
      </c>
      <c r="F7" s="5" t="inlineStr">
        <is>
          <t>RS-PR</t>
        </is>
      </c>
      <c r="G7" s="5" t="inlineStr">
        <is>
          <t>Autorizado</t>
        </is>
      </c>
      <c r="H7" s="5" t="inlineStr">
        <is>
          <t>6352</t>
        </is>
      </c>
      <c r="I7" s="5" t="inlineStr">
        <is>
          <t>00</t>
        </is>
      </c>
      <c r="J7" s="6" t="n">
        <v>301.49</v>
      </c>
      <c r="K7" s="6" t="n">
        <v>301.49</v>
      </c>
      <c r="L7" s="5" t="n">
        <v>12</v>
      </c>
      <c r="M7" s="6" t="n">
        <v>36.18</v>
      </c>
      <c r="N7" s="5" t="inlineStr">
        <is>
          <t>2564</t>
        </is>
      </c>
      <c r="O7" s="5" t="inlineStr">
        <is>
          <t>XML</t>
        </is>
      </c>
      <c r="P7" s="5" t="inlineStr">
        <is>
          <t>D 312 / C 506</t>
        </is>
      </c>
      <c r="Q7" s="5" t="inlineStr">
        <is>
          <t>OK</t>
        </is>
      </c>
      <c r="R7" s="5" t="inlineStr">
        <is>
          <t>Sim - uso e consumo: bases zeradas</t>
        </is>
      </c>
      <c r="S7" s="6" t="n">
        <v>0</v>
      </c>
      <c r="T7" s="6" t="n">
        <v>0</v>
      </c>
      <c r="U7" s="5" t="inlineStr">
        <is>
          <t>43260900428307000600570010055979961055979961</t>
        </is>
      </c>
    </row>
    <row r="8">
      <c r="A8" s="13" t="n">
        <v>46274</v>
      </c>
      <c r="B8" s="14" t="n">
        <v>3999629</v>
      </c>
      <c r="C8" s="14" t="inlineStr">
        <is>
          <t>0</t>
        </is>
      </c>
      <c r="D8" s="14" t="inlineStr">
        <is>
          <t>BRASPRESS TRANSPORTES URGENTES LTDA</t>
        </is>
      </c>
      <c r="E8" s="14" t="inlineStr">
        <is>
          <t>48740351000327</t>
        </is>
      </c>
      <c r="F8" s="14" t="inlineStr">
        <is>
          <t>PR-MA</t>
        </is>
      </c>
      <c r="G8" s="14" t="inlineStr">
        <is>
          <t>Autorizado</t>
        </is>
      </c>
      <c r="H8" s="14" t="inlineStr">
        <is>
          <t>6352</t>
        </is>
      </c>
      <c r="I8" s="14" t="inlineStr">
        <is>
          <t>20</t>
        </is>
      </c>
      <c r="J8" s="15" t="n">
        <v>249.59</v>
      </c>
      <c r="K8" s="15" t="n">
        <v>245.48</v>
      </c>
      <c r="L8" s="14" t="n">
        <v>7</v>
      </c>
      <c r="M8" s="15" t="n">
        <v>17.18</v>
      </c>
      <c r="N8" s="14" t="inlineStr">
        <is>
          <t>8949</t>
        </is>
      </c>
      <c r="O8" s="14" t="inlineStr">
        <is>
          <t>Relatório SIEG (sem XML na pasta)</t>
        </is>
      </c>
      <c r="P8" s="14" t="inlineStr">
        <is>
          <t>D 312 / C 506</t>
        </is>
      </c>
      <c r="Q8" s="14" t="inlineStr">
        <is>
          <t>Sem XML na pasta (Cosmetici tomadora - pedir o XML)</t>
        </is>
      </c>
      <c r="R8" s="14" t="inlineStr">
        <is>
          <t>NÃO - sem XML na pasta (pedir o XML)</t>
        </is>
      </c>
      <c r="S8" s="15" t="n"/>
      <c r="T8" s="15" t="n"/>
      <c r="U8" s="14" t="inlineStr">
        <is>
          <t>41260948740351000327570000039996291544246881</t>
        </is>
      </c>
    </row>
    <row r="9">
      <c r="A9" s="13" t="n">
        <v>46274</v>
      </c>
      <c r="B9" s="14" t="n">
        <v>3999630</v>
      </c>
      <c r="C9" s="14" t="inlineStr">
        <is>
          <t>0</t>
        </is>
      </c>
      <c r="D9" s="14" t="inlineStr">
        <is>
          <t>BRASPRESS TRANSPORTES URGENTES LTDA</t>
        </is>
      </c>
      <c r="E9" s="14" t="inlineStr">
        <is>
          <t>48740351000327</t>
        </is>
      </c>
      <c r="F9" s="14" t="inlineStr">
        <is>
          <t>PR-PA</t>
        </is>
      </c>
      <c r="G9" s="14" t="inlineStr">
        <is>
          <t>Autorizado</t>
        </is>
      </c>
      <c r="H9" s="14" t="inlineStr">
        <is>
          <t>6352</t>
        </is>
      </c>
      <c r="I9" s="14" t="inlineStr">
        <is>
          <t>20</t>
        </is>
      </c>
      <c r="J9" s="15" t="n">
        <v>264.86</v>
      </c>
      <c r="K9" s="15" t="n">
        <v>260.75</v>
      </c>
      <c r="L9" s="14" t="n">
        <v>7</v>
      </c>
      <c r="M9" s="15" t="n">
        <v>18.25</v>
      </c>
      <c r="N9" s="14" t="inlineStr">
        <is>
          <t>8946</t>
        </is>
      </c>
      <c r="O9" s="14" t="inlineStr">
        <is>
          <t>Relatório SIEG (sem XML na pasta)</t>
        </is>
      </c>
      <c r="P9" s="14" t="inlineStr">
        <is>
          <t>D 312 / C 506</t>
        </is>
      </c>
      <c r="Q9" s="14" t="inlineStr">
        <is>
          <t>Sem XML na pasta (Cosmetici tomadora - pedir o XML)</t>
        </is>
      </c>
      <c r="R9" s="14" t="inlineStr">
        <is>
          <t>NÃO - sem XML na pasta (pedir o XML)</t>
        </is>
      </c>
      <c r="S9" s="15" t="n"/>
      <c r="T9" s="15" t="n"/>
      <c r="U9" s="14" t="inlineStr">
        <is>
          <t>41260948740351000327570000039996301101761800</t>
        </is>
      </c>
    </row>
    <row r="10">
      <c r="A10" s="13" t="n">
        <v>46276</v>
      </c>
      <c r="B10" s="14" t="n">
        <v>36425929</v>
      </c>
      <c r="C10" s="14" t="inlineStr">
        <is>
          <t>999</t>
        </is>
      </c>
      <c r="D10" s="14" t="inlineStr">
        <is>
          <t>TEX COURIER S.A</t>
        </is>
      </c>
      <c r="E10" s="14" t="inlineStr">
        <is>
          <t>73939449000193</t>
        </is>
      </c>
      <c r="F10" s="14" t="inlineStr">
        <is>
          <t>SP-PR</t>
        </is>
      </c>
      <c r="G10" s="14" t="inlineStr">
        <is>
          <t>Autorizado</t>
        </is>
      </c>
      <c r="H10" s="14" t="inlineStr">
        <is>
          <t>6353</t>
        </is>
      </c>
      <c r="I10" s="14" t="inlineStr">
        <is>
          <t>00</t>
        </is>
      </c>
      <c r="J10" s="15" t="n">
        <v>54.83</v>
      </c>
      <c r="K10" s="15" t="n">
        <v>54.83</v>
      </c>
      <c r="L10" s="14" t="n">
        <v>12</v>
      </c>
      <c r="M10" s="15" t="n">
        <v>6.58</v>
      </c>
      <c r="N10" s="14" t="inlineStr">
        <is>
          <t>994</t>
        </is>
      </c>
      <c r="O10" s="14" t="inlineStr">
        <is>
          <t>Relatório SIEG (sem XML na pasta)</t>
        </is>
      </c>
      <c r="P10" s="14" t="inlineStr">
        <is>
          <t>D 312 / C 506</t>
        </is>
      </c>
      <c r="Q10" s="14" t="inlineStr">
        <is>
          <t>Sem XML na pasta (Cosmetici tomadora - pedir o XML)</t>
        </is>
      </c>
      <c r="R10" s="14" t="inlineStr">
        <is>
          <t>NÃO - sem XML na pasta (pedir o XML)</t>
        </is>
      </c>
      <c r="S10" s="15" t="n"/>
      <c r="T10" s="15" t="n"/>
      <c r="U10" s="14" t="inlineStr">
        <is>
          <t>35260973939449000193579990364259291604264536</t>
        </is>
      </c>
    </row>
    <row r="11">
      <c r="A11" s="13" t="n">
        <v>46281</v>
      </c>
      <c r="B11" s="14" t="n">
        <v>17817538</v>
      </c>
      <c r="C11" s="14" t="inlineStr">
        <is>
          <t>1</t>
        </is>
      </c>
      <c r="D11" s="14" t="inlineStr">
        <is>
          <t>TEX COURIER S.A</t>
        </is>
      </c>
      <c r="E11" s="14" t="inlineStr">
        <is>
          <t>73939449002056</t>
        </is>
      </c>
      <c r="F11" s="14" t="inlineStr">
        <is>
          <t>PR-SP</t>
        </is>
      </c>
      <c r="G11" s="14" t="inlineStr">
        <is>
          <t>Autorizado</t>
        </is>
      </c>
      <c r="H11" s="14" t="inlineStr">
        <is>
          <t>6353</t>
        </is>
      </c>
      <c r="I11" s="14" t="inlineStr">
        <is>
          <t>00</t>
        </is>
      </c>
      <c r="J11" s="15" t="n">
        <v>40.22</v>
      </c>
      <c r="K11" s="15" t="n">
        <v>40.22</v>
      </c>
      <c r="L11" s="14" t="n">
        <v>12</v>
      </c>
      <c r="M11" s="15" t="n">
        <v>4.83</v>
      </c>
      <c r="N11" s="14" t="inlineStr">
        <is>
          <t>1284</t>
        </is>
      </c>
      <c r="O11" s="14" t="inlineStr">
        <is>
          <t>Relatório SIEG (sem XML na pasta)</t>
        </is>
      </c>
      <c r="P11" s="14" t="inlineStr">
        <is>
          <t>D 312 / C 506</t>
        </is>
      </c>
      <c r="Q11" s="14" t="inlineStr">
        <is>
          <t>Sem XML na pasta (Cosmetici tomadora - pedir o XML)</t>
        </is>
      </c>
      <c r="R11" s="14" t="inlineStr">
        <is>
          <t>NÃO - sem XML na pasta (pedir o XML)</t>
        </is>
      </c>
      <c r="S11" s="15" t="n"/>
      <c r="T11" s="15" t="n"/>
      <c r="U11" s="14" t="inlineStr">
        <is>
          <t>41260973939449002056570010178175381661666021</t>
        </is>
      </c>
    </row>
    <row r="12">
      <c r="A12" s="13" t="n">
        <v>46281</v>
      </c>
      <c r="B12" s="14" t="n">
        <v>17817833</v>
      </c>
      <c r="C12" s="14" t="inlineStr">
        <is>
          <t>1</t>
        </is>
      </c>
      <c r="D12" s="14" t="inlineStr">
        <is>
          <t>TEX COURIER S.A</t>
        </is>
      </c>
      <c r="E12" s="14" t="inlineStr">
        <is>
          <t>73939449002056</t>
        </is>
      </c>
      <c r="F12" s="14" t="inlineStr">
        <is>
          <t>PR-MG</t>
        </is>
      </c>
      <c r="G12" s="14" t="inlineStr">
        <is>
          <t>Autorizado</t>
        </is>
      </c>
      <c r="H12" s="14" t="inlineStr">
        <is>
          <t>6353</t>
        </is>
      </c>
      <c r="I12" s="14" t="inlineStr">
        <is>
          <t>00</t>
        </is>
      </c>
      <c r="J12" s="15" t="n">
        <v>55.55</v>
      </c>
      <c r="K12" s="15" t="n">
        <v>55.55</v>
      </c>
      <c r="L12" s="14" t="n">
        <v>12</v>
      </c>
      <c r="M12" s="15" t="n">
        <v>6.67</v>
      </c>
      <c r="N12" s="14" t="inlineStr">
        <is>
          <t>1282</t>
        </is>
      </c>
      <c r="O12" s="14" t="inlineStr">
        <is>
          <t>Relatório SIEG (sem XML na pasta)</t>
        </is>
      </c>
      <c r="P12" s="14" t="inlineStr">
        <is>
          <t>D 312 / C 506</t>
        </is>
      </c>
      <c r="Q12" s="14" t="inlineStr">
        <is>
          <t>Sem XML na pasta (Cosmetici tomadora - pedir o XML)</t>
        </is>
      </c>
      <c r="R12" s="14" t="inlineStr">
        <is>
          <t>NÃO - sem XML na pasta (pedir o XML)</t>
        </is>
      </c>
      <c r="S12" s="15" t="n"/>
      <c r="T12" s="15" t="n"/>
      <c r="U12" s="14" t="inlineStr">
        <is>
          <t>41260973939449002056570010178178331686344389</t>
        </is>
      </c>
    </row>
    <row r="13">
      <c r="A13" s="13" t="n">
        <v>46282</v>
      </c>
      <c r="B13" s="14" t="n">
        <v>17826831</v>
      </c>
      <c r="C13" s="14" t="inlineStr">
        <is>
          <t>1</t>
        </is>
      </c>
      <c r="D13" s="14" t="inlineStr">
        <is>
          <t>TEX COURIER S.A</t>
        </is>
      </c>
      <c r="E13" s="14" t="inlineStr">
        <is>
          <t>73939449002056</t>
        </is>
      </c>
      <c r="F13" s="14" t="inlineStr">
        <is>
          <t>PR-MG</t>
        </is>
      </c>
      <c r="G13" s="14" t="inlineStr">
        <is>
          <t>Autorizado</t>
        </is>
      </c>
      <c r="H13" s="14" t="inlineStr">
        <is>
          <t>6353</t>
        </is>
      </c>
      <c r="I13" s="14" t="inlineStr">
        <is>
          <t>00</t>
        </is>
      </c>
      <c r="J13" s="15" t="n">
        <v>55.85</v>
      </c>
      <c r="K13" s="15" t="n">
        <v>55.85</v>
      </c>
      <c r="L13" s="14" t="n">
        <v>12</v>
      </c>
      <c r="M13" s="15" t="n">
        <v>6.7</v>
      </c>
      <c r="N13" s="14" t="inlineStr">
        <is>
          <t>1288</t>
        </is>
      </c>
      <c r="O13" s="14" t="inlineStr">
        <is>
          <t>Relatório SIEG (sem XML na pasta)</t>
        </is>
      </c>
      <c r="P13" s="14" t="inlineStr">
        <is>
          <t>D 312 / C 506</t>
        </is>
      </c>
      <c r="Q13" s="14" t="inlineStr">
        <is>
          <t>Sem XML na pasta (Cosmetici tomadora - pedir o XML)</t>
        </is>
      </c>
      <c r="R13" s="14" t="inlineStr">
        <is>
          <t>NÃO - sem XML na pasta (pedir o XML)</t>
        </is>
      </c>
      <c r="S13" s="15" t="n"/>
      <c r="T13" s="15" t="n"/>
      <c r="U13" s="14" t="inlineStr">
        <is>
          <t>41260973939449002056570010178268311888893400</t>
        </is>
      </c>
    </row>
    <row r="14">
      <c r="A14" s="4" t="n">
        <v>46283</v>
      </c>
      <c r="B14" s="5" t="n">
        <v>25709</v>
      </c>
      <c r="C14" s="5" t="inlineStr">
        <is>
          <t>3</t>
        </is>
      </c>
      <c r="D14" s="5" t="inlineStr">
        <is>
          <t>TRANS TOMAZ TRANSPORTES RODOV DE CARGAS EIREL</t>
        </is>
      </c>
      <c r="E14" s="5" t="inlineStr">
        <is>
          <t>03867083000290</t>
        </is>
      </c>
      <c r="F14" s="5" t="inlineStr">
        <is>
          <t>SP-PR</t>
        </is>
      </c>
      <c r="G14" s="5" t="inlineStr">
        <is>
          <t>Autorizado</t>
        </is>
      </c>
      <c r="H14" s="5" t="inlineStr">
        <is>
          <t>6353</t>
        </is>
      </c>
      <c r="I14" s="5" t="inlineStr">
        <is>
          <t>00</t>
        </is>
      </c>
      <c r="J14" s="6" t="n">
        <v>116.03</v>
      </c>
      <c r="K14" s="6" t="n">
        <v>116.03</v>
      </c>
      <c r="L14" s="5" t="n">
        <v>12</v>
      </c>
      <c r="M14" s="6" t="n">
        <v>13.92</v>
      </c>
      <c r="N14" s="5" t="inlineStr">
        <is>
          <t>30338</t>
        </is>
      </c>
      <c r="O14" s="5" t="inlineStr">
        <is>
          <t>XML</t>
        </is>
      </c>
      <c r="P14" s="5" t="inlineStr">
        <is>
          <t>D 312 / C 506</t>
        </is>
      </c>
      <c r="Q14" s="5" t="inlineStr">
        <is>
          <t>OK</t>
        </is>
      </c>
      <c r="R14" s="5" t="inlineStr">
        <is>
          <t>Sim - exatamente o XML</t>
        </is>
      </c>
      <c r="S14" s="6" t="n">
        <v>116.03</v>
      </c>
      <c r="T14" s="6" t="n">
        <v>13.92</v>
      </c>
      <c r="U14" s="5" t="inlineStr">
        <is>
          <t>35260903867083000290570030000257091000483871</t>
        </is>
      </c>
    </row>
    <row r="15">
      <c r="A15" s="13" t="n">
        <v>46283</v>
      </c>
      <c r="B15" s="14" t="n">
        <v>4010194</v>
      </c>
      <c r="C15" s="14" t="inlineStr">
        <is>
          <t>0</t>
        </is>
      </c>
      <c r="D15" s="14" t="inlineStr">
        <is>
          <t>BRASPRESS TRANSPORTES URGENTES LTDA</t>
        </is>
      </c>
      <c r="E15" s="14" t="inlineStr">
        <is>
          <t>48740351000327</t>
        </is>
      </c>
      <c r="F15" s="14" t="inlineStr">
        <is>
          <t>PR-BA</t>
        </is>
      </c>
      <c r="G15" s="14" t="inlineStr">
        <is>
          <t>Autorizado</t>
        </is>
      </c>
      <c r="H15" s="14" t="inlineStr">
        <is>
          <t>6352</t>
        </is>
      </c>
      <c r="I15" s="14" t="inlineStr">
        <is>
          <t>20</t>
        </is>
      </c>
      <c r="J15" s="15" t="n">
        <v>507.65</v>
      </c>
      <c r="K15" s="15" t="n">
        <v>499.43</v>
      </c>
      <c r="L15" s="14" t="n">
        <v>7</v>
      </c>
      <c r="M15" s="15" t="n">
        <v>34.96</v>
      </c>
      <c r="N15" s="14" t="inlineStr">
        <is>
          <t>8974</t>
        </is>
      </c>
      <c r="O15" s="14" t="inlineStr">
        <is>
          <t>Relatório SIEG (sem XML na pasta)</t>
        </is>
      </c>
      <c r="P15" s="14" t="inlineStr">
        <is>
          <t>D 312 / C 506</t>
        </is>
      </c>
      <c r="Q15" s="14" t="inlineStr">
        <is>
          <t>Sem XML na pasta (Cosmetici tomadora - pedir o XML)</t>
        </is>
      </c>
      <c r="R15" s="14" t="inlineStr">
        <is>
          <t>NÃO - sem XML na pasta (pedir o XML)</t>
        </is>
      </c>
      <c r="S15" s="15" t="n"/>
      <c r="T15" s="15" t="n"/>
      <c r="U15" s="14" t="inlineStr">
        <is>
          <t>41260948740351000327570000040101941868875491</t>
        </is>
      </c>
    </row>
    <row r="16">
      <c r="A16" s="13" t="n">
        <v>46286</v>
      </c>
      <c r="B16" s="14" t="n">
        <v>2079447</v>
      </c>
      <c r="C16" s="14" t="inlineStr">
        <is>
          <t>1</t>
        </is>
      </c>
      <c r="D16" s="14" t="inlineStr">
        <is>
          <t>CURITIBA - EXPRESSO SAO MIGUEL S/A</t>
        </is>
      </c>
      <c r="E16" s="14" t="inlineStr">
        <is>
          <t>00428307002301</t>
        </is>
      </c>
      <c r="F16" s="14" t="inlineStr">
        <is>
          <t>PR-SC</t>
        </is>
      </c>
      <c r="G16" s="14" t="inlineStr">
        <is>
          <t>Autorizado</t>
        </is>
      </c>
      <c r="H16" s="14" t="inlineStr">
        <is>
          <t>6352</t>
        </is>
      </c>
      <c r="I16" s="14" t="inlineStr">
        <is>
          <t>00</t>
        </is>
      </c>
      <c r="J16" s="15" t="n">
        <v>81.81999999999999</v>
      </c>
      <c r="K16" s="15" t="n">
        <v>78.03</v>
      </c>
      <c r="L16" s="14" t="n">
        <v>12</v>
      </c>
      <c r="M16" s="15" t="n">
        <v>9.359999999999999</v>
      </c>
      <c r="N16" s="14" t="inlineStr">
        <is>
          <t>8987</t>
        </is>
      </c>
      <c r="O16" s="14" t="inlineStr">
        <is>
          <t>Relatório SIEG (sem XML na pasta)</t>
        </is>
      </c>
      <c r="P16" s="14" t="inlineStr">
        <is>
          <t>D 312 / C 506</t>
        </is>
      </c>
      <c r="Q16" s="14" t="inlineStr">
        <is>
          <t>Sem XML na pasta (Cosmetici tomadora - pedir o XML)</t>
        </is>
      </c>
      <c r="R16" s="14" t="inlineStr">
        <is>
          <t>NÃO - sem XML na pasta (pedir o XML)</t>
        </is>
      </c>
      <c r="S16" s="15" t="n"/>
      <c r="T16" s="15" t="n"/>
      <c r="U16" s="14" t="inlineStr">
        <is>
          <t>41260900428307002301570010020794471020794476</t>
        </is>
      </c>
    </row>
    <row r="17">
      <c r="A17" s="13" t="n">
        <v>46286</v>
      </c>
      <c r="B17" s="14" t="n">
        <v>2081291</v>
      </c>
      <c r="C17" s="14" t="inlineStr">
        <is>
          <t>1</t>
        </is>
      </c>
      <c r="D17" s="14" t="inlineStr">
        <is>
          <t>CURITIBA - EXPRESSO SAO MIGUEL S/A</t>
        </is>
      </c>
      <c r="E17" s="14" t="inlineStr">
        <is>
          <t>00428307002301</t>
        </is>
      </c>
      <c r="F17" s="14" t="inlineStr">
        <is>
          <t>PR-RS</t>
        </is>
      </c>
      <c r="G17" s="14" t="inlineStr">
        <is>
          <t>Autorizado</t>
        </is>
      </c>
      <c r="H17" s="14" t="inlineStr">
        <is>
          <t>6352</t>
        </is>
      </c>
      <c r="I17" s="14" t="inlineStr">
        <is>
          <t>00</t>
        </is>
      </c>
      <c r="J17" s="15" t="n">
        <v>115.56</v>
      </c>
      <c r="K17" s="15" t="n">
        <v>111.77</v>
      </c>
      <c r="L17" s="14" t="n">
        <v>12</v>
      </c>
      <c r="M17" s="15" t="n">
        <v>13.41</v>
      </c>
      <c r="N17" s="14" t="inlineStr">
        <is>
          <t>8991</t>
        </is>
      </c>
      <c r="O17" s="14" t="inlineStr">
        <is>
          <t>Relatório SIEG (sem XML na pasta)</t>
        </is>
      </c>
      <c r="P17" s="14" t="inlineStr">
        <is>
          <t>D 312 / C 506</t>
        </is>
      </c>
      <c r="Q17" s="14" t="inlineStr">
        <is>
          <t>Sem XML na pasta (Cosmetici tomadora - pedir o XML)</t>
        </is>
      </c>
      <c r="R17" s="14" t="inlineStr">
        <is>
          <t>NÃO - sem XML na pasta (pedir o XML)</t>
        </is>
      </c>
      <c r="S17" s="15" t="n"/>
      <c r="T17" s="15" t="n"/>
      <c r="U17" s="14" t="inlineStr">
        <is>
          <t>41260900428307002301570010020812911020812916</t>
        </is>
      </c>
    </row>
    <row r="18">
      <c r="A18" s="13" t="n">
        <v>46286</v>
      </c>
      <c r="B18" s="14" t="n">
        <v>2081292</v>
      </c>
      <c r="C18" s="14" t="inlineStr">
        <is>
          <t>1</t>
        </is>
      </c>
      <c r="D18" s="14" t="inlineStr">
        <is>
          <t>CURITIBA - EXPRESSO SAO MIGUEL S/A</t>
        </is>
      </c>
      <c r="E18" s="14" t="inlineStr">
        <is>
          <t>00428307002301</t>
        </is>
      </c>
      <c r="F18" s="14" t="inlineStr">
        <is>
          <t>PR-RS</t>
        </is>
      </c>
      <c r="G18" s="14" t="inlineStr">
        <is>
          <t>Autorizado</t>
        </is>
      </c>
      <c r="H18" s="14" t="inlineStr">
        <is>
          <t>6352</t>
        </is>
      </c>
      <c r="I18" s="14" t="inlineStr">
        <is>
          <t>00</t>
        </is>
      </c>
      <c r="J18" s="15" t="n">
        <v>138.62</v>
      </c>
      <c r="K18" s="15" t="n">
        <v>134.83</v>
      </c>
      <c r="L18" s="14" t="n">
        <v>12</v>
      </c>
      <c r="M18" s="15" t="n">
        <v>16.18</v>
      </c>
      <c r="N18" s="14" t="inlineStr">
        <is>
          <t>8996</t>
        </is>
      </c>
      <c r="O18" s="14" t="inlineStr">
        <is>
          <t>Relatório SIEG (sem XML na pasta)</t>
        </is>
      </c>
      <c r="P18" s="14" t="inlineStr">
        <is>
          <t>D 312 / C 506</t>
        </is>
      </c>
      <c r="Q18" s="14" t="inlineStr">
        <is>
          <t>Sem XML na pasta (Cosmetici tomadora - pedir o XML)</t>
        </is>
      </c>
      <c r="R18" s="14" t="inlineStr">
        <is>
          <t>NÃO - sem XML na pasta (pedir o XML)</t>
        </is>
      </c>
      <c r="S18" s="15" t="n"/>
      <c r="T18" s="15" t="n"/>
      <c r="U18" s="14" t="inlineStr">
        <is>
          <t>41260900428307002301570010020812921020812921</t>
        </is>
      </c>
    </row>
    <row r="19">
      <c r="A19" s="13" t="n">
        <v>46286</v>
      </c>
      <c r="B19" s="14" t="n">
        <v>4011462</v>
      </c>
      <c r="C19" s="14" t="inlineStr">
        <is>
          <t>0</t>
        </is>
      </c>
      <c r="D19" s="14" t="inlineStr">
        <is>
          <t>BRASPRESS TRANSPORTES URGENTES LTDA</t>
        </is>
      </c>
      <c r="E19" s="14" t="inlineStr">
        <is>
          <t>48740351000327</t>
        </is>
      </c>
      <c r="F19" s="14" t="inlineStr">
        <is>
          <t>PR-CE</t>
        </is>
      </c>
      <c r="G19" s="14" t="inlineStr">
        <is>
          <t>Autorizado</t>
        </is>
      </c>
      <c r="H19" s="14" t="inlineStr">
        <is>
          <t>6352</t>
        </is>
      </c>
      <c r="I19" s="14" t="inlineStr">
        <is>
          <t>20</t>
        </is>
      </c>
      <c r="J19" s="15" t="n">
        <v>280.52</v>
      </c>
      <c r="K19" s="15" t="n">
        <v>276.41</v>
      </c>
      <c r="L19" s="14" t="n">
        <v>7</v>
      </c>
      <c r="M19" s="15" t="n">
        <v>19.35</v>
      </c>
      <c r="N19" s="14" t="inlineStr">
        <is>
          <t>8983</t>
        </is>
      </c>
      <c r="O19" s="14" t="inlineStr">
        <is>
          <t>Relatório SIEG (sem XML na pasta)</t>
        </is>
      </c>
      <c r="P19" s="14" t="inlineStr">
        <is>
          <t>D 312 / C 506</t>
        </is>
      </c>
      <c r="Q19" s="14" t="inlineStr">
        <is>
          <t>Sem XML na pasta (Cosmetici tomadora - pedir o XML)</t>
        </is>
      </c>
      <c r="R19" s="14" t="inlineStr">
        <is>
          <t>NÃO - sem XML na pasta (pedir o XML)</t>
        </is>
      </c>
      <c r="S19" s="15" t="n"/>
      <c r="T19" s="15" t="n"/>
      <c r="U19" s="14" t="inlineStr">
        <is>
          <t>41260948740351000327570000040114621516701249</t>
        </is>
      </c>
    </row>
    <row r="20">
      <c r="A20" s="4" t="n">
        <v>46287</v>
      </c>
      <c r="B20" s="5" t="n">
        <v>25910</v>
      </c>
      <c r="C20" s="5" t="inlineStr">
        <is>
          <t>3</t>
        </is>
      </c>
      <c r="D20" s="5" t="inlineStr">
        <is>
          <t>TRANS TOMAZ TRANSPORTES RODOV DE CARGAS EIREL</t>
        </is>
      </c>
      <c r="E20" s="5" t="inlineStr">
        <is>
          <t>03867083000290</t>
        </is>
      </c>
      <c r="F20" s="5" t="inlineStr">
        <is>
          <t>SP-PR</t>
        </is>
      </c>
      <c r="G20" s="5" t="inlineStr">
        <is>
          <t>Autorizado</t>
        </is>
      </c>
      <c r="H20" s="5" t="inlineStr">
        <is>
          <t>6353</t>
        </is>
      </c>
      <c r="I20" s="5" t="inlineStr">
        <is>
          <t>00</t>
        </is>
      </c>
      <c r="J20" s="6" t="n">
        <v>812.3</v>
      </c>
      <c r="K20" s="6" t="n">
        <v>812.3</v>
      </c>
      <c r="L20" s="5" t="n">
        <v>12</v>
      </c>
      <c r="M20" s="6" t="n">
        <v>97.48</v>
      </c>
      <c r="N20" s="5" t="inlineStr">
        <is>
          <t>117690</t>
        </is>
      </c>
      <c r="O20" s="5" t="inlineStr">
        <is>
          <t>XML</t>
        </is>
      </c>
      <c r="P20" s="5" t="inlineStr">
        <is>
          <t>D 312 / C 506</t>
        </is>
      </c>
      <c r="Q20" s="5" t="inlineStr">
        <is>
          <t>OK</t>
        </is>
      </c>
      <c r="R20" s="5" t="inlineStr">
        <is>
          <t>Sim - exatamente o XML</t>
        </is>
      </c>
      <c r="S20" s="6" t="n">
        <v>812.3</v>
      </c>
      <c r="T20" s="6" t="n">
        <v>97.48</v>
      </c>
      <c r="U20" s="5" t="inlineStr">
        <is>
          <t>35260903867083000290570030000259101000487488</t>
        </is>
      </c>
    </row>
    <row r="21">
      <c r="A21" s="13" t="n">
        <v>46288</v>
      </c>
      <c r="B21" s="14" t="n">
        <v>4014896</v>
      </c>
      <c r="C21" s="14" t="inlineStr">
        <is>
          <t>0</t>
        </is>
      </c>
      <c r="D21" s="14" t="inlineStr">
        <is>
          <t>BRASPRESS TRANSPORTES URGENTES LTDA</t>
        </is>
      </c>
      <c r="E21" s="14" t="inlineStr">
        <is>
          <t>48740351000327</t>
        </is>
      </c>
      <c r="F21" s="14" t="inlineStr">
        <is>
          <t>PR-RJ</t>
        </is>
      </c>
      <c r="G21" s="14" t="inlineStr">
        <is>
          <t>Autorizado</t>
        </is>
      </c>
      <c r="H21" s="14" t="inlineStr">
        <is>
          <t>6352</t>
        </is>
      </c>
      <c r="I21" s="14" t="inlineStr">
        <is>
          <t>20</t>
        </is>
      </c>
      <c r="J21" s="15" t="n">
        <v>240.43</v>
      </c>
      <c r="K21" s="15" t="n">
        <v>236.32</v>
      </c>
      <c r="L21" s="14" t="n">
        <v>12</v>
      </c>
      <c r="M21" s="15" t="n">
        <v>28.36</v>
      </c>
      <c r="N21" s="14" t="inlineStr">
        <is>
          <t>8998</t>
        </is>
      </c>
      <c r="O21" s="14" t="inlineStr">
        <is>
          <t>Relatório SIEG (sem XML na pasta)</t>
        </is>
      </c>
      <c r="P21" s="14" t="inlineStr">
        <is>
          <t>D 312 / C 506</t>
        </is>
      </c>
      <c r="Q21" s="14" t="inlineStr">
        <is>
          <t>Sem XML na pasta (Cosmetici tomadora - pedir o XML)</t>
        </is>
      </c>
      <c r="R21" s="14" t="inlineStr">
        <is>
          <t>NÃO - sem XML na pasta (pedir o XML)</t>
        </is>
      </c>
      <c r="S21" s="15" t="n"/>
      <c r="T21" s="15" t="n"/>
      <c r="U21" s="14" t="inlineStr">
        <is>
          <t>41260948740351000327570000040148961341484558</t>
        </is>
      </c>
    </row>
    <row r="22">
      <c r="A22" s="13" t="n">
        <v>46289</v>
      </c>
      <c r="B22" s="14" t="n">
        <v>4016484</v>
      </c>
      <c r="C22" s="14" t="inlineStr">
        <is>
          <t>0</t>
        </is>
      </c>
      <c r="D22" s="14" t="inlineStr">
        <is>
          <t>BRASPRESS TRANSPORTES URGENTES LTDA</t>
        </is>
      </c>
      <c r="E22" s="14" t="inlineStr">
        <is>
          <t>48740351000327</t>
        </is>
      </c>
      <c r="F22" s="14" t="inlineStr">
        <is>
          <t>PR-CE</t>
        </is>
      </c>
      <c r="G22" s="14" t="inlineStr">
        <is>
          <t>Autorizado</t>
        </is>
      </c>
      <c r="H22" s="14" t="inlineStr">
        <is>
          <t>6352</t>
        </is>
      </c>
      <c r="I22" s="14" t="inlineStr">
        <is>
          <t>20</t>
        </is>
      </c>
      <c r="J22" s="15" t="n">
        <v>692.92</v>
      </c>
      <c r="K22" s="15" t="n">
        <v>684.7</v>
      </c>
      <c r="L22" s="14" t="n">
        <v>7</v>
      </c>
      <c r="M22" s="15" t="n">
        <v>47.93</v>
      </c>
      <c r="N22" s="14" t="inlineStr">
        <is>
          <t>9010</t>
        </is>
      </c>
      <c r="O22" s="14" t="inlineStr">
        <is>
          <t>Relatório SIEG (sem XML na pasta)</t>
        </is>
      </c>
      <c r="P22" s="14" t="inlineStr">
        <is>
          <t>D 312 / C 506</t>
        </is>
      </c>
      <c r="Q22" s="14" t="inlineStr">
        <is>
          <t>Sem XML na pasta (Cosmetici tomadora - pedir o XML)</t>
        </is>
      </c>
      <c r="R22" s="14" t="inlineStr">
        <is>
          <t>NÃO - sem XML na pasta (pedir o XML)</t>
        </is>
      </c>
      <c r="S22" s="15" t="n"/>
      <c r="T22" s="15" t="n"/>
      <c r="U22" s="14" t="inlineStr">
        <is>
          <t>41260948740351000327570000040164841595451461</t>
        </is>
      </c>
    </row>
    <row r="23">
      <c r="A23" s="13" t="n">
        <v>46289</v>
      </c>
      <c r="B23" s="14" t="n">
        <v>17890190</v>
      </c>
      <c r="C23" s="14" t="inlineStr">
        <is>
          <t>1</t>
        </is>
      </c>
      <c r="D23" s="14" t="inlineStr">
        <is>
          <t>TEX COURIER S.A</t>
        </is>
      </c>
      <c r="E23" s="14" t="inlineStr">
        <is>
          <t>73939449002056</t>
        </is>
      </c>
      <c r="F23" s="14" t="inlineStr">
        <is>
          <t>PR-PE</t>
        </is>
      </c>
      <c r="G23" s="14" t="inlineStr">
        <is>
          <t>Autorizado</t>
        </is>
      </c>
      <c r="H23" s="14" t="inlineStr">
        <is>
          <t>6353</t>
        </is>
      </c>
      <c r="I23" s="14" t="inlineStr">
        <is>
          <t>00</t>
        </is>
      </c>
      <c r="J23" s="15" t="n">
        <v>221.5</v>
      </c>
      <c r="K23" s="15" t="n">
        <v>221.5</v>
      </c>
      <c r="L23" s="14" t="n">
        <v>7</v>
      </c>
      <c r="M23" s="15" t="n">
        <v>15.51</v>
      </c>
      <c r="N23" s="14" t="inlineStr">
        <is>
          <t>1354</t>
        </is>
      </c>
      <c r="O23" s="14" t="inlineStr">
        <is>
          <t>Relatório SIEG (sem XML na pasta)</t>
        </is>
      </c>
      <c r="P23" s="14" t="inlineStr">
        <is>
          <t>D 312 / C 506</t>
        </is>
      </c>
      <c r="Q23" s="14" t="inlineStr">
        <is>
          <t>Sem XML na pasta (Cosmetici tomadora - pedir o XML)</t>
        </is>
      </c>
      <c r="R23" s="14" t="inlineStr">
        <is>
          <t>NÃO - sem XML na pasta (pedir o XML)</t>
        </is>
      </c>
      <c r="S23" s="15" t="n"/>
      <c r="T23" s="15" t="n"/>
      <c r="U23" s="14" t="inlineStr">
        <is>
          <t>41260973939449002056570010178901901579809677</t>
        </is>
      </c>
    </row>
    <row r="24">
      <c r="A24" s="13" t="n">
        <v>46289</v>
      </c>
      <c r="B24" s="14" t="n">
        <v>17890191</v>
      </c>
      <c r="C24" s="14" t="inlineStr">
        <is>
          <t>1</t>
        </is>
      </c>
      <c r="D24" s="14" t="inlineStr">
        <is>
          <t>TEX COURIER S.A</t>
        </is>
      </c>
      <c r="E24" s="14" t="inlineStr">
        <is>
          <t>73939449002056</t>
        </is>
      </c>
      <c r="F24" s="14" t="inlineStr">
        <is>
          <t>PR-SP</t>
        </is>
      </c>
      <c r="G24" s="14" t="inlineStr">
        <is>
          <t>Autorizado</t>
        </is>
      </c>
      <c r="H24" s="14" t="inlineStr">
        <is>
          <t>6353</t>
        </is>
      </c>
      <c r="I24" s="14" t="inlineStr">
        <is>
          <t>00</t>
        </is>
      </c>
      <c r="J24" s="15" t="n">
        <v>47.65</v>
      </c>
      <c r="K24" s="15" t="n">
        <v>47.65</v>
      </c>
      <c r="L24" s="14" t="n">
        <v>12</v>
      </c>
      <c r="M24" s="15" t="n">
        <v>5.72</v>
      </c>
      <c r="N24" s="14" t="inlineStr">
        <is>
          <t>1355</t>
        </is>
      </c>
      <c r="O24" s="14" t="inlineStr">
        <is>
          <t>Relatório SIEG (sem XML na pasta)</t>
        </is>
      </c>
      <c r="P24" s="14" t="inlineStr">
        <is>
          <t>D 312 / C 506</t>
        </is>
      </c>
      <c r="Q24" s="14" t="inlineStr">
        <is>
          <t>Sem XML na pasta (Cosmetici tomadora - pedir o XML)</t>
        </is>
      </c>
      <c r="R24" s="14" t="inlineStr">
        <is>
          <t>NÃO - sem XML na pasta (pedir o XML)</t>
        </is>
      </c>
      <c r="S24" s="15" t="n"/>
      <c r="T24" s="15" t="n"/>
      <c r="U24" s="14" t="inlineStr">
        <is>
          <t>41260973939449002056570010178901911551237919</t>
        </is>
      </c>
    </row>
    <row r="25">
      <c r="A25" s="4" t="n">
        <v>46290</v>
      </c>
      <c r="B25" s="5" t="n">
        <v>26411</v>
      </c>
      <c r="C25" s="5" t="inlineStr">
        <is>
          <t>3</t>
        </is>
      </c>
      <c r="D25" s="5" t="inlineStr">
        <is>
          <t>TRANS TOMAZ TRANSPORTES RODOV DE CARGAS EIREL</t>
        </is>
      </c>
      <c r="E25" s="5" t="inlineStr">
        <is>
          <t>03867083000290</t>
        </is>
      </c>
      <c r="F25" s="5" t="inlineStr">
        <is>
          <t>SP-PR</t>
        </is>
      </c>
      <c r="G25" s="5" t="inlineStr">
        <is>
          <t>Autorizado</t>
        </is>
      </c>
      <c r="H25" s="5" t="inlineStr">
        <is>
          <t>6353</t>
        </is>
      </c>
      <c r="I25" s="5" t="inlineStr">
        <is>
          <t>00</t>
        </is>
      </c>
      <c r="J25" s="6" t="n">
        <v>126.02</v>
      </c>
      <c r="K25" s="6" t="n">
        <v>126.02</v>
      </c>
      <c r="L25" s="5" t="n">
        <v>12</v>
      </c>
      <c r="M25" s="6" t="n">
        <v>15.12</v>
      </c>
      <c r="N25" s="5" t="inlineStr">
        <is>
          <t>141811</t>
        </is>
      </c>
      <c r="O25" s="5" t="inlineStr">
        <is>
          <t>XML</t>
        </is>
      </c>
      <c r="P25" s="5" t="inlineStr">
        <is>
          <t>D 312 / C 506</t>
        </is>
      </c>
      <c r="Q25" s="5" t="inlineStr">
        <is>
          <t>OK</t>
        </is>
      </c>
      <c r="R25" s="5" t="inlineStr">
        <is>
          <t>Sim - exatamente o XML</t>
        </is>
      </c>
      <c r="S25" s="6" t="n">
        <v>126.02</v>
      </c>
      <c r="T25" s="6" t="n">
        <v>15.12</v>
      </c>
      <c r="U25" s="5" t="inlineStr">
        <is>
          <t>35260903867083000290570030000264111000496392</t>
        </is>
      </c>
    </row>
    <row r="26">
      <c r="A26" s="13" t="n">
        <v>46290</v>
      </c>
      <c r="B26" s="14" t="n">
        <v>17896252</v>
      </c>
      <c r="C26" s="14" t="inlineStr">
        <is>
          <t>1</t>
        </is>
      </c>
      <c r="D26" s="14" t="inlineStr">
        <is>
          <t>TEX COURIER S.A</t>
        </is>
      </c>
      <c r="E26" s="14" t="inlineStr">
        <is>
          <t>73939449002056</t>
        </is>
      </c>
      <c r="F26" s="14" t="inlineStr">
        <is>
          <t>PR-SP</t>
        </is>
      </c>
      <c r="G26" s="14" t="inlineStr">
        <is>
          <t>Autorizado</t>
        </is>
      </c>
      <c r="H26" s="14" t="inlineStr">
        <is>
          <t>6353</t>
        </is>
      </c>
      <c r="I26" s="14" t="inlineStr">
        <is>
          <t>00</t>
        </is>
      </c>
      <c r="J26" s="15" t="n">
        <v>38.66</v>
      </c>
      <c r="K26" s="15" t="n">
        <v>38.66</v>
      </c>
      <c r="L26" s="14" t="n">
        <v>12</v>
      </c>
      <c r="M26" s="15" t="n">
        <v>4.64</v>
      </c>
      <c r="N26" s="14" t="inlineStr">
        <is>
          <t>1380</t>
        </is>
      </c>
      <c r="O26" s="14" t="inlineStr">
        <is>
          <t>Relatório SIEG (sem XML na pasta)</t>
        </is>
      </c>
      <c r="P26" s="14" t="inlineStr">
        <is>
          <t>D 312 / C 506</t>
        </is>
      </c>
      <c r="Q26" s="14" t="inlineStr">
        <is>
          <t>Sem XML na pasta (Cosmetici tomadora - pedir o XML)</t>
        </is>
      </c>
      <c r="R26" s="14" t="inlineStr">
        <is>
          <t>NÃO - sem XML na pasta (pedir o XML)</t>
        </is>
      </c>
      <c r="S26" s="15" t="n"/>
      <c r="T26" s="15" t="n"/>
      <c r="U26" s="14" t="inlineStr">
        <is>
          <t>41260973939449002056570010178962521387579519</t>
        </is>
      </c>
    </row>
    <row r="27">
      <c r="A27" s="13" t="n">
        <v>46290</v>
      </c>
      <c r="B27" s="14" t="n">
        <v>17901568</v>
      </c>
      <c r="C27" s="14" t="inlineStr">
        <is>
          <t>1</t>
        </is>
      </c>
      <c r="D27" s="14" t="inlineStr">
        <is>
          <t>TEX COURIER S.A</t>
        </is>
      </c>
      <c r="E27" s="14" t="inlineStr">
        <is>
          <t>73939449002056</t>
        </is>
      </c>
      <c r="F27" s="14" t="inlineStr">
        <is>
          <t>PR-SC</t>
        </is>
      </c>
      <c r="G27" s="14" t="inlineStr">
        <is>
          <t>Autorizado</t>
        </is>
      </c>
      <c r="H27" s="14" t="inlineStr">
        <is>
          <t>6353</t>
        </is>
      </c>
      <c r="I27" s="14" t="inlineStr">
        <is>
          <t>00</t>
        </is>
      </c>
      <c r="J27" s="15" t="n">
        <v>20.82</v>
      </c>
      <c r="K27" s="15" t="n">
        <v>20.82</v>
      </c>
      <c r="L27" s="14" t="n">
        <v>12</v>
      </c>
      <c r="M27" s="15" t="n">
        <v>2.5</v>
      </c>
      <c r="N27" s="14" t="inlineStr">
        <is>
          <t>1396</t>
        </is>
      </c>
      <c r="O27" s="14" t="inlineStr">
        <is>
          <t>Relatório SIEG (sem XML na pasta)</t>
        </is>
      </c>
      <c r="P27" s="14" t="inlineStr">
        <is>
          <t>D 312 / C 506</t>
        </is>
      </c>
      <c r="Q27" s="14" t="inlineStr">
        <is>
          <t>Sem XML na pasta (Cosmetici tomadora - pedir o XML)</t>
        </is>
      </c>
      <c r="R27" s="14" t="inlineStr">
        <is>
          <t>NÃO - sem XML na pasta (pedir o XML)</t>
        </is>
      </c>
      <c r="S27" s="15" t="n"/>
      <c r="T27" s="15" t="n"/>
      <c r="U27" s="14" t="inlineStr">
        <is>
          <t>41260973939449002056570010179015681681992936</t>
        </is>
      </c>
    </row>
    <row r="28">
      <c r="A28" s="13" t="n">
        <v>46290</v>
      </c>
      <c r="B28" s="14" t="n">
        <v>17901582</v>
      </c>
      <c r="C28" s="14" t="inlineStr">
        <is>
          <t>1</t>
        </is>
      </c>
      <c r="D28" s="14" t="inlineStr">
        <is>
          <t>TEX COURIER S.A</t>
        </is>
      </c>
      <c r="E28" s="14" t="inlineStr">
        <is>
          <t>73939449002056</t>
        </is>
      </c>
      <c r="F28" s="14" t="inlineStr">
        <is>
          <t>PR-SP</t>
        </is>
      </c>
      <c r="G28" s="14" t="inlineStr">
        <is>
          <t>Autorizado</t>
        </is>
      </c>
      <c r="H28" s="14" t="inlineStr">
        <is>
          <t>6353</t>
        </is>
      </c>
      <c r="I28" s="14" t="inlineStr">
        <is>
          <t>00</t>
        </is>
      </c>
      <c r="J28" s="15" t="n">
        <v>51.09</v>
      </c>
      <c r="K28" s="15" t="n">
        <v>51.09</v>
      </c>
      <c r="L28" s="14" t="n">
        <v>12</v>
      </c>
      <c r="M28" s="15" t="n">
        <v>6.13</v>
      </c>
      <c r="N28" s="14" t="inlineStr">
        <is>
          <t>1397</t>
        </is>
      </c>
      <c r="O28" s="14" t="inlineStr">
        <is>
          <t>Relatório SIEG (sem XML na pasta)</t>
        </is>
      </c>
      <c r="P28" s="14" t="inlineStr">
        <is>
          <t>D 312 / C 506</t>
        </is>
      </c>
      <c r="Q28" s="14" t="inlineStr">
        <is>
          <t>Sem XML na pasta (Cosmetici tomadora - pedir o XML)</t>
        </is>
      </c>
      <c r="R28" s="14" t="inlineStr">
        <is>
          <t>NÃO - sem XML na pasta (pedir o XML)</t>
        </is>
      </c>
      <c r="S28" s="15" t="n"/>
      <c r="T28" s="15" t="n"/>
      <c r="U28" s="14" t="inlineStr">
        <is>
          <t>41260973939449002056570010179015821611093770</t>
        </is>
      </c>
    </row>
    <row r="29">
      <c r="A29" s="13" t="n">
        <v>46290</v>
      </c>
      <c r="B29" s="14" t="n">
        <v>17901583</v>
      </c>
      <c r="C29" s="14" t="inlineStr">
        <is>
          <t>1</t>
        </is>
      </c>
      <c r="D29" s="14" t="inlineStr">
        <is>
          <t>TEX COURIER S.A</t>
        </is>
      </c>
      <c r="E29" s="14" t="inlineStr">
        <is>
          <t>73939449002056</t>
        </is>
      </c>
      <c r="F29" s="14" t="inlineStr">
        <is>
          <t>PR-RS</t>
        </is>
      </c>
      <c r="G29" s="14" t="inlineStr">
        <is>
          <t>Autorizado</t>
        </is>
      </c>
      <c r="H29" s="14" t="inlineStr">
        <is>
          <t>6353</t>
        </is>
      </c>
      <c r="I29" s="14" t="inlineStr">
        <is>
          <t>00</t>
        </is>
      </c>
      <c r="J29" s="15" t="n">
        <v>19.44</v>
      </c>
      <c r="K29" s="15" t="n">
        <v>19.44</v>
      </c>
      <c r="L29" s="14" t="n">
        <v>12</v>
      </c>
      <c r="M29" s="15" t="n">
        <v>2.33</v>
      </c>
      <c r="N29" s="14" t="inlineStr">
        <is>
          <t>1392</t>
        </is>
      </c>
      <c r="O29" s="14" t="inlineStr">
        <is>
          <t>Relatório SIEG (sem XML na pasta)</t>
        </is>
      </c>
      <c r="P29" s="14" t="inlineStr">
        <is>
          <t>D 312 / C 506</t>
        </is>
      </c>
      <c r="Q29" s="14" t="inlineStr">
        <is>
          <t>Sem XML na pasta (Cosmetici tomadora - pedir o XML)</t>
        </is>
      </c>
      <c r="R29" s="14" t="inlineStr">
        <is>
          <t>NÃO - sem XML na pasta (pedir o XML)</t>
        </is>
      </c>
      <c r="S29" s="15" t="n"/>
      <c r="T29" s="15" t="n"/>
      <c r="U29" s="14" t="inlineStr">
        <is>
          <t>41260973939449002056570010179015831130565736</t>
        </is>
      </c>
    </row>
    <row r="30">
      <c r="A30" s="13" t="n">
        <v>46290</v>
      </c>
      <c r="B30" s="14" t="n">
        <v>17901596</v>
      </c>
      <c r="C30" s="14" t="inlineStr">
        <is>
          <t>1</t>
        </is>
      </c>
      <c r="D30" s="14" t="inlineStr">
        <is>
          <t>TEX COURIER S.A</t>
        </is>
      </c>
      <c r="E30" s="14" t="inlineStr">
        <is>
          <t>73939449002056</t>
        </is>
      </c>
      <c r="F30" s="14" t="inlineStr">
        <is>
          <t>PR-SP</t>
        </is>
      </c>
      <c r="G30" s="14" t="inlineStr">
        <is>
          <t>Autorizado</t>
        </is>
      </c>
      <c r="H30" s="14" t="inlineStr">
        <is>
          <t>6353</t>
        </is>
      </c>
      <c r="I30" s="14" t="inlineStr">
        <is>
          <t>00</t>
        </is>
      </c>
      <c r="J30" s="15" t="n">
        <v>22.97</v>
      </c>
      <c r="K30" s="15" t="n">
        <v>22.97</v>
      </c>
      <c r="L30" s="14" t="n">
        <v>12</v>
      </c>
      <c r="M30" s="15" t="n">
        <v>2.76</v>
      </c>
      <c r="N30" s="14" t="inlineStr">
        <is>
          <t>1379</t>
        </is>
      </c>
      <c r="O30" s="14" t="inlineStr">
        <is>
          <t>Relatório SIEG (sem XML na pasta)</t>
        </is>
      </c>
      <c r="P30" s="14" t="inlineStr">
        <is>
          <t>D 312 / C 506</t>
        </is>
      </c>
      <c r="Q30" s="14" t="inlineStr">
        <is>
          <t>Sem XML na pasta (Cosmetici tomadora - pedir o XML)</t>
        </is>
      </c>
      <c r="R30" s="14" t="inlineStr">
        <is>
          <t>NÃO - sem XML na pasta (pedir o XML)</t>
        </is>
      </c>
      <c r="S30" s="15" t="n"/>
      <c r="T30" s="15" t="n"/>
      <c r="U30" s="14" t="inlineStr">
        <is>
          <t>41260973939449002056570010179015961538845580</t>
        </is>
      </c>
    </row>
    <row r="31">
      <c r="A31" s="13" t="n">
        <v>46290</v>
      </c>
      <c r="B31" s="14" t="n">
        <v>17901597</v>
      </c>
      <c r="C31" s="14" t="inlineStr">
        <is>
          <t>1</t>
        </is>
      </c>
      <c r="D31" s="14" t="inlineStr">
        <is>
          <t>TEX COURIER S.A</t>
        </is>
      </c>
      <c r="E31" s="14" t="inlineStr">
        <is>
          <t>73939449002056</t>
        </is>
      </c>
      <c r="F31" s="14" t="inlineStr">
        <is>
          <t>PR-MG</t>
        </is>
      </c>
      <c r="G31" s="14" t="inlineStr">
        <is>
          <t>Autorizado</t>
        </is>
      </c>
      <c r="H31" s="14" t="inlineStr">
        <is>
          <t>6353</t>
        </is>
      </c>
      <c r="I31" s="14" t="inlineStr">
        <is>
          <t>00</t>
        </is>
      </c>
      <c r="J31" s="15" t="n">
        <v>26.16</v>
      </c>
      <c r="K31" s="15" t="n">
        <v>26.16</v>
      </c>
      <c r="L31" s="14" t="n">
        <v>12</v>
      </c>
      <c r="M31" s="15" t="n">
        <v>3.14</v>
      </c>
      <c r="N31" s="14" t="inlineStr">
        <is>
          <t>1390</t>
        </is>
      </c>
      <c r="O31" s="14" t="inlineStr">
        <is>
          <t>Relatório SIEG (sem XML na pasta)</t>
        </is>
      </c>
      <c r="P31" s="14" t="inlineStr">
        <is>
          <t>D 312 / C 506</t>
        </is>
      </c>
      <c r="Q31" s="14" t="inlineStr">
        <is>
          <t>Sem XML na pasta (Cosmetici tomadora - pedir o XML)</t>
        </is>
      </c>
      <c r="R31" s="14" t="inlineStr">
        <is>
          <t>NÃO - sem XML na pasta (pedir o XML)</t>
        </is>
      </c>
      <c r="S31" s="15" t="n"/>
      <c r="T31" s="15" t="n"/>
      <c r="U31" s="14" t="inlineStr">
        <is>
          <t>41260973939449002056570010179015971354021905</t>
        </is>
      </c>
    </row>
    <row r="32">
      <c r="A32" s="13" t="n">
        <v>46290</v>
      </c>
      <c r="B32" s="14" t="n">
        <v>17901624</v>
      </c>
      <c r="C32" s="14" t="inlineStr">
        <is>
          <t>1</t>
        </is>
      </c>
      <c r="D32" s="14" t="inlineStr">
        <is>
          <t>TEX COURIER S.A</t>
        </is>
      </c>
      <c r="E32" s="14" t="inlineStr">
        <is>
          <t>73939449002056</t>
        </is>
      </c>
      <c r="F32" s="14" t="inlineStr">
        <is>
          <t>PR-DF</t>
        </is>
      </c>
      <c r="G32" s="14" t="inlineStr">
        <is>
          <t>Autorizado</t>
        </is>
      </c>
      <c r="H32" s="14" t="inlineStr">
        <is>
          <t>6353</t>
        </is>
      </c>
      <c r="I32" s="14" t="inlineStr">
        <is>
          <t>00</t>
        </is>
      </c>
      <c r="J32" s="15" t="n">
        <v>28.31</v>
      </c>
      <c r="K32" s="15" t="n">
        <v>28.31</v>
      </c>
      <c r="L32" s="14" t="n">
        <v>7</v>
      </c>
      <c r="M32" s="15" t="n">
        <v>1.98</v>
      </c>
      <c r="N32" s="14" t="inlineStr">
        <is>
          <t>1377</t>
        </is>
      </c>
      <c r="O32" s="14" t="inlineStr">
        <is>
          <t>Relatório SIEG (sem XML na pasta)</t>
        </is>
      </c>
      <c r="P32" s="14" t="inlineStr">
        <is>
          <t>D 312 / C 506</t>
        </is>
      </c>
      <c r="Q32" s="14" t="inlineStr">
        <is>
          <t>Sem XML na pasta (Cosmetici tomadora - pedir o XML)</t>
        </is>
      </c>
      <c r="R32" s="14" t="inlineStr">
        <is>
          <t>NÃO - sem XML na pasta (pedir o XML)</t>
        </is>
      </c>
      <c r="S32" s="15" t="n"/>
      <c r="T32" s="15" t="n"/>
      <c r="U32" s="14" t="inlineStr">
        <is>
          <t>41260973939449002056570010179016241104385135</t>
        </is>
      </c>
    </row>
    <row r="33">
      <c r="A33" s="13" t="n">
        <v>46293</v>
      </c>
      <c r="B33" s="14" t="n">
        <v>2095396</v>
      </c>
      <c r="C33" s="14" t="inlineStr">
        <is>
          <t>1</t>
        </is>
      </c>
      <c r="D33" s="14" t="inlineStr">
        <is>
          <t>CURITIBA - EXPRESSO SAO MIGUEL S/A</t>
        </is>
      </c>
      <c r="E33" s="14" t="inlineStr">
        <is>
          <t>00428307002301</t>
        </is>
      </c>
      <c r="F33" s="14" t="inlineStr">
        <is>
          <t>PR-RS</t>
        </is>
      </c>
      <c r="G33" s="14" t="inlineStr">
        <is>
          <t>Autorizado</t>
        </is>
      </c>
      <c r="H33" s="14" t="inlineStr">
        <is>
          <t>6352</t>
        </is>
      </c>
      <c r="I33" s="14" t="inlineStr">
        <is>
          <t>00</t>
        </is>
      </c>
      <c r="J33" s="15" t="n">
        <v>146.44</v>
      </c>
      <c r="K33" s="15" t="n">
        <v>142.65</v>
      </c>
      <c r="L33" s="14" t="n">
        <v>12</v>
      </c>
      <c r="M33" s="15" t="n">
        <v>17.12</v>
      </c>
      <c r="N33" s="14" t="inlineStr">
        <is>
          <t>9015</t>
        </is>
      </c>
      <c r="O33" s="14" t="inlineStr">
        <is>
          <t>Relatório SIEG (sem XML na pasta)</t>
        </is>
      </c>
      <c r="P33" s="14" t="inlineStr">
        <is>
          <t>D 312 / C 506</t>
        </is>
      </c>
      <c r="Q33" s="14" t="inlineStr">
        <is>
          <t>Sem XML na pasta (Cosmetici tomadora - pedir o XML)</t>
        </is>
      </c>
      <c r="R33" s="14" t="inlineStr">
        <is>
          <t>NÃO - sem XML na pasta (pedir o XML)</t>
        </is>
      </c>
      <c r="S33" s="15" t="n"/>
      <c r="T33" s="15" t="n"/>
      <c r="U33" s="14" t="inlineStr">
        <is>
          <t>41260900428307002301570010020953961020953963</t>
        </is>
      </c>
    </row>
    <row r="34">
      <c r="A34" s="13" t="n">
        <v>46293</v>
      </c>
      <c r="B34" s="14" t="n">
        <v>17915091</v>
      </c>
      <c r="C34" s="14" t="inlineStr">
        <is>
          <t>1</t>
        </is>
      </c>
      <c r="D34" s="14" t="inlineStr">
        <is>
          <t>TEX COURIER S.A</t>
        </is>
      </c>
      <c r="E34" s="14" t="inlineStr">
        <is>
          <t>73939449002056</t>
        </is>
      </c>
      <c r="F34" s="14" t="inlineStr">
        <is>
          <t>PR-RS</t>
        </is>
      </c>
      <c r="G34" s="14" t="inlineStr">
        <is>
          <t>Autorizado</t>
        </is>
      </c>
      <c r="H34" s="14" t="inlineStr">
        <is>
          <t>6353</t>
        </is>
      </c>
      <c r="I34" s="14" t="inlineStr">
        <is>
          <t>00</t>
        </is>
      </c>
      <c r="J34" s="15" t="n">
        <v>27.56</v>
      </c>
      <c r="K34" s="15" t="n">
        <v>27.56</v>
      </c>
      <c r="L34" s="14" t="n">
        <v>12</v>
      </c>
      <c r="M34" s="15" t="n">
        <v>3.31</v>
      </c>
      <c r="N34" s="14" t="inlineStr">
        <is>
          <t>1407</t>
        </is>
      </c>
      <c r="O34" s="14" t="inlineStr">
        <is>
          <t>Relatório SIEG (sem XML na pasta)</t>
        </is>
      </c>
      <c r="P34" s="14" t="inlineStr">
        <is>
          <t>D 312 / C 506</t>
        </is>
      </c>
      <c r="Q34" s="14" t="inlineStr">
        <is>
          <t>Sem XML na pasta (Cosmetici tomadora - pedir o XML)</t>
        </is>
      </c>
      <c r="R34" s="14" t="inlineStr">
        <is>
          <t>NÃO - sem XML na pasta (pedir o XML)</t>
        </is>
      </c>
      <c r="S34" s="15" t="n"/>
      <c r="T34" s="15" t="n"/>
      <c r="U34" s="14" t="inlineStr">
        <is>
          <t>41260973939449002056570010179150911045858097</t>
        </is>
      </c>
    </row>
    <row r="35">
      <c r="A35" s="13" t="n">
        <v>46294</v>
      </c>
      <c r="B35" s="14" t="n">
        <v>2098798</v>
      </c>
      <c r="C35" s="14" t="inlineStr">
        <is>
          <t>1</t>
        </is>
      </c>
      <c r="D35" s="14" t="inlineStr">
        <is>
          <t>CURITIBA - EXPRESSO SAO MIGUEL S/A</t>
        </is>
      </c>
      <c r="E35" s="14" t="inlineStr">
        <is>
          <t>00428307002301</t>
        </is>
      </c>
      <c r="F35" s="14" t="inlineStr">
        <is>
          <t>PR-RS</t>
        </is>
      </c>
      <c r="G35" s="14" t="inlineStr">
        <is>
          <t>Autorizado</t>
        </is>
      </c>
      <c r="H35" s="14" t="inlineStr">
        <is>
          <t>6352</t>
        </is>
      </c>
      <c r="I35" s="14" t="inlineStr">
        <is>
          <t>00</t>
        </is>
      </c>
      <c r="J35" s="15" t="n">
        <v>445.46</v>
      </c>
      <c r="K35" s="15" t="n">
        <v>434.09</v>
      </c>
      <c r="L35" s="14" t="n">
        <v>12</v>
      </c>
      <c r="M35" s="15" t="n">
        <v>52.09</v>
      </c>
      <c r="N35" s="14" t="inlineStr">
        <is>
          <t>9017</t>
        </is>
      </c>
      <c r="O35" s="14" t="inlineStr">
        <is>
          <t>Relatório SIEG (sem XML na pasta)</t>
        </is>
      </c>
      <c r="P35" s="14" t="inlineStr">
        <is>
          <t>D 312 / C 506</t>
        </is>
      </c>
      <c r="Q35" s="14" t="inlineStr">
        <is>
          <t>Sem XML na pasta (Cosmetici tomadora - pedir o XML)</t>
        </is>
      </c>
      <c r="R35" s="14" t="inlineStr">
        <is>
          <t>NÃO - sem XML na pasta (pedir o XML)</t>
        </is>
      </c>
      <c r="S35" s="15" t="n"/>
      <c r="T35" s="15" t="n"/>
      <c r="U35" s="14" t="inlineStr">
        <is>
          <t>41260900428307002301570010020987981020987981</t>
        </is>
      </c>
    </row>
    <row r="36">
      <c r="A36" s="13" t="n">
        <v>46294</v>
      </c>
      <c r="B36" s="14" t="n">
        <v>17924737</v>
      </c>
      <c r="C36" s="14" t="inlineStr">
        <is>
          <t>1</t>
        </is>
      </c>
      <c r="D36" s="14" t="inlineStr">
        <is>
          <t>TEX COURIER S.A</t>
        </is>
      </c>
      <c r="E36" s="14" t="inlineStr">
        <is>
          <t>73939449002056</t>
        </is>
      </c>
      <c r="F36" s="14" t="inlineStr">
        <is>
          <t>PR-MG</t>
        </is>
      </c>
      <c r="G36" s="14" t="inlineStr">
        <is>
          <t>Autorizado</t>
        </is>
      </c>
      <c r="H36" s="14" t="inlineStr">
        <is>
          <t>6353</t>
        </is>
      </c>
      <c r="I36" s="14" t="inlineStr">
        <is>
          <t>00</t>
        </is>
      </c>
      <c r="J36" s="15" t="n">
        <v>55.04</v>
      </c>
      <c r="K36" s="15" t="n">
        <v>55.04</v>
      </c>
      <c r="L36" s="14" t="n">
        <v>12</v>
      </c>
      <c r="M36" s="15" t="n">
        <v>6.6</v>
      </c>
      <c r="N36" s="14" t="inlineStr">
        <is>
          <t>1442</t>
        </is>
      </c>
      <c r="O36" s="14" t="inlineStr">
        <is>
          <t>Relatório SIEG (sem XML na pasta)</t>
        </is>
      </c>
      <c r="P36" s="14" t="inlineStr">
        <is>
          <t>D 312 / C 506</t>
        </is>
      </c>
      <c r="Q36" s="14" t="inlineStr">
        <is>
          <t>Sem XML na pasta (Cosmetici tomadora - pedir o XML)</t>
        </is>
      </c>
      <c r="R36" s="14" t="inlineStr">
        <is>
          <t>NÃO - sem XML na pasta (pedir o XML)</t>
        </is>
      </c>
      <c r="S36" s="15" t="n"/>
      <c r="T36" s="15" t="n"/>
      <c r="U36" s="14" t="inlineStr">
        <is>
          <t>41260973939449002056570010179247371948650364</t>
        </is>
      </c>
    </row>
    <row r="37">
      <c r="A37" s="13" t="n">
        <v>46294</v>
      </c>
      <c r="B37" s="14" t="n">
        <v>17924803</v>
      </c>
      <c r="C37" s="14" t="inlineStr">
        <is>
          <t>1</t>
        </is>
      </c>
      <c r="D37" s="14" t="inlineStr">
        <is>
          <t>TEX COURIER S.A</t>
        </is>
      </c>
      <c r="E37" s="14" t="inlineStr">
        <is>
          <t>73939449002056</t>
        </is>
      </c>
      <c r="F37" s="14" t="inlineStr">
        <is>
          <t>PR-MG</t>
        </is>
      </c>
      <c r="G37" s="14" t="inlineStr">
        <is>
          <t>Autorizado</t>
        </is>
      </c>
      <c r="H37" s="14" t="inlineStr">
        <is>
          <t>6353</t>
        </is>
      </c>
      <c r="I37" s="14" t="inlineStr">
        <is>
          <t>00</t>
        </is>
      </c>
      <c r="J37" s="15" t="n">
        <v>28.56</v>
      </c>
      <c r="K37" s="15" t="n">
        <v>28.56</v>
      </c>
      <c r="L37" s="14" t="n">
        <v>12</v>
      </c>
      <c r="M37" s="15" t="n">
        <v>3.43</v>
      </c>
      <c r="N37" s="14" t="inlineStr">
        <is>
          <t>1438</t>
        </is>
      </c>
      <c r="O37" s="14" t="inlineStr">
        <is>
          <t>Relatório SIEG (sem XML na pasta)</t>
        </is>
      </c>
      <c r="P37" s="14" t="inlineStr">
        <is>
          <t>D 312 / C 506</t>
        </is>
      </c>
      <c r="Q37" s="14" t="inlineStr">
        <is>
          <t>Sem XML na pasta (Cosmetici tomadora - pedir o XML)</t>
        </is>
      </c>
      <c r="R37" s="14" t="inlineStr">
        <is>
          <t>NÃO - sem XML na pasta (pedir o XML)</t>
        </is>
      </c>
      <c r="S37" s="15" t="n"/>
      <c r="T37" s="15" t="n"/>
      <c r="U37" s="14" t="inlineStr">
        <is>
          <t>41260973939449002056570010179248031905329170</t>
        </is>
      </c>
    </row>
    <row r="38">
      <c r="A38" s="13" t="n">
        <v>46294</v>
      </c>
      <c r="B38" s="14" t="n">
        <v>17924811</v>
      </c>
      <c r="C38" s="14" t="inlineStr">
        <is>
          <t>1</t>
        </is>
      </c>
      <c r="D38" s="14" t="inlineStr">
        <is>
          <t>TEX COURIER S.A</t>
        </is>
      </c>
      <c r="E38" s="14" t="inlineStr">
        <is>
          <t>73939449002056</t>
        </is>
      </c>
      <c r="F38" s="14" t="inlineStr">
        <is>
          <t>PR-RS</t>
        </is>
      </c>
      <c r="G38" s="14" t="inlineStr">
        <is>
          <t>Autorizado</t>
        </is>
      </c>
      <c r="H38" s="14" t="inlineStr">
        <is>
          <t>6353</t>
        </is>
      </c>
      <c r="I38" s="14" t="inlineStr">
        <is>
          <t>00</t>
        </is>
      </c>
      <c r="J38" s="15" t="n">
        <v>24.74</v>
      </c>
      <c r="K38" s="15" t="n">
        <v>24.74</v>
      </c>
      <c r="L38" s="14" t="n">
        <v>12</v>
      </c>
      <c r="M38" s="15" t="n">
        <v>2.97</v>
      </c>
      <c r="N38" s="14" t="inlineStr">
        <is>
          <t>1409</t>
        </is>
      </c>
      <c r="O38" s="14" t="inlineStr">
        <is>
          <t>Relatório SIEG (sem XML na pasta)</t>
        </is>
      </c>
      <c r="P38" s="14" t="inlineStr">
        <is>
          <t>D 312 / C 506</t>
        </is>
      </c>
      <c r="Q38" s="14" t="inlineStr">
        <is>
          <t>Sem XML na pasta (Cosmetici tomadora - pedir o XML)</t>
        </is>
      </c>
      <c r="R38" s="14" t="inlineStr">
        <is>
          <t>NÃO - sem XML na pasta (pedir o XML)</t>
        </is>
      </c>
      <c r="S38" s="15" t="n"/>
      <c r="T38" s="15" t="n"/>
      <c r="U38" s="14" t="inlineStr">
        <is>
          <t>41260973939449002056570010179248111268602370</t>
        </is>
      </c>
    </row>
    <row r="39">
      <c r="A39" s="4" t="n">
        <v>46295</v>
      </c>
      <c r="B39" s="5" t="n">
        <v>26730</v>
      </c>
      <c r="C39" s="5" t="inlineStr">
        <is>
          <t>3</t>
        </is>
      </c>
      <c r="D39" s="5" t="inlineStr">
        <is>
          <t>TRANS TOMAZ TRANSPORTES RODOV DE CARGAS EIREL</t>
        </is>
      </c>
      <c r="E39" s="5" t="inlineStr">
        <is>
          <t>03867083000290</t>
        </is>
      </c>
      <c r="F39" s="5" t="inlineStr">
        <is>
          <t>SP-PR</t>
        </is>
      </c>
      <c r="G39" s="5" t="inlineStr">
        <is>
          <t>Autorizado</t>
        </is>
      </c>
      <c r="H39" s="5" t="inlineStr">
        <is>
          <t>6353</t>
        </is>
      </c>
      <c r="I39" s="5" t="inlineStr">
        <is>
          <t>00</t>
        </is>
      </c>
      <c r="J39" s="6" t="n">
        <v>188.49</v>
      </c>
      <c r="K39" s="6" t="n">
        <v>188.49</v>
      </c>
      <c r="L39" s="5" t="n">
        <v>12</v>
      </c>
      <c r="M39" s="6" t="n">
        <v>22.62</v>
      </c>
      <c r="N39" s="5" t="inlineStr">
        <is>
          <t>19303</t>
        </is>
      </c>
      <c r="O39" s="5" t="inlineStr">
        <is>
          <t>XML</t>
        </is>
      </c>
      <c r="P39" s="5" t="inlineStr">
        <is>
          <t>D 312 / C 506</t>
        </is>
      </c>
      <c r="Q39" s="5" t="inlineStr">
        <is>
          <t>OK</t>
        </is>
      </c>
      <c r="R39" s="5" t="inlineStr">
        <is>
          <t>Sim - exatamente o XML</t>
        </is>
      </c>
      <c r="S39" s="6" t="n">
        <v>188.49</v>
      </c>
      <c r="T39" s="6" t="n">
        <v>22.62</v>
      </c>
      <c r="U39" s="5" t="inlineStr">
        <is>
          <t>35260903867083000290570030000267301000504028</t>
        </is>
      </c>
    </row>
    <row r="40">
      <c r="A40" s="16" t="inlineStr">
        <is>
          <t>Total (sem canceladas)</t>
        </is>
      </c>
      <c r="B40" s="17" t="n"/>
      <c r="C40" s="16">
        <f>COUNTA(C5:C39)&amp;" docs"</f>
        <v/>
      </c>
      <c r="D40" s="17" t="n"/>
      <c r="E40" s="17" t="n"/>
      <c r="F40" s="17" t="n"/>
      <c r="G40" s="17" t="n"/>
      <c r="H40" s="17" t="n"/>
      <c r="I40" s="17" t="n"/>
      <c r="J40" s="18">
        <f>SUMPRODUCT((G5:G39&lt;&gt;"Cancelada")*(G5:G39&lt;&gt;"Cancelado")*J5:J39)</f>
        <v/>
      </c>
      <c r="K40" s="18">
        <f>SUMPRODUCT((G5:G39&lt;&gt;"Cancelada")*(G5:G39&lt;&gt;"Cancelado")*K5:K39)</f>
        <v/>
      </c>
      <c r="L40" s="17" t="n"/>
      <c r="M40" s="18">
        <f>SUMPRODUCT((G5:G39&lt;&gt;"Cancelada")*(G5:G39&lt;&gt;"Cancelado")*M5:M39)</f>
        <v/>
      </c>
      <c r="N40" s="17" t="n"/>
      <c r="O40" s="17" t="n"/>
      <c r="P40" s="17" t="n"/>
      <c r="Q40" s="17" t="n"/>
      <c r="R40" s="17" t="n"/>
      <c r="S40" s="18">
        <f>SUMPRODUCT((G5:G39&lt;&gt;"Cancelada")*(G5:G39&lt;&gt;"Cancelado")*S5:S39)</f>
        <v/>
      </c>
      <c r="T40" s="18">
        <f>SUMPRODUCT((G5:G39&lt;&gt;"Cancelada")*(G5:G39&lt;&gt;"Cancelado")*T5:T39)</f>
        <v/>
      </c>
      <c r="U40" s="17" t="n"/>
    </row>
    <row r="42">
      <c r="A42" s="19" t="inlineStr">
        <is>
          <t>Dentro do estado</t>
        </is>
      </c>
      <c r="D42" s="19">
        <f>COUNTIF(F5:F39,"PR-PR")</f>
        <v/>
      </c>
    </row>
    <row r="43">
      <c r="A43" s="19" t="inlineStr">
        <is>
          <t>Com XML</t>
        </is>
      </c>
      <c r="D43" s="19">
        <f>COUNTIF(O5:O39,"XML")</f>
        <v/>
      </c>
    </row>
    <row r="44">
      <c r="A44" s="19" t="inlineStr">
        <is>
          <t>Sem XML, autorizados (pedir o XML)</t>
        </is>
      </c>
      <c r="D44" s="19">
        <f>COUNTIFS(O5:O39,"Relatório*",G5:G39,"Autorizado")</f>
        <v/>
      </c>
    </row>
    <row r="45">
      <c r="A45" s="19" t="inlineStr">
        <is>
          <t>Cancelados</t>
        </is>
      </c>
      <c r="D45" s="19">
        <f>COUNTIF(G5:G39,"Cancelado")</f>
        <v/>
      </c>
    </row>
  </sheetData>
  <autoFilter ref="A4:U39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9"/>
  <sheetViews>
    <sheetView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30" customWidth="1" min="3" max="3"/>
    <col width="15" customWidth="1" min="4" max="4"/>
    <col width="10" customWidth="1" min="5" max="5"/>
    <col width="7" customWidth="1" min="6" max="6"/>
    <col width="14" customWidth="1" min="7" max="7"/>
    <col width="8" customWidth="1" min="8" max="8"/>
    <col width="26" customWidth="1" min="9" max="9"/>
    <col width="11" customWidth="1" min="10" max="10"/>
    <col width="10" customWidth="1" min="11" max="11"/>
    <col width="5" customWidth="1" min="12" max="12"/>
    <col width="9" customWidth="1" min="13" max="13"/>
    <col width="9" customWidth="1" min="14" max="14"/>
    <col width="9" customWidth="1" min="15" max="15"/>
    <col width="11" customWidth="1" min="16" max="16"/>
    <col width="9" customWidth="1" min="17" max="17"/>
    <col width="10" customWidth="1" min="18" max="18"/>
    <col width="11" customWidth="1" min="19" max="19"/>
    <col width="18" customWidth="1" min="20" max="20"/>
    <col width="8" customWidth="1" min="21" max="21"/>
    <col width="8" customWidth="1" min="22" max="22"/>
    <col width="22" customWidth="1" min="23" max="23"/>
    <col width="10" customWidth="1" min="24" max="24"/>
    <col width="14" customWidth="1" min="25" max="25"/>
    <col width="30" customWidth="1" min="26" max="26"/>
    <col width="50" customWidth="1" min="27" max="27"/>
  </cols>
  <sheetData>
    <row r="1">
      <c r="A1" s="1" t="inlineStr">
        <is>
          <t>NFS-e tomadas</t>
        </is>
      </c>
    </row>
    <row r="2">
      <c r="A2" s="2" t="inlineStr">
        <is>
          <t>Serviços tomados - 09/2026. Retenções exatamente como no XML (sem recálculo). Amarelo = nota com retenção.</t>
        </is>
      </c>
    </row>
    <row r="4" ht="30" customHeight="1">
      <c r="A4" s="3" t="inlineStr">
        <is>
          <t>Emissão</t>
        </is>
      </c>
      <c r="B4" s="3" t="inlineStr">
        <is>
          <t>NFS-e</t>
        </is>
      </c>
      <c r="C4" s="3" t="inlineStr">
        <is>
          <t>Prestador</t>
        </is>
      </c>
      <c r="D4" s="3" t="inlineStr">
        <is>
          <t>CNPJ</t>
        </is>
      </c>
      <c r="E4" s="3" t="inlineStr">
        <is>
          <t>Situação</t>
        </is>
      </c>
      <c r="F4" s="3" t="inlineStr">
        <is>
          <t>Simples</t>
        </is>
      </c>
      <c r="G4" s="3" t="inlineStr">
        <is>
          <t>Município incidência</t>
        </is>
      </c>
      <c r="H4" s="3" t="inlineStr">
        <is>
          <t>Cód. serviço</t>
        </is>
      </c>
      <c r="I4" s="3" t="inlineStr">
        <is>
          <t>Serviço</t>
        </is>
      </c>
      <c r="J4" s="3" t="inlineStr">
        <is>
          <t>Valor</t>
        </is>
      </c>
      <c r="K4" s="3" t="inlineStr">
        <is>
          <t>Base ISS</t>
        </is>
      </c>
      <c r="L4" s="3" t="inlineStr">
        <is>
          <t>% ISS</t>
        </is>
      </c>
      <c r="M4" s="3" t="inlineStr">
        <is>
          <t>ISS</t>
        </is>
      </c>
      <c r="N4" s="3" t="inlineStr">
        <is>
          <t>ISS retido</t>
        </is>
      </c>
      <c r="O4" s="3" t="inlineStr">
        <is>
          <t>IRRF retido</t>
        </is>
      </c>
      <c r="P4" s="3" t="inlineStr">
        <is>
          <t>PIS/COFINS/CSLL retidos (vRetCSLL)</t>
        </is>
      </c>
      <c r="Q4" s="3" t="inlineStr">
        <is>
          <t>INSS retido</t>
        </is>
      </c>
      <c r="R4" s="3" t="inlineStr">
        <is>
          <t>Total retido (vTotalRet)</t>
        </is>
      </c>
      <c r="S4" s="3" t="inlineStr">
        <is>
          <t>Líquido</t>
        </is>
      </c>
      <c r="T4" s="3" t="inlineStr">
        <is>
          <t>Tem retenção?</t>
        </is>
      </c>
      <c r="U4" s="3" t="inlineStr">
        <is>
          <t>PIS (nota)</t>
        </is>
      </c>
      <c r="V4" s="3" t="inlineStr">
        <is>
          <t>COFINS (nota)</t>
        </is>
      </c>
      <c r="W4" s="3" t="inlineStr">
        <is>
          <t>Retenção PIS/COFINS (XML)</t>
        </is>
      </c>
      <c r="X4" s="3" t="inlineStr">
        <is>
          <t>Acumulador</t>
        </is>
      </c>
      <c r="Y4" s="3" t="inlineStr">
        <is>
          <t>Conta contábil (Domínio)</t>
        </is>
      </c>
      <c r="Z4" s="3" t="inlineStr">
        <is>
          <t>Conferência XML x relatório ABRASF</t>
        </is>
      </c>
      <c r="AA4" s="3" t="inlineStr">
        <is>
          <t>Chave</t>
        </is>
      </c>
    </row>
    <row r="5">
      <c r="A5" s="4" t="n">
        <v>46266</v>
      </c>
      <c r="B5" s="5" t="n">
        <v>1547</v>
      </c>
      <c r="C5" s="5" t="inlineStr">
        <is>
          <t>PENSU EXACTU COMERCIO E SERVICOS DE EQUIPAMENTOS METROLOGICOS LTDA</t>
        </is>
      </c>
      <c r="D5" s="5" t="inlineStr">
        <is>
          <t>07768652000110</t>
        </is>
      </c>
      <c r="E5" s="5" t="inlineStr">
        <is>
          <t>Autorizada</t>
        </is>
      </c>
      <c r="F5" s="5" t="inlineStr">
        <is>
          <t>Sim</t>
        </is>
      </c>
      <c r="G5" s="5" t="inlineStr">
        <is>
          <t>Curitiba</t>
        </is>
      </c>
      <c r="H5" s="5" t="inlineStr">
        <is>
          <t>170901</t>
        </is>
      </c>
      <c r="I5" s="5" t="inlineStr">
        <is>
          <t>Perícias, laudos, exames técnicos e análises técnicas.</t>
        </is>
      </c>
      <c r="J5" s="6" t="n">
        <v>612.25</v>
      </c>
      <c r="K5" s="6" t="n">
        <v>0</v>
      </c>
      <c r="L5" s="5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612.25</v>
      </c>
      <c r="T5" s="5" t="inlineStr">
        <is>
          <t>Não</t>
        </is>
      </c>
      <c r="U5" s="6" t="n">
        <v>0</v>
      </c>
      <c r="V5" s="6" t="n">
        <v>0</v>
      </c>
      <c r="W5" s="5" t="inlineStr">
        <is>
          <t>-</t>
        </is>
      </c>
      <c r="X5" s="5" t="inlineStr">
        <is>
          <t>803</t>
        </is>
      </c>
      <c r="Y5" s="5" t="inlineStr">
        <is>
          <t>D 362 / C 506</t>
        </is>
      </c>
      <c r="Z5" s="5" t="inlineStr">
        <is>
          <t>OK (XML sem base do ISS - Simples, sem retenção; o relatório repete o valor)</t>
        </is>
      </c>
      <c r="AA5" s="5" t="inlineStr">
        <is>
          <t>41069022207768652000110000000000154726099373367718</t>
        </is>
      </c>
    </row>
    <row r="6">
      <c r="A6" s="7" t="n">
        <v>46266</v>
      </c>
      <c r="B6" s="8" t="n">
        <v>18</v>
      </c>
      <c r="C6" s="8" t="inlineStr">
        <is>
          <t>GENESIS ALIANCA SERVICOS MEDICOS LTDA.</t>
        </is>
      </c>
      <c r="D6" s="8" t="inlineStr">
        <is>
          <t>67742984000157</t>
        </is>
      </c>
      <c r="E6" s="8" t="inlineStr">
        <is>
          <t>Autorizada</t>
        </is>
      </c>
      <c r="F6" s="8" t="inlineStr">
        <is>
          <t>Não</t>
        </is>
      </c>
      <c r="G6" s="8" t="inlineStr">
        <is>
          <t>Curitiba</t>
        </is>
      </c>
      <c r="H6" s="8" t="inlineStr">
        <is>
          <t>040102</t>
        </is>
      </c>
      <c r="I6" s="8" t="inlineStr">
        <is>
          <t>Biomedicina.</t>
        </is>
      </c>
      <c r="J6" s="9" t="n">
        <v>728.14</v>
      </c>
      <c r="K6" s="9" t="n">
        <v>728.14</v>
      </c>
      <c r="L6" s="8" t="n">
        <v>5</v>
      </c>
      <c r="M6" s="9" t="n">
        <v>36.41</v>
      </c>
      <c r="N6" s="9" t="n">
        <v>0</v>
      </c>
      <c r="O6" s="9" t="n">
        <v>10.92</v>
      </c>
      <c r="P6" s="9" t="n">
        <v>0</v>
      </c>
      <c r="Q6" s="9" t="n">
        <v>0</v>
      </c>
      <c r="R6" s="9" t="n">
        <v>10.92</v>
      </c>
      <c r="S6" s="9" t="n">
        <v>717.22</v>
      </c>
      <c r="T6" s="8" t="inlineStr">
        <is>
          <t>SIM - IRRF</t>
        </is>
      </c>
      <c r="U6" s="9" t="n">
        <v>4.73</v>
      </c>
      <c r="V6" s="9" t="n">
        <v>21.84</v>
      </c>
      <c r="W6" s="8" t="inlineStr">
        <is>
          <t>PIS/COFINS/CSLL não retidos</t>
        </is>
      </c>
      <c r="X6" s="8" t="inlineStr">
        <is>
          <t>definir</t>
        </is>
      </c>
      <c r="Y6" s="8" t="inlineStr">
        <is>
          <t>sem conta: prestador sem acumulador e sem histórico no Domínio</t>
        </is>
      </c>
      <c r="Z6" s="8" t="inlineStr">
        <is>
          <t>OK</t>
        </is>
      </c>
      <c r="AA6" s="8" t="inlineStr">
        <is>
          <t>41069022267742984000157000000000001826091655988219</t>
        </is>
      </c>
    </row>
    <row r="7">
      <c r="A7" s="4" t="n">
        <v>46266</v>
      </c>
      <c r="B7" s="5" t="n">
        <v>2709747</v>
      </c>
      <c r="C7" s="5" t="inlineStr">
        <is>
          <t>LIGGA SERVICOS EM TELECOM S.A.</t>
        </is>
      </c>
      <c r="D7" s="5" t="inlineStr">
        <is>
          <t>65649511000184</t>
        </is>
      </c>
      <c r="E7" s="5" t="inlineStr">
        <is>
          <t>Autorizada</t>
        </is>
      </c>
      <c r="F7" s="5" t="inlineStr">
        <is>
          <t>Não</t>
        </is>
      </c>
      <c r="G7" s="5" t="inlineStr">
        <is>
          <t>Curitiba</t>
        </is>
      </c>
      <c r="H7" s="5" t="inlineStr">
        <is>
          <t>310104</t>
        </is>
      </c>
      <c r="I7" s="5" t="inlineStr">
        <is>
          <t>Serviços técnicos em telecomunicações e congêneres.</t>
        </is>
      </c>
      <c r="J7" s="6" t="n">
        <v>83.98999999999999</v>
      </c>
      <c r="K7" s="6" t="n">
        <v>83.98999999999999</v>
      </c>
      <c r="L7" s="5" t="n">
        <v>5</v>
      </c>
      <c r="M7" s="6" t="n">
        <v>4.2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83.98999999999999</v>
      </c>
      <c r="T7" s="5" t="inlineStr">
        <is>
          <t>Não</t>
        </is>
      </c>
      <c r="U7" s="6" t="n">
        <v>1.39</v>
      </c>
      <c r="V7" s="6" t="n">
        <v>6.38</v>
      </c>
      <c r="W7" s="5" t="inlineStr">
        <is>
          <t>PIS/COFINS não retidos</t>
        </is>
      </c>
      <c r="X7" s="5" t="inlineStr">
        <is>
          <t>819</t>
        </is>
      </c>
      <c r="Y7" s="5" t="inlineStr">
        <is>
          <t>D 362 / C 506</t>
        </is>
      </c>
      <c r="Z7" s="5" t="inlineStr">
        <is>
          <t>OK</t>
        </is>
      </c>
      <c r="AA7" s="5" t="inlineStr">
        <is>
          <t>41069022265649511000184000000270974726090368715311</t>
        </is>
      </c>
    </row>
    <row r="8">
      <c r="A8" s="4" t="n">
        <v>46266</v>
      </c>
      <c r="B8" s="5" t="n">
        <v>2709751</v>
      </c>
      <c r="C8" s="5" t="inlineStr">
        <is>
          <t>LIGGA SERVICOS EM TELECOM S.A.</t>
        </is>
      </c>
      <c r="D8" s="5" t="inlineStr">
        <is>
          <t>65649511000184</t>
        </is>
      </c>
      <c r="E8" s="5" t="inlineStr">
        <is>
          <t>Autorizada</t>
        </is>
      </c>
      <c r="F8" s="5" t="inlineStr">
        <is>
          <t>Não</t>
        </is>
      </c>
      <c r="G8" s="5" t="inlineStr"/>
      <c r="H8" s="5" t="inlineStr">
        <is>
          <t>010902</t>
        </is>
      </c>
      <c r="I8" s="5" t="inlineStr">
        <is>
          <t>Disponibilização, sem cessão definitiva, de conteúdos de víd</t>
        </is>
      </c>
      <c r="J8" s="6" t="n">
        <v>195.97</v>
      </c>
      <c r="K8" s="6" t="n">
        <v>0</v>
      </c>
      <c r="L8" s="5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195.97</v>
      </c>
      <c r="T8" s="5" t="inlineStr">
        <is>
          <t>Não</t>
        </is>
      </c>
      <c r="U8" s="6" t="n">
        <v>0</v>
      </c>
      <c r="V8" s="6" t="n">
        <v>0</v>
      </c>
      <c r="W8" s="5" t="inlineStr">
        <is>
          <t>PIS/COFINS não retidos</t>
        </is>
      </c>
      <c r="X8" s="5" t="inlineStr">
        <is>
          <t>820</t>
        </is>
      </c>
      <c r="Y8" s="5" t="inlineStr">
        <is>
          <t>D 643 / C 506</t>
        </is>
      </c>
      <c r="Z8" s="5" t="inlineStr">
        <is>
          <t>OK (XML sem base do ISS - Simples, sem retenção; o relatório repete o valor)</t>
        </is>
      </c>
      <c r="AA8" s="5" t="inlineStr">
        <is>
          <t>41069022265649511000184000000270975126095154324020</t>
        </is>
      </c>
    </row>
    <row r="9">
      <c r="A9" s="4" t="n">
        <v>46266</v>
      </c>
      <c r="B9" s="5" t="n">
        <v>507</v>
      </c>
      <c r="C9" s="5" t="inlineStr">
        <is>
          <t>ANDRADE ENGENHARIA LTDA.</t>
        </is>
      </c>
      <c r="D9" s="5" t="inlineStr">
        <is>
          <t>80402860000190</t>
        </is>
      </c>
      <c r="E9" s="5" t="inlineStr">
        <is>
          <t>Autorizada</t>
        </is>
      </c>
      <c r="F9" s="5" t="inlineStr">
        <is>
          <t>Sim</t>
        </is>
      </c>
      <c r="G9" s="5" t="inlineStr">
        <is>
          <t>Curitiba</t>
        </is>
      </c>
      <c r="H9" s="5" t="inlineStr">
        <is>
          <t>170101</t>
        </is>
      </c>
      <c r="I9" s="5" t="inlineStr">
        <is>
          <t xml:space="preserve">Assessoria ou consultoria de qualquer natureza, não contida </t>
        </is>
      </c>
      <c r="J9" s="6" t="n">
        <v>1124.56</v>
      </c>
      <c r="K9" s="6" t="n">
        <v>0</v>
      </c>
      <c r="L9" s="5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1124.56</v>
      </c>
      <c r="T9" s="5" t="inlineStr">
        <is>
          <t>Não</t>
        </is>
      </c>
      <c r="U9" s="6" t="n">
        <v>0</v>
      </c>
      <c r="V9" s="6" t="n">
        <v>0</v>
      </c>
      <c r="W9" s="5" t="inlineStr">
        <is>
          <t>PIS/COFINS/CSLL não retidos</t>
        </is>
      </c>
      <c r="X9" s="5" t="inlineStr">
        <is>
          <t>825</t>
        </is>
      </c>
      <c r="Y9" s="5" t="inlineStr">
        <is>
          <t>D 364 / C 506</t>
        </is>
      </c>
      <c r="Z9" s="5" t="inlineStr">
        <is>
          <t>OK (XML sem base do ISS - Simples, sem retenção; o relatório repete o valor)</t>
        </is>
      </c>
      <c r="AA9" s="5" t="inlineStr">
        <is>
          <t>41069022280402860000190000000000050726097638942622</t>
        </is>
      </c>
    </row>
    <row r="10">
      <c r="A10" s="4" t="n">
        <v>46266</v>
      </c>
      <c r="B10" s="5" t="n">
        <v>817660</v>
      </c>
      <c r="C10" s="5" t="inlineStr">
        <is>
          <t>DENTAL UNI - COOPERATIVA ODONTOLOGICA</t>
        </is>
      </c>
      <c r="D10" s="5" t="inlineStr">
        <is>
          <t>78738101000151</t>
        </is>
      </c>
      <c r="E10" s="5" t="inlineStr">
        <is>
          <t>Autorizada</t>
        </is>
      </c>
      <c r="F10" s="5" t="inlineStr">
        <is>
          <t>Não</t>
        </is>
      </c>
      <c r="G10" s="5" t="inlineStr">
        <is>
          <t>Curitiba</t>
        </is>
      </c>
      <c r="H10" s="5" t="inlineStr">
        <is>
          <t>042201</t>
        </is>
      </c>
      <c r="I10" s="5" t="inlineStr">
        <is>
          <t>Planos de medicina de grupo ou individual e convênios para p</t>
        </is>
      </c>
      <c r="J10" s="6" t="n">
        <v>107.56</v>
      </c>
      <c r="K10" s="6" t="n">
        <v>18.29</v>
      </c>
      <c r="L10" s="5" t="n">
        <v>4</v>
      </c>
      <c r="M10" s="6" t="n">
        <v>0.73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107.56</v>
      </c>
      <c r="T10" s="5" t="inlineStr">
        <is>
          <t>Não</t>
        </is>
      </c>
      <c r="U10" s="6" t="n">
        <v>0</v>
      </c>
      <c r="V10" s="6" t="n">
        <v>0</v>
      </c>
      <c r="W10" s="5" t="inlineStr">
        <is>
          <t>-</t>
        </is>
      </c>
      <c r="X10" s="5" t="inlineStr">
        <is>
          <t>824</t>
        </is>
      </c>
      <c r="Y10" s="5" t="inlineStr">
        <is>
          <t>D 652 / C 506</t>
        </is>
      </c>
      <c r="Z10" s="5" t="inlineStr">
        <is>
          <t>OK</t>
        </is>
      </c>
      <c r="AA10" s="5" t="inlineStr">
        <is>
          <t>41069022278738101000151000000081766026097784194236</t>
        </is>
      </c>
    </row>
    <row r="11">
      <c r="A11" s="4" t="n">
        <v>46266</v>
      </c>
      <c r="B11" s="5" t="n">
        <v>974</v>
      </c>
      <c r="C11" s="5" t="inlineStr">
        <is>
          <t>TIPOGRAFIA IGUACU LTDA</t>
        </is>
      </c>
      <c r="D11" s="5" t="inlineStr">
        <is>
          <t>75114363000157</t>
        </is>
      </c>
      <c r="E11" s="5" t="inlineStr">
        <is>
          <t>Autorizada</t>
        </is>
      </c>
      <c r="F11" s="5" t="inlineStr">
        <is>
          <t>Sim</t>
        </is>
      </c>
      <c r="G11" s="5" t="inlineStr">
        <is>
          <t>Curitiba</t>
        </is>
      </c>
      <c r="H11" s="5" t="inlineStr">
        <is>
          <t>130501</t>
        </is>
      </c>
      <c r="I11" s="5" t="inlineStr">
        <is>
          <t>Composição gráfica, inclusive confecção de impressos gráfico</t>
        </is>
      </c>
      <c r="J11" s="6" t="n">
        <v>72.59999999999999</v>
      </c>
      <c r="K11" s="6" t="n">
        <v>0</v>
      </c>
      <c r="L11" s="5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72.59999999999999</v>
      </c>
      <c r="T11" s="5" t="inlineStr">
        <is>
          <t>Não</t>
        </is>
      </c>
      <c r="U11" s="6" t="n">
        <v>0</v>
      </c>
      <c r="V11" s="6" t="n">
        <v>0</v>
      </c>
      <c r="W11" s="5" t="inlineStr">
        <is>
          <t>-</t>
        </is>
      </c>
      <c r="X11" s="5" t="inlineStr">
        <is>
          <t>830</t>
        </is>
      </c>
      <c r="Y11" s="5" t="inlineStr">
        <is>
          <t>D 325 / C 506</t>
        </is>
      </c>
      <c r="Z11" s="5" t="inlineStr">
        <is>
          <t>OK (XML sem base do ISS - Simples, sem retenção; o relatório repete o valor)</t>
        </is>
      </c>
      <c r="AA11" s="5" t="inlineStr">
        <is>
          <t>41069022275114363000157000000000097426097081722597</t>
        </is>
      </c>
    </row>
    <row r="12">
      <c r="A12" s="4" t="n">
        <v>46268</v>
      </c>
      <c r="B12" s="5" t="n">
        <v>469</v>
      </c>
      <c r="C12" s="5" t="inlineStr">
        <is>
          <t>OFICINA DO IMPRESSO GRAFICA E EDITORA LTDA.</t>
        </is>
      </c>
      <c r="D12" s="5" t="inlineStr">
        <is>
          <t>00495545000116</t>
        </is>
      </c>
      <c r="E12" s="5" t="inlineStr">
        <is>
          <t>Autorizada</t>
        </is>
      </c>
      <c r="F12" s="5" t="inlineStr">
        <is>
          <t>Não</t>
        </is>
      </c>
      <c r="G12" s="5" t="inlineStr">
        <is>
          <t>Curitiba</t>
        </is>
      </c>
      <c r="H12" s="5" t="inlineStr">
        <is>
          <t>130501</t>
        </is>
      </c>
      <c r="I12" s="5" t="inlineStr">
        <is>
          <t>Composição gráfica, inclusive confecção de impressos gráfico</t>
        </is>
      </c>
      <c r="J12" s="6" t="n">
        <v>1998</v>
      </c>
      <c r="K12" s="6" t="n">
        <v>1998</v>
      </c>
      <c r="L12" s="5" t="n">
        <v>2.5</v>
      </c>
      <c r="M12" s="6" t="n">
        <v>49.95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1998</v>
      </c>
      <c r="T12" s="5" t="inlineStr">
        <is>
          <t>Não</t>
        </is>
      </c>
      <c r="U12" s="6" t="n">
        <v>12.99</v>
      </c>
      <c r="V12" s="6" t="n">
        <v>59.94</v>
      </c>
      <c r="W12" s="5" t="inlineStr">
        <is>
          <t>PIS/COFINS não retidos</t>
        </is>
      </c>
      <c r="X12" s="5" t="inlineStr">
        <is>
          <t>830</t>
        </is>
      </c>
      <c r="Y12" s="5" t="inlineStr">
        <is>
          <t>D 325 / C 506</t>
        </is>
      </c>
      <c r="Z12" s="5" t="inlineStr">
        <is>
          <t>OK</t>
        </is>
      </c>
      <c r="AA12" s="5" t="inlineStr">
        <is>
          <t>41069022200495545000116000000000046926091708323044</t>
        </is>
      </c>
    </row>
    <row r="13">
      <c r="A13" s="4" t="n">
        <v>46268</v>
      </c>
      <c r="B13" s="5" t="n">
        <v>8798</v>
      </c>
      <c r="C13" s="5" t="inlineStr">
        <is>
          <t>DOM RICARDO HOTEL LTDA</t>
        </is>
      </c>
      <c r="D13" s="5" t="inlineStr">
        <is>
          <t>01790040000147</t>
        </is>
      </c>
      <c r="E13" s="5" t="inlineStr">
        <is>
          <t>Autorizada</t>
        </is>
      </c>
      <c r="F13" s="5" t="inlineStr">
        <is>
          <t>Não</t>
        </is>
      </c>
      <c r="G13" s="5" t="inlineStr">
        <is>
          <t>São José dos Pinhais</t>
        </is>
      </c>
      <c r="H13" s="5" t="inlineStr">
        <is>
          <t>090101</t>
        </is>
      </c>
      <c r="I13" s="5" t="inlineStr">
        <is>
          <t>Hospedagem em hotéis, hotelaria marítima e congêneres (o val</t>
        </is>
      </c>
      <c r="J13" s="6" t="n">
        <v>3510.88</v>
      </c>
      <c r="K13" s="6" t="n">
        <v>3510.88</v>
      </c>
      <c r="L13" s="5" t="n">
        <v>5</v>
      </c>
      <c r="M13" s="6" t="n">
        <v>175.54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3510.88</v>
      </c>
      <c r="T13" s="5" t="inlineStr">
        <is>
          <t>Não</t>
        </is>
      </c>
      <c r="U13" s="6" t="n">
        <v>0</v>
      </c>
      <c r="V13" s="6" t="n">
        <v>0</v>
      </c>
      <c r="W13" s="5" t="inlineStr">
        <is>
          <t>PIS/COFINS/CSLL não retidos</t>
        </is>
      </c>
      <c r="X13" s="5" t="inlineStr">
        <is>
          <t>definir</t>
        </is>
      </c>
      <c r="Y13" s="5" t="inlineStr">
        <is>
          <t>sem conta: prestador sem acumulador e sem histórico no Domínio</t>
        </is>
      </c>
      <c r="Z13" s="5" t="inlineStr">
        <is>
          <t>OK</t>
        </is>
      </c>
      <c r="AA13" s="5" t="inlineStr">
        <is>
          <t>41255062201790040000147000000000879826090020603825</t>
        </is>
      </c>
    </row>
    <row r="14">
      <c r="A14" s="4" t="n">
        <v>46273</v>
      </c>
      <c r="B14" s="5" t="n">
        <v>45454</v>
      </c>
      <c r="C14" s="5" t="inlineStr">
        <is>
          <t>GL HOTEIS LTDA</t>
        </is>
      </c>
      <c r="D14" s="5" t="inlineStr">
        <is>
          <t>48395289000111</t>
        </is>
      </c>
      <c r="E14" s="5" t="inlineStr">
        <is>
          <t>Autorizada</t>
        </is>
      </c>
      <c r="F14" s="5" t="inlineStr">
        <is>
          <t>Não</t>
        </is>
      </c>
      <c r="G14" s="5" t="inlineStr">
        <is>
          <t>São Paulo</t>
        </is>
      </c>
      <c r="H14" s="5" t="inlineStr">
        <is>
          <t>090101</t>
        </is>
      </c>
      <c r="I14" s="5" t="inlineStr">
        <is>
          <t>Hospedagem em hotéis, hotelaria marítima e congêneres (o val</t>
        </is>
      </c>
      <c r="J14" s="6" t="n">
        <v>12980</v>
      </c>
      <c r="K14" s="6" t="n">
        <v>12980</v>
      </c>
      <c r="L14" s="5" t="n">
        <v>5</v>
      </c>
      <c r="M14" s="6" t="n">
        <v>649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12980</v>
      </c>
      <c r="T14" s="5" t="inlineStr">
        <is>
          <t>Não</t>
        </is>
      </c>
      <c r="U14" s="6" t="n">
        <v>0</v>
      </c>
      <c r="V14" s="6" t="n">
        <v>0</v>
      </c>
      <c r="W14" s="5" t="inlineStr">
        <is>
          <t>-</t>
        </is>
      </c>
      <c r="X14" s="5" t="inlineStr">
        <is>
          <t>definir</t>
        </is>
      </c>
      <c r="Y14" s="5" t="inlineStr">
        <is>
          <t>sem conta: prestador sem acumulador e sem histórico no Domínio</t>
        </is>
      </c>
      <c r="Z14" s="5" t="inlineStr">
        <is>
          <t>OK</t>
        </is>
      </c>
      <c r="AA14" s="5" t="inlineStr">
        <is>
          <t>35503081248395289000111000000004545426099076402305</t>
        </is>
      </c>
    </row>
    <row r="15">
      <c r="A15" s="4" t="n">
        <v>46275</v>
      </c>
      <c r="B15" s="5" t="n">
        <v>908</v>
      </c>
      <c r="C15" s="5" t="inlineStr">
        <is>
          <t>CRM TECNOLOGIA EM SISTEMAS DE INFORMACAO LTDA</t>
        </is>
      </c>
      <c r="D15" s="5" t="inlineStr">
        <is>
          <t>24891333000116</t>
        </is>
      </c>
      <c r="E15" s="5" t="inlineStr">
        <is>
          <t>Autorizada</t>
        </is>
      </c>
      <c r="F15" s="5" t="inlineStr">
        <is>
          <t>Sim</t>
        </is>
      </c>
      <c r="G15" s="5" t="inlineStr">
        <is>
          <t>Curitiba</t>
        </is>
      </c>
      <c r="H15" s="5" t="inlineStr">
        <is>
          <t>010101</t>
        </is>
      </c>
      <c r="I15" s="5" t="inlineStr">
        <is>
          <t>Análise e desenvolvimento de sistemas.</t>
        </is>
      </c>
      <c r="J15" s="6" t="n">
        <v>2859.58</v>
      </c>
      <c r="K15" s="6" t="n">
        <v>0</v>
      </c>
      <c r="L15" s="5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2859.58</v>
      </c>
      <c r="T15" s="5" t="inlineStr">
        <is>
          <t>Não</t>
        </is>
      </c>
      <c r="U15" s="6" t="n">
        <v>0</v>
      </c>
      <c r="V15" s="6" t="n">
        <v>0</v>
      </c>
      <c r="W15" s="5" t="inlineStr">
        <is>
          <t>PIS/COFINS/CSLL não retidos</t>
        </is>
      </c>
      <c r="X15" s="5" t="inlineStr">
        <is>
          <t>811</t>
        </is>
      </c>
      <c r="Y15" s="5" t="inlineStr">
        <is>
          <t>D 640 / C 506</t>
        </is>
      </c>
      <c r="Z15" s="5" t="inlineStr">
        <is>
          <t>OK (XML sem base do ISS - Simples, sem retenção; o relatório repete o valor)</t>
        </is>
      </c>
      <c r="AA15" s="5" t="inlineStr">
        <is>
          <t>41069022224891333000116000000000090826090575270117</t>
        </is>
      </c>
    </row>
    <row r="16">
      <c r="A16" s="4" t="n">
        <v>46276</v>
      </c>
      <c r="B16" s="5" t="n">
        <v>5588821</v>
      </c>
      <c r="C16" s="5" t="inlineStr">
        <is>
          <t>FLASH TECNOLOGIA E  INSTITUICAO DE PAGAMENTO LTDA</t>
        </is>
      </c>
      <c r="D16" s="5" t="inlineStr">
        <is>
          <t>32223020000118</t>
        </is>
      </c>
      <c r="E16" s="5" t="inlineStr">
        <is>
          <t>Autorizada (cStat 102)</t>
        </is>
      </c>
      <c r="F16" s="5" t="inlineStr">
        <is>
          <t>Não</t>
        </is>
      </c>
      <c r="G16" s="5" t="inlineStr">
        <is>
          <t>São Paulo</t>
        </is>
      </c>
      <c r="H16" s="5" t="inlineStr">
        <is>
          <t>171201</t>
        </is>
      </c>
      <c r="I16" s="5" t="inlineStr">
        <is>
          <t>Administração em geral, inclusive de bens e negócios de terc</t>
        </is>
      </c>
      <c r="J16" s="6" t="n">
        <v>6105</v>
      </c>
      <c r="K16" s="6" t="n">
        <v>0</v>
      </c>
      <c r="L16" s="5" t="n">
        <v>2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6105</v>
      </c>
      <c r="T16" s="5" t="inlineStr">
        <is>
          <t>Não</t>
        </is>
      </c>
      <c r="U16" s="6" t="n">
        <v>0</v>
      </c>
      <c r="V16" s="6" t="n">
        <v>0</v>
      </c>
      <c r="W16" s="5" t="inlineStr">
        <is>
          <t>-</t>
        </is>
      </c>
      <c r="X16" s="5" t="inlineStr">
        <is>
          <t>816</t>
        </is>
      </c>
      <c r="Y16" s="5" t="inlineStr">
        <is>
          <t>D 364 / C 506</t>
        </is>
      </c>
      <c r="Z16" s="5" t="inlineStr">
        <is>
          <t>OK</t>
        </is>
      </c>
      <c r="AA16" s="5" t="inlineStr">
        <is>
          <t>35503081232223020000118000000558882126097884718838</t>
        </is>
      </c>
    </row>
    <row r="17">
      <c r="A17" s="4" t="n">
        <v>46281</v>
      </c>
      <c r="B17" s="5" t="n">
        <v>10</v>
      </c>
      <c r="C17" s="5" t="inlineStr">
        <is>
          <t>BIOACTIVE - BIOTECNOLOGIA E DESENVOLVIMENTO DE COSMETICOS LTDA</t>
        </is>
      </c>
      <c r="D17" s="5" t="inlineStr">
        <is>
          <t>59684382000162</t>
        </is>
      </c>
      <c r="E17" s="5" t="inlineStr">
        <is>
          <t>Autorizada</t>
        </is>
      </c>
      <c r="F17" s="5" t="inlineStr">
        <is>
          <t>Sim</t>
        </is>
      </c>
      <c r="G17" s="5" t="inlineStr">
        <is>
          <t>Curitiba</t>
        </is>
      </c>
      <c r="H17" s="5" t="inlineStr">
        <is>
          <t>020101</t>
        </is>
      </c>
      <c r="I17" s="5" t="inlineStr">
        <is>
          <t>Serviços de pesquisas e desenvolvimento de qualquer natureza</t>
        </is>
      </c>
      <c r="J17" s="6" t="n">
        <v>1000</v>
      </c>
      <c r="K17" s="6" t="n">
        <v>0</v>
      </c>
      <c r="L17" s="5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1000</v>
      </c>
      <c r="T17" s="5" t="inlineStr">
        <is>
          <t>Não</t>
        </is>
      </c>
      <c r="U17" s="6" t="n">
        <v>0</v>
      </c>
      <c r="V17" s="6" t="n">
        <v>0</v>
      </c>
      <c r="W17" s="5" t="inlineStr">
        <is>
          <t>PIS/COFINS/CSLL não retidos</t>
        </is>
      </c>
      <c r="X17" s="5" t="inlineStr">
        <is>
          <t>810</t>
        </is>
      </c>
      <c r="Y17" s="5" t="inlineStr">
        <is>
          <t>D 362 / C 506</t>
        </is>
      </c>
      <c r="Z17" s="5" t="inlineStr">
        <is>
          <t>OK (XML sem base do ISS - Simples, sem retenção; o relatório repete o valor)</t>
        </is>
      </c>
      <c r="AA17" s="5" t="inlineStr">
        <is>
          <t>41069022259684382000162000000000001026098158485630</t>
        </is>
      </c>
    </row>
    <row r="18">
      <c r="A18" s="4" t="n">
        <v>46281</v>
      </c>
      <c r="B18" s="5" t="n">
        <v>11</v>
      </c>
      <c r="C18" s="5" t="inlineStr">
        <is>
          <t>BIOACTIVE - BIOTECNOLOGIA E DESENVOLVIMENTO DE COSMETICOS LTDA</t>
        </is>
      </c>
      <c r="D18" s="5" t="inlineStr">
        <is>
          <t>59684382000162</t>
        </is>
      </c>
      <c r="E18" s="5" t="inlineStr">
        <is>
          <t>Autorizada</t>
        </is>
      </c>
      <c r="F18" s="5" t="inlineStr">
        <is>
          <t>Sim</t>
        </is>
      </c>
      <c r="G18" s="5" t="inlineStr">
        <is>
          <t>Curitiba</t>
        </is>
      </c>
      <c r="H18" s="5" t="inlineStr">
        <is>
          <t>020101</t>
        </is>
      </c>
      <c r="I18" s="5" t="inlineStr">
        <is>
          <t>Serviços de pesquisas e desenvolvimento de qualquer natureza</t>
        </is>
      </c>
      <c r="J18" s="6" t="n">
        <v>7456.04</v>
      </c>
      <c r="K18" s="6" t="n">
        <v>0</v>
      </c>
      <c r="L18" s="5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7456.04</v>
      </c>
      <c r="T18" s="5" t="inlineStr">
        <is>
          <t>Não</t>
        </is>
      </c>
      <c r="U18" s="6" t="n">
        <v>0</v>
      </c>
      <c r="V18" s="6" t="n">
        <v>0</v>
      </c>
      <c r="W18" s="5" t="inlineStr">
        <is>
          <t>-</t>
        </is>
      </c>
      <c r="X18" s="5" t="inlineStr">
        <is>
          <t>810</t>
        </is>
      </c>
      <c r="Y18" s="5" t="inlineStr">
        <is>
          <t>D 362 / C 506</t>
        </is>
      </c>
      <c r="Z18" s="5" t="inlineStr">
        <is>
          <t>OK (XML sem base do ISS - Simples, sem retenção; o relatório repete o valor)</t>
        </is>
      </c>
      <c r="AA18" s="5" t="inlineStr">
        <is>
          <t>41069022259684382000162000000000001126096345619740</t>
        </is>
      </c>
    </row>
    <row r="19">
      <c r="A19" s="4" t="n">
        <v>46281</v>
      </c>
      <c r="B19" s="5" t="n">
        <v>9530</v>
      </c>
      <c r="C19" s="5" t="inlineStr">
        <is>
          <t>INSETCONTROL CONTROLE DE PRAGAS LTDA</t>
        </is>
      </c>
      <c r="D19" s="5" t="inlineStr">
        <is>
          <t>14309879000162</t>
        </is>
      </c>
      <c r="E19" s="5" t="inlineStr">
        <is>
          <t>Autorizada</t>
        </is>
      </c>
      <c r="F19" s="5" t="inlineStr">
        <is>
          <t>Sim</t>
        </is>
      </c>
      <c r="G19" s="5" t="inlineStr">
        <is>
          <t>CAMPO GRANDE</t>
        </is>
      </c>
      <c r="H19" s="5" t="inlineStr">
        <is>
          <t>071301</t>
        </is>
      </c>
      <c r="I19" s="5" t="inlineStr">
        <is>
          <t>Dedetização, desinfecção, desinsetização, imunização, higien</t>
        </is>
      </c>
      <c r="J19" s="6" t="n">
        <v>730</v>
      </c>
      <c r="K19" s="6" t="n">
        <v>730</v>
      </c>
      <c r="L19" s="5" t="n">
        <v>0</v>
      </c>
      <c r="M19" s="6" t="n">
        <v>36.5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730</v>
      </c>
      <c r="T19" s="5" t="inlineStr">
        <is>
          <t>Não</t>
        </is>
      </c>
      <c r="U19" s="6" t="n">
        <v>0</v>
      </c>
      <c r="V19" s="6" t="n">
        <v>0</v>
      </c>
      <c r="W19" s="5" t="inlineStr">
        <is>
          <t>-</t>
        </is>
      </c>
      <c r="X19" s="5" t="inlineStr">
        <is>
          <t>826</t>
        </is>
      </c>
      <c r="Y19" s="5" t="inlineStr">
        <is>
          <t>D 362 / C 506</t>
        </is>
      </c>
      <c r="Z19" s="5" t="inlineStr">
        <is>
          <t>OK</t>
        </is>
      </c>
      <c r="AA19" s="5" t="inlineStr">
        <is>
          <t>50027041214309879000162000000000953026090714785828</t>
        </is>
      </c>
    </row>
    <row r="20">
      <c r="A20" s="4" t="n">
        <v>46282</v>
      </c>
      <c r="B20" s="5" t="n">
        <v>72</v>
      </c>
      <c r="C20" s="5" t="inlineStr">
        <is>
          <t>SAVATEC COMERCIO E SERVIÇOS LTDA</t>
        </is>
      </c>
      <c r="D20" s="5" t="inlineStr">
        <is>
          <t>59087034000108</t>
        </is>
      </c>
      <c r="E20" s="5" t="inlineStr">
        <is>
          <t>Autorizada</t>
        </is>
      </c>
      <c r="F20" s="5" t="inlineStr">
        <is>
          <t>Sim</t>
        </is>
      </c>
      <c r="G20" s="5" t="inlineStr">
        <is>
          <t>Araucária</t>
        </is>
      </c>
      <c r="H20" s="5" t="inlineStr">
        <is>
          <t>140101</t>
        </is>
      </c>
      <c r="I20" s="5" t="inlineStr">
        <is>
          <t xml:space="preserve">Lubrificação, limpeza, lustração, revisão, carga e recarga, </t>
        </is>
      </c>
      <c r="J20" s="6" t="n">
        <v>1090</v>
      </c>
      <c r="K20" s="6" t="n">
        <v>1090</v>
      </c>
      <c r="L20" s="5" t="n">
        <v>2.01</v>
      </c>
      <c r="M20" s="6" t="n">
        <v>21.91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1090</v>
      </c>
      <c r="T20" s="5" t="inlineStr">
        <is>
          <t>Não</t>
        </is>
      </c>
      <c r="U20" s="6" t="n">
        <v>0</v>
      </c>
      <c r="V20" s="6" t="n">
        <v>0</v>
      </c>
      <c r="W20" s="5" t="inlineStr">
        <is>
          <t>-</t>
        </is>
      </c>
      <c r="X20" s="5" t="inlineStr">
        <is>
          <t>definir</t>
        </is>
      </c>
      <c r="Y20" s="5" t="inlineStr">
        <is>
          <t>D 362 / C 506</t>
        </is>
      </c>
      <c r="Z20" s="5" t="inlineStr">
        <is>
          <t>OK</t>
        </is>
      </c>
      <c r="AA20" s="5" t="inlineStr">
        <is>
          <t>41018041259087034000108000000000007226090000000014</t>
        </is>
      </c>
    </row>
    <row r="21">
      <c r="A21" s="4" t="n">
        <v>46285</v>
      </c>
      <c r="B21" s="5" t="n">
        <v>173228</v>
      </c>
      <c r="C21" s="5" t="inlineStr">
        <is>
          <t>TECNOPONTO TECNOLOGIA AVANCADA EM CONTROLE DE PONTO E ACESSO LTDA</t>
        </is>
      </c>
      <c r="D21" s="5" t="inlineStr">
        <is>
          <t>77800407000128</t>
        </is>
      </c>
      <c r="E21" s="5" t="inlineStr">
        <is>
          <t>Autorizada</t>
        </is>
      </c>
      <c r="F21" s="5" t="inlineStr">
        <is>
          <t>Não</t>
        </is>
      </c>
      <c r="G21" s="5" t="inlineStr">
        <is>
          <t>Curitiba</t>
        </is>
      </c>
      <c r="H21" s="5" t="inlineStr">
        <is>
          <t>010701</t>
        </is>
      </c>
      <c r="I21" s="5" t="inlineStr">
        <is>
          <t>Suporte técnico em informática, inclusive instalação, config</t>
        </is>
      </c>
      <c r="J21" s="6" t="n">
        <v>74.90000000000001</v>
      </c>
      <c r="K21" s="6" t="n">
        <v>74.90000000000001</v>
      </c>
      <c r="L21" s="5" t="n">
        <v>2</v>
      </c>
      <c r="M21" s="6" t="n">
        <v>1.5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74.90000000000001</v>
      </c>
      <c r="T21" s="5" t="inlineStr">
        <is>
          <t>Não</t>
        </is>
      </c>
      <c r="U21" s="6" t="n">
        <v>0.49</v>
      </c>
      <c r="V21" s="6" t="n">
        <v>2.25</v>
      </c>
      <c r="W21" s="5" t="inlineStr">
        <is>
          <t>PIS/COFINS/CSLL não retidos</t>
        </is>
      </c>
      <c r="X21" s="5" t="inlineStr">
        <is>
          <t>823</t>
        </is>
      </c>
      <c r="Y21" s="5" t="inlineStr">
        <is>
          <t>D 640 / C 506</t>
        </is>
      </c>
      <c r="Z21" s="5" t="inlineStr">
        <is>
          <t>OK</t>
        </is>
      </c>
      <c r="AA21" s="5" t="inlineStr">
        <is>
          <t>41069022277800407000128000000017322826095713648820</t>
        </is>
      </c>
    </row>
    <row r="22">
      <c r="A22" s="4" t="n">
        <v>46287</v>
      </c>
      <c r="B22" s="5" t="n">
        <v>243079</v>
      </c>
      <c r="C22" s="5" t="inlineStr">
        <is>
          <t>NEXTAR TECNOLOGIA DE SOFTWARE LTDA</t>
        </is>
      </c>
      <c r="D22" s="5" t="inlineStr">
        <is>
          <t>04580911000196</t>
        </is>
      </c>
      <c r="E22" s="5" t="inlineStr">
        <is>
          <t>Autorizada</t>
        </is>
      </c>
      <c r="F22" s="5" t="inlineStr">
        <is>
          <t>Não</t>
        </is>
      </c>
      <c r="G22" s="5" t="inlineStr">
        <is>
          <t>Florianópolis</t>
        </is>
      </c>
      <c r="H22" s="5" t="inlineStr">
        <is>
          <t>010501</t>
        </is>
      </c>
      <c r="I22" s="5" t="inlineStr">
        <is>
          <t>Licenciamento ou cessão de direito de uso de programas de co</t>
        </is>
      </c>
      <c r="J22" s="6" t="n">
        <v>119</v>
      </c>
      <c r="K22" s="6" t="n">
        <v>119</v>
      </c>
      <c r="L22" s="5" t="n">
        <v>2</v>
      </c>
      <c r="M22" s="6" t="n">
        <v>2.38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119</v>
      </c>
      <c r="T22" s="5" t="inlineStr">
        <is>
          <t>Não</t>
        </is>
      </c>
      <c r="U22" s="6" t="n">
        <v>0</v>
      </c>
      <c r="V22" s="6" t="n">
        <v>0</v>
      </c>
      <c r="W22" s="5" t="inlineStr">
        <is>
          <t>-</t>
        </is>
      </c>
      <c r="X22" s="5" t="inlineStr">
        <is>
          <t>818</t>
        </is>
      </c>
      <c r="Y22" s="5" t="inlineStr">
        <is>
          <t>D 364 / C 506</t>
        </is>
      </c>
      <c r="Z22" s="5" t="inlineStr">
        <is>
          <t>OK</t>
        </is>
      </c>
      <c r="AA22" s="5" t="inlineStr">
        <is>
          <t>42054072204580911000196000000024307926097939111579</t>
        </is>
      </c>
    </row>
    <row r="23">
      <c r="A23" s="4" t="n">
        <v>46287</v>
      </c>
      <c r="B23" s="5" t="n">
        <v>9227</v>
      </c>
      <c r="C23" s="5" t="inlineStr">
        <is>
          <t>PLUS SANTE EMERGENCIAS MEDICAS S.A.</t>
        </is>
      </c>
      <c r="D23" s="5" t="inlineStr">
        <is>
          <t>04523560000181</t>
        </is>
      </c>
      <c r="E23" s="5" t="inlineStr">
        <is>
          <t>Autorizada</t>
        </is>
      </c>
      <c r="F23" s="5" t="inlineStr">
        <is>
          <t>Não</t>
        </is>
      </c>
      <c r="G23" s="5" t="inlineStr">
        <is>
          <t>Curitiba</t>
        </is>
      </c>
      <c r="H23" s="5" t="inlineStr">
        <is>
          <t>042101</t>
        </is>
      </c>
      <c r="I23" s="5" t="inlineStr">
        <is>
          <t>Unidade de atendimento, assistência ou tratamento móvel e co</t>
        </is>
      </c>
      <c r="J23" s="6" t="n">
        <v>342.3</v>
      </c>
      <c r="K23" s="6" t="n">
        <v>342.3</v>
      </c>
      <c r="L23" s="5" t="n">
        <v>5</v>
      </c>
      <c r="M23" s="6" t="n">
        <v>17.12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342.3</v>
      </c>
      <c r="T23" s="5" t="inlineStr">
        <is>
          <t>Não</t>
        </is>
      </c>
      <c r="U23" s="6" t="n">
        <v>2.22</v>
      </c>
      <c r="V23" s="6" t="n">
        <v>10.27</v>
      </c>
      <c r="W23" s="5" t="inlineStr">
        <is>
          <t>PIS/COFINS/CSLL não retidos</t>
        </is>
      </c>
      <c r="X23" s="5" t="inlineStr">
        <is>
          <t>821</t>
        </is>
      </c>
      <c r="Y23" s="5" t="inlineStr">
        <is>
          <t>D 576 / C 506</t>
        </is>
      </c>
      <c r="Z23" s="5" t="inlineStr">
        <is>
          <t>OK</t>
        </is>
      </c>
      <c r="AA23" s="5" t="inlineStr">
        <is>
          <t>41069022204523560000181000000000922726091381915688</t>
        </is>
      </c>
    </row>
    <row r="24">
      <c r="A24" s="7" t="n">
        <v>46290</v>
      </c>
      <c r="B24" s="8" t="n">
        <v>43</v>
      </c>
      <c r="C24" s="8" t="inlineStr">
        <is>
          <t>EXTRALAB BRASIL - COMERCIO E MANUTENCAO DE EQUIPAMENTOS PARA LABORATORIO LTDA</t>
        </is>
      </c>
      <c r="D24" s="8" t="inlineStr">
        <is>
          <t>04665405000108</t>
        </is>
      </c>
      <c r="E24" s="8" t="inlineStr">
        <is>
          <t>Autorizada</t>
        </is>
      </c>
      <c r="F24" s="8" t="inlineStr">
        <is>
          <t>Não</t>
        </is>
      </c>
      <c r="G24" s="8" t="inlineStr">
        <is>
          <t>Itatiba</t>
        </is>
      </c>
      <c r="H24" s="8" t="inlineStr">
        <is>
          <t>140101</t>
        </is>
      </c>
      <c r="I24" s="8" t="inlineStr">
        <is>
          <t xml:space="preserve">Lubrificação, limpeza, lustração, revisão, carga e recarga, </t>
        </is>
      </c>
      <c r="J24" s="9" t="n">
        <v>1835.5</v>
      </c>
      <c r="K24" s="9" t="n">
        <v>1835.5</v>
      </c>
      <c r="L24" s="8" t="n">
        <v>2</v>
      </c>
      <c r="M24" s="9" t="n">
        <v>36.71</v>
      </c>
      <c r="N24" s="9" t="n">
        <v>0</v>
      </c>
      <c r="O24" s="9" t="n">
        <v>0</v>
      </c>
      <c r="P24" s="9" t="n">
        <v>85.34999999999999</v>
      </c>
      <c r="Q24" s="9" t="n">
        <v>0</v>
      </c>
      <c r="R24" s="9" t="n">
        <v>85.34999999999999</v>
      </c>
      <c r="S24" s="9" t="n">
        <v>1750.15</v>
      </c>
      <c r="T24" s="8" t="inlineStr">
        <is>
          <t>SIM - PIS/COFINS/CSLL</t>
        </is>
      </c>
      <c r="U24" s="9" t="n">
        <v>11.93</v>
      </c>
      <c r="V24" s="9" t="n">
        <v>55.06</v>
      </c>
      <c r="W24" s="8" t="inlineStr">
        <is>
          <t>PIS/COFINS/CSLL retidos</t>
        </is>
      </c>
      <c r="X24" s="8" t="inlineStr">
        <is>
          <t>definir</t>
        </is>
      </c>
      <c r="Y24" s="8" t="inlineStr">
        <is>
          <t>sem conta: prestador sem acumulador e sem histórico no Domínio</t>
        </is>
      </c>
      <c r="Z24" s="8" t="inlineStr">
        <is>
          <t>OK</t>
        </is>
      </c>
      <c r="AA24" s="8" t="inlineStr">
        <is>
          <t>35234042204665405000108000000000004326090442626218</t>
        </is>
      </c>
    </row>
    <row r="25">
      <c r="A25" s="4" t="n">
        <v>46290</v>
      </c>
      <c r="B25" s="5" t="n">
        <v>5661351</v>
      </c>
      <c r="C25" s="5" t="inlineStr">
        <is>
          <t>FLASH TECNOLOGIA E  INSTITUICAO DE PAGAMENTO LTDA</t>
        </is>
      </c>
      <c r="D25" s="5" t="inlineStr">
        <is>
          <t>32223020000118</t>
        </is>
      </c>
      <c r="E25" s="5" t="inlineStr">
        <is>
          <t>Autorizada (cStat 102)</t>
        </is>
      </c>
      <c r="F25" s="5" t="inlineStr">
        <is>
          <t>Não</t>
        </is>
      </c>
      <c r="G25" s="5" t="inlineStr">
        <is>
          <t>São Paulo</t>
        </is>
      </c>
      <c r="H25" s="5" t="inlineStr">
        <is>
          <t>171201</t>
        </is>
      </c>
      <c r="I25" s="5" t="inlineStr">
        <is>
          <t>Administração em geral, inclusive de bens e negócios de terc</t>
        </is>
      </c>
      <c r="J25" s="6" t="n">
        <v>4142</v>
      </c>
      <c r="K25" s="6" t="n">
        <v>0</v>
      </c>
      <c r="L25" s="5" t="n">
        <v>2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4142</v>
      </c>
      <c r="T25" s="5" t="inlineStr">
        <is>
          <t>Não</t>
        </is>
      </c>
      <c r="U25" s="6" t="n">
        <v>0</v>
      </c>
      <c r="V25" s="6" t="n">
        <v>0</v>
      </c>
      <c r="W25" s="5" t="inlineStr">
        <is>
          <t>-</t>
        </is>
      </c>
      <c r="X25" s="5" t="inlineStr">
        <is>
          <t>816</t>
        </is>
      </c>
      <c r="Y25" s="5" t="inlineStr">
        <is>
          <t>D 364 / C 506</t>
        </is>
      </c>
      <c r="Z25" s="5" t="inlineStr">
        <is>
          <t>OK</t>
        </is>
      </c>
      <c r="AA25" s="5" t="inlineStr">
        <is>
          <t>35503081232223020000118000000566135126091580598802</t>
        </is>
      </c>
    </row>
    <row r="26">
      <c r="A26" s="16" t="inlineStr">
        <is>
          <t>Total (sem canceladas)</t>
        </is>
      </c>
      <c r="B26" s="17" t="n"/>
      <c r="C26" s="16">
        <f>COUNTA(C5:C25)&amp;" docs"</f>
        <v/>
      </c>
      <c r="D26" s="17" t="n"/>
      <c r="E26" s="17" t="n"/>
      <c r="F26" s="17" t="n"/>
      <c r="G26" s="17" t="n"/>
      <c r="H26" s="17" t="n"/>
      <c r="I26" s="17" t="n"/>
      <c r="J26" s="18">
        <f>SUMPRODUCT((E5:E25&lt;&gt;"Cancelada")*(E5:E25&lt;&gt;"Cancelado")*J5:J25)</f>
        <v/>
      </c>
      <c r="K26" s="18">
        <f>SUMPRODUCT((E5:E25&lt;&gt;"Cancelada")*(E5:E25&lt;&gt;"Cancelado")*K5:K25)</f>
        <v/>
      </c>
      <c r="L26" s="17" t="n"/>
      <c r="M26" s="18">
        <f>SUMPRODUCT((E5:E25&lt;&gt;"Cancelada")*(E5:E25&lt;&gt;"Cancelado")*M5:M25)</f>
        <v/>
      </c>
      <c r="N26" s="18">
        <f>SUMPRODUCT((E5:E25&lt;&gt;"Cancelada")*(E5:E25&lt;&gt;"Cancelado")*N5:N25)</f>
        <v/>
      </c>
      <c r="O26" s="18">
        <f>SUMPRODUCT((E5:E25&lt;&gt;"Cancelada")*(E5:E25&lt;&gt;"Cancelado")*O5:O25)</f>
        <v/>
      </c>
      <c r="P26" s="18">
        <f>SUMPRODUCT((E5:E25&lt;&gt;"Cancelada")*(E5:E25&lt;&gt;"Cancelado")*P5:P25)</f>
        <v/>
      </c>
      <c r="Q26" s="18">
        <f>SUMPRODUCT((E5:E25&lt;&gt;"Cancelada")*(E5:E25&lt;&gt;"Cancelado")*Q5:Q25)</f>
        <v/>
      </c>
      <c r="R26" s="18">
        <f>SUMPRODUCT((E5:E25&lt;&gt;"Cancelada")*(E5:E25&lt;&gt;"Cancelado")*R5:R25)</f>
        <v/>
      </c>
      <c r="S26" s="18">
        <f>SUMPRODUCT((E5:E25&lt;&gt;"Cancelada")*(E5:E25&lt;&gt;"Cancelado")*S5:S25)</f>
        <v/>
      </c>
      <c r="T26" s="17" t="n"/>
      <c r="U26" s="18">
        <f>SUMPRODUCT((E5:E25&lt;&gt;"Cancelada")*(E5:E25&lt;&gt;"Cancelado")*U5:U25)</f>
        <v/>
      </c>
      <c r="V26" s="18">
        <f>SUMPRODUCT((E5:E25&lt;&gt;"Cancelada")*(E5:E25&lt;&gt;"Cancelado")*V5:V25)</f>
        <v/>
      </c>
      <c r="W26" s="17" t="n"/>
      <c r="X26" s="17" t="n"/>
      <c r="Y26" s="17" t="n"/>
      <c r="Z26" s="17" t="n"/>
      <c r="AA26" s="17" t="n"/>
    </row>
    <row r="28">
      <c r="A28" s="19" t="inlineStr">
        <is>
          <t>Notas com retenção</t>
        </is>
      </c>
      <c r="D28" s="19">
        <f>COUNTIF(T5:T25,"SIM*")</f>
        <v/>
      </c>
    </row>
    <row r="29">
      <c r="A29" s="19" t="inlineStr">
        <is>
          <t>Notas sem retenção</t>
        </is>
      </c>
      <c r="D29" s="19">
        <f>COUNTIF(T5:T25,"Não")</f>
        <v/>
      </c>
    </row>
  </sheetData>
  <autoFilter ref="A4:AA25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2026-10-12T16:22:48Z</dcterms:created>
  <dcterms:modified xmlns:dcterms="http://purl.org/dc/terms/" xmlns:xsi="http://www.w3.org/2001/XMLSchema-instance" xsi:type="dcterms:W3CDTF">2026-10-12T16:22:48Z</dcterms:modified>
</cp:coreProperties>
</file>