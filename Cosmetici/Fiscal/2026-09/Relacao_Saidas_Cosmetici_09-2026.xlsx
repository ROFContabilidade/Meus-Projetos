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ídas" sheetId="1" state="visible" r:id="rId1"/>
  </sheets>
  <definedNames>
    <definedName name="_xlnm._FilterDatabase" localSheetId="0" hidden="1">'Saídas'!$A$4:$AC$103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;-#,##0.00;-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4" fillId="0" borderId="1" pivotButton="0" quotePrefix="0" xfId="0"/>
    <xf numFmtId="0" fontId="4" fillId="0" borderId="1" pivotButton="0" quotePrefix="0" xfId="0"/>
    <xf numFmtId="166" fontId="4" fillId="0" borderId="1" pivotButton="0" quotePrefix="0" xfId="0"/>
    <xf numFmtId="0" fontId="5" fillId="3" borderId="0" pivotButton="0" quotePrefix="0" xfId="0"/>
    <xf numFmtId="0" fontId="0" fillId="3" borderId="0" pivotButton="0" quotePrefix="0" xfId="0"/>
    <xf numFmtId="166" fontId="5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9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5" customWidth="1" min="4" max="4"/>
    <col width="11" customWidth="1" min="5" max="5"/>
    <col width="34" customWidth="1" min="6" max="6"/>
    <col width="16" customWidth="1" min="7" max="7"/>
    <col width="4" customWidth="1" min="8" max="8"/>
    <col width="10" customWidth="1" min="9" max="9"/>
    <col width="26" customWidth="1" min="10" max="10"/>
    <col width="11" customWidth="1" min="11" max="11"/>
    <col width="9" customWidth="1" min="12" max="12"/>
    <col width="9" customWidth="1" min="13" max="13"/>
    <col width="9" customWidth="1" min="14" max="14"/>
    <col width="11" customWidth="1" min="15" max="15"/>
    <col width="10" customWidth="1" min="16" max="16"/>
    <col width="11" customWidth="1" min="17" max="17"/>
    <col width="9" customWidth="1" min="18" max="18"/>
    <col width="8" customWidth="1" min="19" max="19"/>
    <col width="9" customWidth="1" min="20" max="20"/>
    <col width="9" customWidth="1" min="21" max="21"/>
    <col width="9" customWidth="1" min="22" max="22"/>
    <col width="9" customWidth="1" min="23" max="23"/>
    <col width="12" customWidth="1" min="24" max="24"/>
    <col width="22" customWidth="1" min="25" max="25"/>
    <col width="30" customWidth="1" min="26" max="26"/>
    <col width="30" customWidth="1" min="27" max="27"/>
    <col width="60" customWidth="1" min="28" max="28"/>
    <col width="46" customWidth="1" min="29" max="29"/>
  </cols>
  <sheetData>
    <row r="1">
      <c r="A1" s="1" t="inlineStr">
        <is>
          <t>COSMETICI INDUSTRIA E COMERCIO DE COSMETICOS LTDA - CNPJ 33039048000162 - Notas fiscais de saída 09/2026</t>
        </is>
      </c>
    </row>
    <row r="2">
      <c r="A2" s="2" t="inlineStr">
        <is>
          <t>Valores exatamente como estão no XML, na ordem da data de saída e do número. Vermelho = cancelada · cinza = inutilizada. Os totais somam só as autorizadas.</t>
        </is>
      </c>
    </row>
    <row r="4" ht="30" customHeight="1">
      <c r="A4" s="3" t="inlineStr">
        <is>
          <t>Data saída</t>
        </is>
      </c>
      <c r="B4" s="3" t="inlineStr">
        <is>
          <t>Emissão</t>
        </is>
      </c>
      <c r="C4" s="3" t="inlineStr">
        <is>
          <t>NF</t>
        </is>
      </c>
      <c r="D4" s="3" t="inlineStr">
        <is>
          <t>Série</t>
        </is>
      </c>
      <c r="E4" s="3" t="inlineStr">
        <is>
          <t>Situação</t>
        </is>
      </c>
      <c r="F4" s="3" t="inlineStr">
        <is>
          <t>Cliente</t>
        </is>
      </c>
      <c r="G4" s="3" t="inlineStr">
        <is>
          <t>CNPJ/CPF</t>
        </is>
      </c>
      <c r="H4" s="3" t="inlineStr">
        <is>
          <t>UF</t>
        </is>
      </c>
      <c r="I4" s="3" t="inlineStr">
        <is>
          <t>CFOP</t>
        </is>
      </c>
      <c r="J4" s="3" t="inlineStr">
        <is>
          <t>Natureza da operação</t>
        </is>
      </c>
      <c r="K4" s="3" t="inlineStr">
        <is>
          <t>Produtos</t>
        </is>
      </c>
      <c r="L4" s="3" t="inlineStr">
        <is>
          <t>Desconto</t>
        </is>
      </c>
      <c r="M4" s="3" t="inlineStr">
        <is>
          <t>Frete</t>
        </is>
      </c>
      <c r="N4" s="3" t="inlineStr">
        <is>
          <t>Outras desp.</t>
        </is>
      </c>
      <c r="O4" s="3" t="inlineStr">
        <is>
          <t>Base ICMS</t>
        </is>
      </c>
      <c r="P4" s="3" t="inlineStr">
        <is>
          <t>ICMS</t>
        </is>
      </c>
      <c r="Q4" s="3" t="inlineStr">
        <is>
          <t>Base ICMS-ST</t>
        </is>
      </c>
      <c r="R4" s="3" t="inlineStr">
        <is>
          <t>ICMS-ST</t>
        </is>
      </c>
      <c r="S4" s="3" t="inlineStr">
        <is>
          <t>FCP-ST</t>
        </is>
      </c>
      <c r="T4" s="3" t="inlineStr">
        <is>
          <t>IPI</t>
        </is>
      </c>
      <c r="U4" s="3" t="inlineStr">
        <is>
          <t>PIS</t>
        </is>
      </c>
      <c r="V4" s="3" t="inlineStr">
        <is>
          <t>COFINS</t>
        </is>
      </c>
      <c r="W4" s="3" t="inlineStr">
        <is>
          <t>DIFAL UF destino</t>
        </is>
      </c>
      <c r="X4" s="3" t="inlineStr">
        <is>
          <t>Total da nota</t>
        </is>
      </c>
      <c r="Y4" s="3" t="inlineStr">
        <is>
          <t>Acumulador Domínio</t>
        </is>
      </c>
      <c r="Z4" s="3" t="inlineStr">
        <is>
          <t>Importar no Domínio</t>
        </is>
      </c>
      <c r="AA4" s="3" t="inlineStr">
        <is>
          <t>Conferência XML x Faturamento x Registro (ERP)</t>
        </is>
      </c>
      <c r="AB4" s="3" t="inlineStr">
        <is>
          <t>Análise (informativa - segue o XML)</t>
        </is>
      </c>
      <c r="AC4" s="3" t="inlineStr">
        <is>
          <t>Chave de acesso</t>
        </is>
      </c>
    </row>
    <row r="5">
      <c r="A5" s="4" t="n">
        <v>46267</v>
      </c>
      <c r="B5" s="4" t="n">
        <v>46267</v>
      </c>
      <c r="C5" s="5" t="n">
        <v>8938</v>
      </c>
      <c r="D5" s="5" t="inlineStr">
        <is>
          <t>1</t>
        </is>
      </c>
      <c r="E5" s="5" t="inlineStr">
        <is>
          <t>Inutilizada</t>
        </is>
      </c>
      <c r="F5" s="5" t="inlineStr">
        <is>
          <t>Número inutilizado - desacordo comercial</t>
        </is>
      </c>
      <c r="G5" s="5" t="inlineStr"/>
      <c r="H5" s="5" t="inlineStr"/>
      <c r="I5" s="5" t="inlineStr"/>
      <c r="J5" s="5" t="inlineStr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5" t="inlineStr"/>
      <c r="Z5" s="5" t="inlineStr">
        <is>
          <t>Sim - como INUTILIZADA (situação 05, só o número)</t>
        </is>
      </c>
      <c r="AA5" s="5" t="inlineStr">
        <is>
          <t>número inutilizado - fora dos relatórios</t>
        </is>
      </c>
      <c r="AB5" s="5" t="inlineStr"/>
      <c r="AC5" s="5" t="inlineStr">
        <is>
          <t>Protocolo 141260351772358</t>
        </is>
      </c>
    </row>
    <row r="6">
      <c r="A6" s="4" t="n">
        <v>46267</v>
      </c>
      <c r="B6" s="4" t="n">
        <v>46267</v>
      </c>
      <c r="C6" s="5" t="n">
        <v>8939</v>
      </c>
      <c r="D6" s="5" t="inlineStr">
        <is>
          <t>1</t>
        </is>
      </c>
      <c r="E6" s="5" t="inlineStr">
        <is>
          <t>Autorizada</t>
        </is>
      </c>
      <c r="F6" s="5" t="inlineStr">
        <is>
          <t>CANDIDO COMERCIO DE COSMETICOS - EIRELI</t>
        </is>
      </c>
      <c r="G6" s="5" t="inlineStr">
        <is>
          <t>07159030000194</t>
        </is>
      </c>
      <c r="H6" s="5" t="inlineStr">
        <is>
          <t>PR</t>
        </is>
      </c>
      <c r="I6" s="5" t="inlineStr">
        <is>
          <t>5124</t>
        </is>
      </c>
      <c r="J6" s="5" t="inlineStr">
        <is>
          <t>INDUSTRIALIZACAO EFETUADA PARA OUTRA EMPRESA</t>
        </is>
      </c>
      <c r="K6" s="6" t="n">
        <v>556.05</v>
      </c>
      <c r="L6" s="6" t="n">
        <v>0</v>
      </c>
      <c r="M6" s="6" t="n">
        <v>0</v>
      </c>
      <c r="N6" s="6" t="n">
        <v>0</v>
      </c>
      <c r="O6" s="6" t="n">
        <v>556.05</v>
      </c>
      <c r="P6" s="6" t="n">
        <v>108.44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12.24</v>
      </c>
      <c r="V6" s="6" t="n">
        <v>57.27</v>
      </c>
      <c r="W6" s="6" t="n">
        <v>0</v>
      </c>
      <c r="X6" s="6" t="n">
        <v>556.05</v>
      </c>
      <c r="Y6" s="5" t="inlineStr">
        <is>
          <t>254 - IND. EFETUADA PARA OUTRA EMP</t>
        </is>
      </c>
      <c r="Z6" s="5" t="inlineStr">
        <is>
          <t>Sim - como está no XML</t>
        </is>
      </c>
      <c r="AA6" s="5" t="inlineStr">
        <is>
          <t>OK</t>
        </is>
      </c>
      <c r="AB6" s="5" t="inlineStr">
        <is>
          <t>[MÉDIA] Industrialização sem insumo: CFOP 5124 sem nota de remessa citada, sem retorno 5902/6902 e sem remessa recebida do cliente no mês - informativo (escriturado conforme o XML, CFOP 5124) | [MÉDIA] Diferimento 5124: 5124 para PR com CST 00 (ICMS R$ 108.44) enquanto 35 itens 5124 do mês saíram com diferimento (CST 51). Conferir se o diferimento se aplica a este cliente | [BAIXA] Grupo IPI: 2 it</t>
        </is>
      </c>
      <c r="AC6" s="5" t="inlineStr">
        <is>
          <t>41260933039048000162550010000089391000116135</t>
        </is>
      </c>
    </row>
    <row r="7">
      <c r="A7" s="4" t="n">
        <v>46267</v>
      </c>
      <c r="B7" s="4" t="n">
        <v>46267</v>
      </c>
      <c r="C7" s="5" t="n">
        <v>8940</v>
      </c>
      <c r="D7" s="5" t="inlineStr">
        <is>
          <t>1</t>
        </is>
      </c>
      <c r="E7" s="5" t="inlineStr">
        <is>
          <t>Cancelada</t>
        </is>
      </c>
      <c r="F7" s="5" t="inlineStr">
        <is>
          <t>R&amp;S COMERCIO DE COSMETICOS LTDA</t>
        </is>
      </c>
      <c r="G7" s="5" t="inlineStr">
        <is>
          <t>17666331000168</t>
        </is>
      </c>
      <c r="H7" s="5" t="inlineStr">
        <is>
          <t>SC</t>
        </is>
      </c>
      <c r="I7" s="5" t="inlineStr">
        <is>
          <t>6124</t>
        </is>
      </c>
      <c r="J7" s="5" t="inlineStr">
        <is>
          <t>INDUSTRIALIZACAO EFETUADA PARA OUTRA EMPRESA</t>
        </is>
      </c>
      <c r="K7" s="6" t="n">
        <v>7368</v>
      </c>
      <c r="L7" s="6" t="n">
        <v>0</v>
      </c>
      <c r="M7" s="6" t="n">
        <v>0</v>
      </c>
      <c r="N7" s="6" t="n">
        <v>0</v>
      </c>
      <c r="O7" s="6" t="n">
        <v>7368</v>
      </c>
      <c r="P7" s="6" t="n">
        <v>884.16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162.1</v>
      </c>
      <c r="V7" s="6" t="n">
        <v>758.9</v>
      </c>
      <c r="W7" s="6" t="n">
        <v>0</v>
      </c>
      <c r="X7" s="6" t="n">
        <v>7368</v>
      </c>
      <c r="Y7" s="5" t="inlineStr">
        <is>
          <t>255 - IND. EFETUADA PARA OUTRA EMP</t>
        </is>
      </c>
      <c r="Z7" s="5" t="inlineStr">
        <is>
          <t>Sim - como CANCELADA (situação 02: valores zerados, só a chave)</t>
        </is>
      </c>
      <c r="AA7" s="5" t="inlineStr">
        <is>
          <t>cancelada - fora dos dois relatórios (filtro "Situação A")</t>
        </is>
      </c>
      <c r="AB7" s="5" t="inlineStr"/>
      <c r="AC7" s="5" t="inlineStr">
        <is>
          <t>41260933039048000162550010000089401000115920</t>
        </is>
      </c>
    </row>
    <row r="8">
      <c r="A8" s="4" t="n">
        <v>46267</v>
      </c>
      <c r="B8" s="4" t="n">
        <v>46267</v>
      </c>
      <c r="C8" s="5" t="n">
        <v>8941</v>
      </c>
      <c r="D8" s="5" t="inlineStr">
        <is>
          <t>1</t>
        </is>
      </c>
      <c r="E8" s="5" t="inlineStr">
        <is>
          <t>Autorizada</t>
        </is>
      </c>
      <c r="F8" s="5" t="inlineStr">
        <is>
          <t>R&amp;S COMERCIO DE COSMETICOS LTDA</t>
        </is>
      </c>
      <c r="G8" s="5" t="inlineStr">
        <is>
          <t>17666331000168</t>
        </is>
      </c>
      <c r="H8" s="5" t="inlineStr">
        <is>
          <t>SC</t>
        </is>
      </c>
      <c r="I8" s="5" t="inlineStr">
        <is>
          <t>6124</t>
        </is>
      </c>
      <c r="J8" s="5" t="inlineStr">
        <is>
          <t>INDUSTRIALIZACAO EFETUADA PARA OUTRA EMPRESA</t>
        </is>
      </c>
      <c r="K8" s="6" t="n">
        <v>7368</v>
      </c>
      <c r="L8" s="6" t="n">
        <v>0</v>
      </c>
      <c r="M8" s="6" t="n">
        <v>0</v>
      </c>
      <c r="N8" s="6" t="n">
        <v>0</v>
      </c>
      <c r="O8" s="6" t="n">
        <v>7368</v>
      </c>
      <c r="P8" s="6" t="n">
        <v>884.16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162.1</v>
      </c>
      <c r="V8" s="6" t="n">
        <v>758.9</v>
      </c>
      <c r="W8" s="6" t="n">
        <v>0</v>
      </c>
      <c r="X8" s="6" t="n">
        <v>7368</v>
      </c>
      <c r="Y8" s="5" t="inlineStr">
        <is>
          <t>255 - IND. EFETUADA PARA OUTRA EMP</t>
        </is>
      </c>
      <c r="Z8" s="5" t="inlineStr">
        <is>
          <t>Sim - como está no XML</t>
        </is>
      </c>
      <c r="AA8" s="5" t="inlineStr">
        <is>
          <t>OK</t>
        </is>
      </c>
      <c r="AB8" s="5" t="inlineStr"/>
      <c r="AC8" s="5" t="inlineStr">
        <is>
          <t>41260933039048000162550010000089411000115935</t>
        </is>
      </c>
    </row>
    <row r="9">
      <c r="A9" s="4" t="n">
        <v>46267</v>
      </c>
      <c r="B9" s="4" t="n">
        <v>46267</v>
      </c>
      <c r="C9" s="5" t="n">
        <v>8942</v>
      </c>
      <c r="D9" s="5" t="inlineStr">
        <is>
          <t>1</t>
        </is>
      </c>
      <c r="E9" s="5" t="inlineStr">
        <is>
          <t>Autorizada</t>
        </is>
      </c>
      <c r="F9" s="5" t="inlineStr">
        <is>
          <t>R&amp;S COMERCIO DE COSMETICOS LTDA</t>
        </is>
      </c>
      <c r="G9" s="5" t="inlineStr">
        <is>
          <t>17666331000168</t>
        </is>
      </c>
      <c r="H9" s="5" t="inlineStr">
        <is>
          <t>SC</t>
        </is>
      </c>
      <c r="I9" s="5" t="inlineStr">
        <is>
          <t>6902</t>
        </is>
      </c>
      <c r="J9" s="5" t="inlineStr">
        <is>
          <t>RETORNO DE MERC. PARA INDUSTRIALIZ POR ENCOMENDA</t>
        </is>
      </c>
      <c r="K9" s="6" t="n">
        <v>1050.6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1050.6</v>
      </c>
      <c r="Y9" s="5" t="inlineStr">
        <is>
          <t>217 - RETORNO REMESSA IND. ENCOMEN</t>
        </is>
      </c>
      <c r="Z9" s="5" t="inlineStr">
        <is>
          <t>Sim - como está no XML</t>
        </is>
      </c>
      <c r="AA9" s="5" t="inlineStr">
        <is>
          <t>OK</t>
        </is>
      </c>
      <c r="AB9" s="5" t="inlineStr"/>
      <c r="AC9" s="5" t="inlineStr">
        <is>
          <t>41260933039048000162550010000089421000115940</t>
        </is>
      </c>
    </row>
    <row r="10">
      <c r="A10" s="4" t="n">
        <v>46267</v>
      </c>
      <c r="B10" s="4" t="n">
        <v>46267</v>
      </c>
      <c r="C10" s="5" t="n">
        <v>8943</v>
      </c>
      <c r="D10" s="5" t="inlineStr">
        <is>
          <t>1</t>
        </is>
      </c>
      <c r="E10" s="5" t="inlineStr">
        <is>
          <t>Autorizada</t>
        </is>
      </c>
      <c r="F10" s="5" t="inlineStr">
        <is>
          <t>MIX PERFUMARIA LTDA</t>
        </is>
      </c>
      <c r="G10" s="5" t="inlineStr">
        <is>
          <t>06237330000181</t>
        </is>
      </c>
      <c r="H10" s="5" t="inlineStr">
        <is>
          <t>PR</t>
        </is>
      </c>
      <c r="I10" s="5" t="inlineStr">
        <is>
          <t>5124</t>
        </is>
      </c>
      <c r="J10" s="5" t="inlineStr">
        <is>
          <t>INDUSTRIALIZACAO EFETUADA PARA OUTRA EMPRESA</t>
        </is>
      </c>
      <c r="K10" s="6" t="n">
        <v>5366.4</v>
      </c>
      <c r="L10" s="6" t="n">
        <v>0</v>
      </c>
      <c r="M10" s="6" t="n">
        <v>0</v>
      </c>
      <c r="N10" s="6" t="n">
        <v>0</v>
      </c>
      <c r="O10" s="6" t="n">
        <v>5366.4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118.06</v>
      </c>
      <c r="V10" s="6" t="n">
        <v>552.74</v>
      </c>
      <c r="W10" s="6" t="n">
        <v>0</v>
      </c>
      <c r="X10" s="6" t="n">
        <v>5366.4</v>
      </c>
      <c r="Y10" s="5" t="inlineStr">
        <is>
          <t>254 - IND. EFETUADA PARA OUTRA EMP</t>
        </is>
      </c>
      <c r="Z10" s="5" t="inlineStr">
        <is>
          <t>Sim - como está no XML</t>
        </is>
      </c>
      <c r="AA10" s="5" t="inlineStr">
        <is>
          <t>OK</t>
        </is>
      </c>
      <c r="AB10" s="5" t="inlineStr"/>
      <c r="AC10" s="5" t="inlineStr">
        <is>
          <t>41260933039048000162550010000089431000115891</t>
        </is>
      </c>
    </row>
    <row r="11">
      <c r="A11" s="4" t="n">
        <v>46267</v>
      </c>
      <c r="B11" s="4" t="n">
        <v>46267</v>
      </c>
      <c r="C11" s="5" t="n">
        <v>8944</v>
      </c>
      <c r="D11" s="5" t="inlineStr">
        <is>
          <t>1</t>
        </is>
      </c>
      <c r="E11" s="5" t="inlineStr">
        <is>
          <t>Autorizada</t>
        </is>
      </c>
      <c r="F11" s="5" t="inlineStr">
        <is>
          <t>MIX PERFUMARIA LTDA</t>
        </is>
      </c>
      <c r="G11" s="5" t="inlineStr">
        <is>
          <t>06237330000181</t>
        </is>
      </c>
      <c r="H11" s="5" t="inlineStr">
        <is>
          <t>PR</t>
        </is>
      </c>
      <c r="I11" s="5" t="inlineStr">
        <is>
          <t>5902</t>
        </is>
      </c>
      <c r="J11" s="5" t="inlineStr">
        <is>
          <t>RETORNO DE MERC. PARA INDUSTRIALIZ POR ENCOMENDA</t>
        </is>
      </c>
      <c r="K11" s="6" t="n">
        <v>421.2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421.2</v>
      </c>
      <c r="Y11" s="5" t="inlineStr">
        <is>
          <t>277 - RETORNO DE MERC NA INDUSTR -</t>
        </is>
      </c>
      <c r="Z11" s="5" t="inlineStr">
        <is>
          <t>Sim - como está no XML</t>
        </is>
      </c>
      <c r="AA11" s="5" t="inlineStr">
        <is>
          <t>OK</t>
        </is>
      </c>
      <c r="AB11" s="5" t="inlineStr"/>
      <c r="AC11" s="5" t="inlineStr">
        <is>
          <t>41260933039048000162550010000089441000115902</t>
        </is>
      </c>
    </row>
    <row r="12">
      <c r="A12" s="4" t="n">
        <v>46267</v>
      </c>
      <c r="B12" s="4" t="n">
        <v>46267</v>
      </c>
      <c r="C12" s="5" t="n">
        <v>8945</v>
      </c>
      <c r="D12" s="5" t="inlineStr">
        <is>
          <t>1</t>
        </is>
      </c>
      <c r="E12" s="5" t="inlineStr">
        <is>
          <t>Autorizada</t>
        </is>
      </c>
      <c r="F12" s="5" t="inlineStr">
        <is>
          <t>MIX PERFUMARIA LTDA</t>
        </is>
      </c>
      <c r="G12" s="5" t="inlineStr">
        <is>
          <t>06237330000181</t>
        </is>
      </c>
      <c r="H12" s="5" t="inlineStr">
        <is>
          <t>PR</t>
        </is>
      </c>
      <c r="I12" s="5" t="inlineStr">
        <is>
          <t>5124</t>
        </is>
      </c>
      <c r="J12" s="5" t="inlineStr">
        <is>
          <t>INDUSTRIALIZACAO EFETUADA PARA OUTRA EMPRESA</t>
        </is>
      </c>
      <c r="K12" s="6" t="n">
        <v>4570.8</v>
      </c>
      <c r="L12" s="6" t="n">
        <v>0</v>
      </c>
      <c r="M12" s="6" t="n">
        <v>0</v>
      </c>
      <c r="N12" s="6" t="n">
        <v>0</v>
      </c>
      <c r="O12" s="6" t="n">
        <v>4570.8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100.55</v>
      </c>
      <c r="V12" s="6" t="n">
        <v>470.8</v>
      </c>
      <c r="W12" s="6" t="n">
        <v>0</v>
      </c>
      <c r="X12" s="6" t="n">
        <v>4570.8</v>
      </c>
      <c r="Y12" s="5" t="inlineStr">
        <is>
          <t>254 - IND. EFETUADA PARA OUTRA EMP</t>
        </is>
      </c>
      <c r="Z12" s="5" t="inlineStr">
        <is>
          <t>Sim - como está no XML</t>
        </is>
      </c>
      <c r="AA12" s="5" t="inlineStr">
        <is>
          <t>OK</t>
        </is>
      </c>
      <c r="AB12" s="5" t="inlineStr"/>
      <c r="AC12" s="5" t="inlineStr">
        <is>
          <t>41260933039048000162550010000089451000115918</t>
        </is>
      </c>
    </row>
    <row r="13">
      <c r="A13" s="4" t="n">
        <v>46268</v>
      </c>
      <c r="B13" s="4" t="n">
        <v>46268</v>
      </c>
      <c r="C13" s="5" t="n">
        <v>8946</v>
      </c>
      <c r="D13" s="5" t="inlineStr">
        <is>
          <t>1</t>
        </is>
      </c>
      <c r="E13" s="5" t="inlineStr">
        <is>
          <t>Autorizada</t>
        </is>
      </c>
      <c r="F13" s="5" t="inlineStr">
        <is>
          <t>VENUS COMERCIO VAREJISTA DE COSMETICOS PERFUMARIA E REPRESEN</t>
        </is>
      </c>
      <c r="G13" s="5" t="inlineStr">
        <is>
          <t>10318964000136</t>
        </is>
      </c>
      <c r="H13" s="5" t="inlineStr">
        <is>
          <t>PA</t>
        </is>
      </c>
      <c r="I13" s="5" t="inlineStr">
        <is>
          <t>6124</t>
        </is>
      </c>
      <c r="J13" s="5" t="inlineStr">
        <is>
          <t>INDUSTRIALIZACAO EFETUADA PARA OUTRA EMPRESA</t>
        </is>
      </c>
      <c r="K13" s="6" t="n">
        <v>2838</v>
      </c>
      <c r="L13" s="6" t="n">
        <v>0</v>
      </c>
      <c r="M13" s="6" t="n">
        <v>0</v>
      </c>
      <c r="N13" s="6" t="n">
        <v>0</v>
      </c>
      <c r="O13" s="6" t="n">
        <v>2838</v>
      </c>
      <c r="P13" s="6" t="n">
        <v>198.66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62.44</v>
      </c>
      <c r="V13" s="6" t="n">
        <v>292.31</v>
      </c>
      <c r="W13" s="6" t="n">
        <v>0</v>
      </c>
      <c r="X13" s="6" t="n">
        <v>2838</v>
      </c>
      <c r="Y13" s="5" t="inlineStr">
        <is>
          <t>255 - IND. EFETUADA PARA OUTRA EMP</t>
        </is>
      </c>
      <c r="Z13" s="5" t="inlineStr">
        <is>
          <t>Sim - como está no XML</t>
        </is>
      </c>
      <c r="AA13" s="5" t="inlineStr">
        <is>
          <t>OK</t>
        </is>
      </c>
      <c r="AB13" s="5" t="inlineStr"/>
      <c r="AC13" s="5" t="inlineStr">
        <is>
          <t>41260933039048000162550010000089461000196494</t>
        </is>
      </c>
    </row>
    <row r="14">
      <c r="A14" s="4" t="n">
        <v>46268</v>
      </c>
      <c r="B14" s="4" t="n">
        <v>46268</v>
      </c>
      <c r="C14" s="5" t="n">
        <v>8947</v>
      </c>
      <c r="D14" s="5" t="inlineStr">
        <is>
          <t>1</t>
        </is>
      </c>
      <c r="E14" s="5" t="inlineStr">
        <is>
          <t>Autorizada</t>
        </is>
      </c>
      <c r="F14" s="5" t="inlineStr">
        <is>
          <t>VENUS COMERCIO VAREJISTA DE COSMETICOS PERFUMARIA E REPRESEN</t>
        </is>
      </c>
      <c r="G14" s="5" t="inlineStr">
        <is>
          <t>10318964000136</t>
        </is>
      </c>
      <c r="H14" s="5" t="inlineStr">
        <is>
          <t>PA</t>
        </is>
      </c>
      <c r="I14" s="5" t="inlineStr">
        <is>
          <t>6902</t>
        </is>
      </c>
      <c r="J14" s="5" t="inlineStr">
        <is>
          <t>RETORNO DE MERC. PARA INDUSTRIALIZ POR ENCOMENDA</t>
        </is>
      </c>
      <c r="K14" s="6" t="n">
        <v>222.6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222.6</v>
      </c>
      <c r="Y14" s="5" t="inlineStr">
        <is>
          <t>217 - RETORNO REMESSA IND. ENCOMEN</t>
        </is>
      </c>
      <c r="Z14" s="5" t="inlineStr">
        <is>
          <t>Sim - como está no XML</t>
        </is>
      </c>
      <c r="AA14" s="5" t="inlineStr">
        <is>
          <t>OK</t>
        </is>
      </c>
      <c r="AB14" s="5" t="inlineStr"/>
      <c r="AC14" s="5" t="inlineStr">
        <is>
          <t>41260933039048000162550010000089471000196505</t>
        </is>
      </c>
    </row>
    <row r="15">
      <c r="A15" s="4" t="n">
        <v>46268</v>
      </c>
      <c r="B15" s="4" t="n">
        <v>46268</v>
      </c>
      <c r="C15" s="5" t="n">
        <v>8948</v>
      </c>
      <c r="D15" s="5" t="inlineStr">
        <is>
          <t>1</t>
        </is>
      </c>
      <c r="E15" s="5" t="inlineStr">
        <is>
          <t>Inutilizada</t>
        </is>
      </c>
      <c r="F15" s="5" t="inlineStr">
        <is>
          <t>Número inutilizado - desacordo comercial</t>
        </is>
      </c>
      <c r="G15" s="5" t="inlineStr"/>
      <c r="H15" s="5" t="inlineStr"/>
      <c r="I15" s="5" t="inlineStr"/>
      <c r="J15" s="5" t="inlineStr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5" t="inlineStr"/>
      <c r="Z15" s="5" t="inlineStr">
        <is>
          <t>Sim - como INUTILIZADA (situação 05, só o número)</t>
        </is>
      </c>
      <c r="AA15" s="5" t="inlineStr">
        <is>
          <t>número inutilizado - fora dos relatórios</t>
        </is>
      </c>
      <c r="AB15" s="5" t="inlineStr"/>
      <c r="AC15" s="5" t="inlineStr">
        <is>
          <t>Protocolo 141260353599070</t>
        </is>
      </c>
    </row>
    <row r="16">
      <c r="A16" s="4" t="n">
        <v>46268</v>
      </c>
      <c r="B16" s="4" t="n">
        <v>46268</v>
      </c>
      <c r="C16" s="5" t="n">
        <v>8949</v>
      </c>
      <c r="D16" s="5" t="inlineStr">
        <is>
          <t>1</t>
        </is>
      </c>
      <c r="E16" s="5" t="inlineStr">
        <is>
          <t>Autorizada</t>
        </is>
      </c>
      <c r="F16" s="5" t="inlineStr">
        <is>
          <t>M. K. COSMETICOS LTDA</t>
        </is>
      </c>
      <c r="G16" s="5" t="inlineStr">
        <is>
          <t>26146567000164</t>
        </is>
      </c>
      <c r="H16" s="5" t="inlineStr">
        <is>
          <t>MA</t>
        </is>
      </c>
      <c r="I16" s="5" t="inlineStr">
        <is>
          <t>6124</t>
        </is>
      </c>
      <c r="J16" s="5" t="inlineStr">
        <is>
          <t>INDUSTRIALIZACAO EFETUADA PARA OUTRA EMPRESA</t>
        </is>
      </c>
      <c r="K16" s="6" t="n">
        <v>2034</v>
      </c>
      <c r="L16" s="6" t="n">
        <v>0</v>
      </c>
      <c r="M16" s="6" t="n">
        <v>0</v>
      </c>
      <c r="N16" s="6" t="n">
        <v>0</v>
      </c>
      <c r="O16" s="6" t="n">
        <v>2034</v>
      </c>
      <c r="P16" s="6" t="n">
        <v>142.38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44.75</v>
      </c>
      <c r="V16" s="6" t="n">
        <v>209.5</v>
      </c>
      <c r="W16" s="6" t="n">
        <v>0</v>
      </c>
      <c r="X16" s="6" t="n">
        <v>2034</v>
      </c>
      <c r="Y16" s="5" t="inlineStr">
        <is>
          <t>255 - IND. EFETUADA PARA OUTRA EMP</t>
        </is>
      </c>
      <c r="Z16" s="5" t="inlineStr">
        <is>
          <t>Sim - como está no XML</t>
        </is>
      </c>
      <c r="AA16" s="5" t="inlineStr">
        <is>
          <t>OK</t>
        </is>
      </c>
      <c r="AB16" s="5" t="inlineStr"/>
      <c r="AC16" s="5" t="inlineStr">
        <is>
          <t>41260933039048000162550010000089491000204197</t>
        </is>
      </c>
    </row>
    <row r="17">
      <c r="A17" s="4" t="n">
        <v>46268</v>
      </c>
      <c r="B17" s="4" t="n">
        <v>46268</v>
      </c>
      <c r="C17" s="5" t="n">
        <v>8950</v>
      </c>
      <c r="D17" s="5" t="inlineStr">
        <is>
          <t>1</t>
        </is>
      </c>
      <c r="E17" s="5" t="inlineStr">
        <is>
          <t>Autorizada</t>
        </is>
      </c>
      <c r="F17" s="5" t="inlineStr">
        <is>
          <t>M. K. COSMETICOS LTDA</t>
        </is>
      </c>
      <c r="G17" s="5" t="inlineStr">
        <is>
          <t>26146567000164</t>
        </is>
      </c>
      <c r="H17" s="5" t="inlineStr">
        <is>
          <t>MA</t>
        </is>
      </c>
      <c r="I17" s="5" t="inlineStr">
        <is>
          <t>6902</t>
        </is>
      </c>
      <c r="J17" s="5" t="inlineStr">
        <is>
          <t>RETORNO DE MERC. PARA INDUSTRIALIZ POR ENCOMENDA</t>
        </is>
      </c>
      <c r="K17" s="6" t="n">
        <v>159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159</v>
      </c>
      <c r="Y17" s="5" t="inlineStr">
        <is>
          <t>217 - RETORNO REMESSA IND. ENCOMEN</t>
        </is>
      </c>
      <c r="Z17" s="5" t="inlineStr">
        <is>
          <t>Sim - como está no XML</t>
        </is>
      </c>
      <c r="AA17" s="5" t="inlineStr">
        <is>
          <t>OK</t>
        </is>
      </c>
      <c r="AB17" s="5" t="inlineStr"/>
      <c r="AC17" s="5" t="inlineStr">
        <is>
          <t>41260933039048000162550010000089501000204201</t>
        </is>
      </c>
    </row>
    <row r="18">
      <c r="A18" s="4" t="n">
        <v>46268</v>
      </c>
      <c r="B18" s="4" t="n">
        <v>46268</v>
      </c>
      <c r="C18" s="5" t="n">
        <v>8951</v>
      </c>
      <c r="D18" s="5" t="inlineStr">
        <is>
          <t>1</t>
        </is>
      </c>
      <c r="E18" s="5" t="inlineStr">
        <is>
          <t>Inutilizada</t>
        </is>
      </c>
      <c r="F18" s="5" t="inlineStr">
        <is>
          <t>Número inutilizado - desacordo comercial</t>
        </is>
      </c>
      <c r="G18" s="5" t="inlineStr"/>
      <c r="H18" s="5" t="inlineStr"/>
      <c r="I18" s="5" t="inlineStr"/>
      <c r="J18" s="5" t="inlineStr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5" t="inlineStr"/>
      <c r="Z18" s="5" t="inlineStr">
        <is>
          <t>Sim - como INUTILIZADA (situação 05, só o número)</t>
        </is>
      </c>
      <c r="AA18" s="5" t="inlineStr">
        <is>
          <t>número inutilizado - fora dos relatórios</t>
        </is>
      </c>
      <c r="AB18" s="5" t="inlineStr"/>
      <c r="AC18" s="5" t="inlineStr">
        <is>
          <t>Protocolo 141260353639120</t>
        </is>
      </c>
    </row>
    <row r="19">
      <c r="A19" s="4" t="n">
        <v>46268</v>
      </c>
      <c r="B19" s="4" t="n">
        <v>46268</v>
      </c>
      <c r="C19" s="5" t="n">
        <v>8952</v>
      </c>
      <c r="D19" s="5" t="inlineStr">
        <is>
          <t>1</t>
        </is>
      </c>
      <c r="E19" s="5" t="inlineStr">
        <is>
          <t>Cancelada</t>
        </is>
      </c>
      <c r="F19" s="5" t="inlineStr">
        <is>
          <t>GUIDI COSMETICOS LTDA</t>
        </is>
      </c>
      <c r="G19" s="5" t="inlineStr">
        <is>
          <t>11835052000102</t>
        </is>
      </c>
      <c r="H19" s="5" t="inlineStr">
        <is>
          <t>SP</t>
        </is>
      </c>
      <c r="I19" s="5" t="inlineStr">
        <is>
          <t>6124</t>
        </is>
      </c>
      <c r="J19" s="5" t="inlineStr">
        <is>
          <t>INDUSTRIALIZACAO EFETUADA PARA OUTRA EMPRESA</t>
        </is>
      </c>
      <c r="K19" s="6" t="n">
        <v>6781.1</v>
      </c>
      <c r="L19" s="6" t="n">
        <v>474</v>
      </c>
      <c r="M19" s="6" t="n">
        <v>0</v>
      </c>
      <c r="N19" s="6" t="n">
        <v>0</v>
      </c>
      <c r="O19" s="6" t="n">
        <v>6307.1</v>
      </c>
      <c r="P19" s="6" t="n">
        <v>756.8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138.77</v>
      </c>
      <c r="V19" s="6" t="n">
        <v>649.64</v>
      </c>
      <c r="W19" s="6" t="n">
        <v>0</v>
      </c>
      <c r="X19" s="6" t="n">
        <v>6307.1</v>
      </c>
      <c r="Y19" s="5" t="inlineStr">
        <is>
          <t>255 - IND. EFETUADA PARA OUTRA EMP</t>
        </is>
      </c>
      <c r="Z19" s="5" t="inlineStr">
        <is>
          <t>Sim - como CANCELADA (situação 02: valores zerados, só a chave)</t>
        </is>
      </c>
      <c r="AA19" s="5" t="inlineStr">
        <is>
          <t>cancelada - fora dos dois relatórios (filtro "Situação A")</t>
        </is>
      </c>
      <c r="AB19" s="5" t="inlineStr"/>
      <c r="AC19" s="5" t="inlineStr">
        <is>
          <t>41260933039048000162550010000089521000162996</t>
        </is>
      </c>
    </row>
    <row r="20">
      <c r="A20" s="4" t="n">
        <v>46268</v>
      </c>
      <c r="B20" s="4" t="n">
        <v>46268</v>
      </c>
      <c r="C20" s="5" t="n">
        <v>8953</v>
      </c>
      <c r="D20" s="5" t="inlineStr">
        <is>
          <t>1</t>
        </is>
      </c>
      <c r="E20" s="5" t="inlineStr">
        <is>
          <t>Autorizada</t>
        </is>
      </c>
      <c r="F20" s="5" t="inlineStr">
        <is>
          <t>GUIDI COSMETICOS LTDA</t>
        </is>
      </c>
      <c r="G20" s="5" t="inlineStr">
        <is>
          <t>11835052000102</t>
        </is>
      </c>
      <c r="H20" s="5" t="inlineStr">
        <is>
          <t>SP</t>
        </is>
      </c>
      <c r="I20" s="5" t="inlineStr">
        <is>
          <t>6124</t>
        </is>
      </c>
      <c r="J20" s="5" t="inlineStr">
        <is>
          <t>INDUSTRIALIZACAO EFETUADA PARA OUTRA EMPRESA</t>
        </is>
      </c>
      <c r="K20" s="6" t="n">
        <v>6781.1</v>
      </c>
      <c r="L20" s="6" t="n">
        <v>474</v>
      </c>
      <c r="M20" s="6" t="n">
        <v>0</v>
      </c>
      <c r="N20" s="6" t="n">
        <v>0</v>
      </c>
      <c r="O20" s="6" t="n">
        <v>6307.1</v>
      </c>
      <c r="P20" s="6" t="n">
        <v>756.8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138.77</v>
      </c>
      <c r="V20" s="6" t="n">
        <v>649.64</v>
      </c>
      <c r="W20" s="6" t="n">
        <v>0</v>
      </c>
      <c r="X20" s="6" t="n">
        <v>6307.1</v>
      </c>
      <c r="Y20" s="5" t="inlineStr">
        <is>
          <t>255 - IND. EFETUADA PARA OUTRA EMP</t>
        </is>
      </c>
      <c r="Z20" s="5" t="inlineStr">
        <is>
          <t>Sim - como está no XML</t>
        </is>
      </c>
      <c r="AA20" s="5" t="inlineStr">
        <is>
          <t>OK</t>
        </is>
      </c>
      <c r="AB20" s="5" t="inlineStr"/>
      <c r="AC20" s="5" t="inlineStr">
        <is>
          <t>41260933039048000162550010000089531000163000</t>
        </is>
      </c>
    </row>
    <row r="21">
      <c r="A21" s="4" t="n">
        <v>46268</v>
      </c>
      <c r="B21" s="4" t="n">
        <v>46268</v>
      </c>
      <c r="C21" s="5" t="n">
        <v>8954</v>
      </c>
      <c r="D21" s="5" t="inlineStr">
        <is>
          <t>1</t>
        </is>
      </c>
      <c r="E21" s="5" t="inlineStr">
        <is>
          <t>Autorizada</t>
        </is>
      </c>
      <c r="F21" s="5" t="inlineStr">
        <is>
          <t>GUIDI COSMETICOS LTDA</t>
        </is>
      </c>
      <c r="G21" s="5" t="inlineStr">
        <is>
          <t>11835052000102</t>
        </is>
      </c>
      <c r="H21" s="5" t="inlineStr">
        <is>
          <t>SP</t>
        </is>
      </c>
      <c r="I21" s="5" t="inlineStr">
        <is>
          <t>6902</t>
        </is>
      </c>
      <c r="J21" s="5" t="inlineStr">
        <is>
          <t>RETORNO DE MERC. PARA INDUSTRIALIZ POR ENCOMENDA</t>
        </is>
      </c>
      <c r="K21" s="6" t="n">
        <v>614.16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614.16</v>
      </c>
      <c r="Y21" s="5" t="inlineStr">
        <is>
          <t>217 - RETORNO REMESSA IND. ENCOMEN</t>
        </is>
      </c>
      <c r="Z21" s="5" t="inlineStr">
        <is>
          <t>Sim - como está no XML</t>
        </is>
      </c>
      <c r="AA21" s="5" t="inlineStr">
        <is>
          <t>OK</t>
        </is>
      </c>
      <c r="AB21" s="5" t="inlineStr"/>
      <c r="AC21" s="5" t="inlineStr">
        <is>
          <t>41260933039048000162550010000089541000163016</t>
        </is>
      </c>
    </row>
    <row r="22">
      <c r="A22" s="4" t="n">
        <v>46268</v>
      </c>
      <c r="B22" s="4" t="n">
        <v>46268</v>
      </c>
      <c r="C22" s="5" t="n">
        <v>8955</v>
      </c>
      <c r="D22" s="5" t="inlineStr">
        <is>
          <t>1</t>
        </is>
      </c>
      <c r="E22" s="5" t="inlineStr">
        <is>
          <t>Autorizada</t>
        </is>
      </c>
      <c r="F22" s="5" t="inlineStr">
        <is>
          <t>GULA COSMETICOS LTDA</t>
        </is>
      </c>
      <c r="G22" s="5" t="inlineStr">
        <is>
          <t>30415972000108</t>
        </is>
      </c>
      <c r="H22" s="5" t="inlineStr">
        <is>
          <t>PR</t>
        </is>
      </c>
      <c r="I22" s="5" t="inlineStr">
        <is>
          <t>5401</t>
        </is>
      </c>
      <c r="J22" s="5" t="inlineStr">
        <is>
          <t>VENDA DE PRODUCAO DO ESTABELECIMENTO EM OPERACAO C</t>
        </is>
      </c>
      <c r="K22" s="6" t="n">
        <v>2786.4</v>
      </c>
      <c r="L22" s="6" t="n">
        <v>0</v>
      </c>
      <c r="M22" s="6" t="n">
        <v>0</v>
      </c>
      <c r="N22" s="6" t="n">
        <v>0</v>
      </c>
      <c r="O22" s="6" t="n">
        <v>2786.4</v>
      </c>
      <c r="P22" s="6" t="n">
        <v>334.39</v>
      </c>
      <c r="Q22" s="6" t="n">
        <v>5215.18</v>
      </c>
      <c r="R22" s="6" t="n">
        <v>865.16</v>
      </c>
      <c r="S22" s="6" t="n">
        <v>0</v>
      </c>
      <c r="T22" s="6" t="n">
        <v>398.46</v>
      </c>
      <c r="U22" s="6" t="n">
        <v>61.33</v>
      </c>
      <c r="V22" s="6" t="n">
        <v>286.97</v>
      </c>
      <c r="W22" s="6" t="n">
        <v>0</v>
      </c>
      <c r="X22" s="6" t="n">
        <v>4050.02</v>
      </c>
      <c r="Y22" s="5" t="inlineStr">
        <is>
          <t>202 - VENDA C/ ST - DENTRO DO ESTA</t>
        </is>
      </c>
      <c r="Z22" s="5" t="inlineStr">
        <is>
          <t>Sim - como está no XML</t>
        </is>
      </c>
      <c r="AA22" s="5" t="inlineStr">
        <is>
          <t>OK</t>
        </is>
      </c>
      <c r="AB22" s="5" t="inlineStr"/>
      <c r="AC22" s="5" t="inlineStr">
        <is>
          <t>41260933039048000162550010000089551000161819</t>
        </is>
      </c>
    </row>
    <row r="23">
      <c r="A23" s="4" t="n">
        <v>46269</v>
      </c>
      <c r="B23" s="4" t="n">
        <v>46269</v>
      </c>
      <c r="C23" s="5" t="n">
        <v>8956</v>
      </c>
      <c r="D23" s="5" t="inlineStr">
        <is>
          <t>1</t>
        </is>
      </c>
      <c r="E23" s="5" t="inlineStr">
        <is>
          <t>Inutilizada</t>
        </is>
      </c>
      <c r="F23" s="5" t="inlineStr">
        <is>
          <t>Número inutilizado - desacordo comercial</t>
        </is>
      </c>
      <c r="G23" s="5" t="inlineStr"/>
      <c r="H23" s="5" t="inlineStr"/>
      <c r="I23" s="5" t="inlineStr"/>
      <c r="J23" s="5" t="inlineStr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5" t="inlineStr"/>
      <c r="Z23" s="5" t="inlineStr">
        <is>
          <t>Sim - como INUTILIZADA (situação 05, só o número)</t>
        </is>
      </c>
      <c r="AA23" s="5" t="inlineStr">
        <is>
          <t>número inutilizado - fora dos relatórios</t>
        </is>
      </c>
      <c r="AB23" s="5" t="inlineStr"/>
      <c r="AC23" s="5" t="inlineStr">
        <is>
          <t>Protocolo 141260355633030</t>
        </is>
      </c>
    </row>
    <row r="24">
      <c r="A24" s="4" t="n">
        <v>46269</v>
      </c>
      <c r="B24" s="4" t="n">
        <v>46269</v>
      </c>
      <c r="C24" s="5" t="n">
        <v>8957</v>
      </c>
      <c r="D24" s="5" t="inlineStr">
        <is>
          <t>1</t>
        </is>
      </c>
      <c r="E24" s="5" t="inlineStr">
        <is>
          <t>Autorizada</t>
        </is>
      </c>
      <c r="F24" s="5" t="inlineStr">
        <is>
          <t>BARIGUI COSMETICOS LTDA</t>
        </is>
      </c>
      <c r="G24" s="5" t="inlineStr">
        <is>
          <t>36498717000152</t>
        </is>
      </c>
      <c r="H24" s="5" t="inlineStr">
        <is>
          <t>PR</t>
        </is>
      </c>
      <c r="I24" s="5" t="inlineStr">
        <is>
          <t>5124</t>
        </is>
      </c>
      <c r="J24" s="5" t="inlineStr">
        <is>
          <t>INDUSTRIALIZACAO EFETUADA PARA OUTRA EMPRESA</t>
        </is>
      </c>
      <c r="K24" s="6" t="n">
        <v>1764</v>
      </c>
      <c r="L24" s="6" t="n">
        <v>0</v>
      </c>
      <c r="M24" s="6" t="n">
        <v>0</v>
      </c>
      <c r="N24" s="6" t="n">
        <v>0</v>
      </c>
      <c r="O24" s="6" t="n">
        <v>1764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38.81</v>
      </c>
      <c r="V24" s="6" t="n">
        <v>181.69</v>
      </c>
      <c r="W24" s="6" t="n">
        <v>0</v>
      </c>
      <c r="X24" s="6" t="n">
        <v>1764</v>
      </c>
      <c r="Y24" s="5" t="inlineStr">
        <is>
          <t>254 - IND. EFETUADA PARA OUTRA EMP</t>
        </is>
      </c>
      <c r="Z24" s="5" t="inlineStr">
        <is>
          <t>Sim - como está no XML</t>
        </is>
      </c>
      <c r="AA24" s="5" t="inlineStr">
        <is>
          <t>OK</t>
        </is>
      </c>
      <c r="AB24" s="5" t="inlineStr"/>
      <c r="AC24" s="5" t="inlineStr">
        <is>
          <t>41260933039048000162550010000089571000162992</t>
        </is>
      </c>
    </row>
    <row r="25">
      <c r="A25" s="4" t="n">
        <v>46269</v>
      </c>
      <c r="B25" s="4" t="n">
        <v>46269</v>
      </c>
      <c r="C25" s="5" t="n">
        <v>8958</v>
      </c>
      <c r="D25" s="5" t="inlineStr">
        <is>
          <t>1</t>
        </is>
      </c>
      <c r="E25" s="5" t="inlineStr">
        <is>
          <t>Autorizada</t>
        </is>
      </c>
      <c r="F25" s="5" t="inlineStr">
        <is>
          <t>BARIGUI COSMETICOS LTDA</t>
        </is>
      </c>
      <c r="G25" s="5" t="inlineStr">
        <is>
          <t>36498717000152</t>
        </is>
      </c>
      <c r="H25" s="5" t="inlineStr">
        <is>
          <t>PR</t>
        </is>
      </c>
      <c r="I25" s="5" t="inlineStr">
        <is>
          <t>5902</t>
        </is>
      </c>
      <c r="J25" s="5" t="inlineStr">
        <is>
          <t>RETORNO DE MERC. PARA INDUSTRIALIZ POR ENCOMENDA</t>
        </is>
      </c>
      <c r="K25" s="6" t="n">
        <v>182.4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182.4</v>
      </c>
      <c r="Y25" s="5" t="inlineStr">
        <is>
          <t>277 - RETORNO DE MERC NA INDUSTR -</t>
        </is>
      </c>
      <c r="Z25" s="5" t="inlineStr">
        <is>
          <t>Sim - como está no XML</t>
        </is>
      </c>
      <c r="AA25" s="5" t="inlineStr">
        <is>
          <t>OK</t>
        </is>
      </c>
      <c r="AB25" s="5" t="inlineStr"/>
      <c r="AC25" s="5" t="inlineStr">
        <is>
          <t>41260933039048000162550010000089581000163007</t>
        </is>
      </c>
    </row>
    <row r="26">
      <c r="A26" s="4" t="n">
        <v>46269</v>
      </c>
      <c r="B26" s="4" t="n">
        <v>46269</v>
      </c>
      <c r="C26" s="5" t="n">
        <v>8959</v>
      </c>
      <c r="D26" s="5" t="inlineStr">
        <is>
          <t>1</t>
        </is>
      </c>
      <c r="E26" s="5" t="inlineStr">
        <is>
          <t>Autorizada</t>
        </is>
      </c>
      <c r="F26" s="5" t="inlineStr">
        <is>
          <t>ONIXSUL COSMETICOS LTDA</t>
        </is>
      </c>
      <c r="G26" s="5" t="inlineStr">
        <is>
          <t>18074269000188</t>
        </is>
      </c>
      <c r="H26" s="5" t="inlineStr">
        <is>
          <t>PR</t>
        </is>
      </c>
      <c r="I26" s="5" t="inlineStr">
        <is>
          <t>5124</t>
        </is>
      </c>
      <c r="J26" s="5" t="inlineStr">
        <is>
          <t>INDUSTRIALIZACAO EFETUADA PARA OUTRA EMPRESA</t>
        </is>
      </c>
      <c r="K26" s="6" t="n">
        <v>5016</v>
      </c>
      <c r="L26" s="6" t="n">
        <v>0</v>
      </c>
      <c r="M26" s="6" t="n">
        <v>0</v>
      </c>
      <c r="N26" s="6" t="n">
        <v>0</v>
      </c>
      <c r="O26" s="6" t="n">
        <v>5016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110.35</v>
      </c>
      <c r="V26" s="6" t="n">
        <v>516.65</v>
      </c>
      <c r="W26" s="6" t="n">
        <v>0</v>
      </c>
      <c r="X26" s="6" t="n">
        <v>5016</v>
      </c>
      <c r="Y26" s="5" t="inlineStr">
        <is>
          <t>254 - IND. EFETUADA PARA OUTRA EMP</t>
        </is>
      </c>
      <c r="Z26" s="5" t="inlineStr">
        <is>
          <t>Sim - como está no XML</t>
        </is>
      </c>
      <c r="AA26" s="5" t="inlineStr">
        <is>
          <t>OK</t>
        </is>
      </c>
      <c r="AB26" s="5" t="inlineStr"/>
      <c r="AC26" s="5" t="inlineStr">
        <is>
          <t>41260933039048000162550010000089591000156962</t>
        </is>
      </c>
    </row>
    <row r="27">
      <c r="A27" s="4" t="n">
        <v>46269</v>
      </c>
      <c r="B27" s="4" t="n">
        <v>46269</v>
      </c>
      <c r="C27" s="5" t="n">
        <v>8960</v>
      </c>
      <c r="D27" s="5" t="inlineStr">
        <is>
          <t>1</t>
        </is>
      </c>
      <c r="E27" s="5" t="inlineStr">
        <is>
          <t>Autorizada</t>
        </is>
      </c>
      <c r="F27" s="5" t="inlineStr">
        <is>
          <t>ONIXSUL COSMETICOS LTDA</t>
        </is>
      </c>
      <c r="G27" s="5" t="inlineStr">
        <is>
          <t>18074269000188</t>
        </is>
      </c>
      <c r="H27" s="5" t="inlineStr">
        <is>
          <t>PR</t>
        </is>
      </c>
      <c r="I27" s="5" t="inlineStr">
        <is>
          <t>5902</t>
        </is>
      </c>
      <c r="J27" s="5" t="inlineStr">
        <is>
          <t>RETORNO DE MERC. PARA INDUSTRIALIZ POR ENCOMENDA</t>
        </is>
      </c>
      <c r="K27" s="6" t="n">
        <v>266.4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266.4</v>
      </c>
      <c r="Y27" s="5" t="inlineStr">
        <is>
          <t>277 - RETORNO DE MERC NA INDUSTR -</t>
        </is>
      </c>
      <c r="Z27" s="5" t="inlineStr">
        <is>
          <t>Sim - como está no XML</t>
        </is>
      </c>
      <c r="AA27" s="5" t="inlineStr">
        <is>
          <t>OK</t>
        </is>
      </c>
      <c r="AB27" s="5" t="inlineStr"/>
      <c r="AC27" s="5" t="inlineStr">
        <is>
          <t>41260933039048000162550010000089601000156971</t>
        </is>
      </c>
    </row>
    <row r="28">
      <c r="A28" s="4" t="n">
        <v>46273</v>
      </c>
      <c r="B28" s="4" t="n">
        <v>46273</v>
      </c>
      <c r="C28" s="5" t="n">
        <v>8961</v>
      </c>
      <c r="D28" s="5" t="inlineStr">
        <is>
          <t>1</t>
        </is>
      </c>
      <c r="E28" s="5" t="inlineStr">
        <is>
          <t>Autorizada</t>
        </is>
      </c>
      <c r="F28" s="5" t="inlineStr">
        <is>
          <t>CRISTIANO MARCELO NUNES SCHILLING</t>
        </is>
      </c>
      <c r="G28" s="5" t="inlineStr">
        <is>
          <t>07524816000163</t>
        </is>
      </c>
      <c r="H28" s="5" t="inlineStr">
        <is>
          <t>RS</t>
        </is>
      </c>
      <c r="I28" s="5" t="inlineStr">
        <is>
          <t>6124</t>
        </is>
      </c>
      <c r="J28" s="5" t="inlineStr">
        <is>
          <t>INDUSTRIALIZACAO EFETUADA PARA OUTRA EMPRESA</t>
        </is>
      </c>
      <c r="K28" s="6" t="n">
        <v>1620</v>
      </c>
      <c r="L28" s="6" t="n">
        <v>0</v>
      </c>
      <c r="M28" s="6" t="n">
        <v>0</v>
      </c>
      <c r="N28" s="6" t="n">
        <v>0</v>
      </c>
      <c r="O28" s="6" t="n">
        <v>1620</v>
      </c>
      <c r="P28" s="6" t="n">
        <v>194.4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35.64</v>
      </c>
      <c r="V28" s="6" t="n">
        <v>166.87</v>
      </c>
      <c r="W28" s="6" t="n">
        <v>0</v>
      </c>
      <c r="X28" s="6" t="n">
        <v>1620</v>
      </c>
      <c r="Y28" s="5" t="inlineStr">
        <is>
          <t>255 - IND. EFETUADA PARA OUTRA EMP</t>
        </is>
      </c>
      <c r="Z28" s="5" t="inlineStr">
        <is>
          <t>Sim - como está no XML</t>
        </is>
      </c>
      <c r="AA28" s="5" t="inlineStr">
        <is>
          <t>OK</t>
        </is>
      </c>
      <c r="AB28" s="5" t="inlineStr"/>
      <c r="AC28" s="5" t="inlineStr">
        <is>
          <t>41260933039048000162550010000089611000197772</t>
        </is>
      </c>
    </row>
    <row r="29">
      <c r="A29" s="4" t="n">
        <v>46273</v>
      </c>
      <c r="B29" s="4" t="n">
        <v>46273</v>
      </c>
      <c r="C29" s="5" t="n">
        <v>8962</v>
      </c>
      <c r="D29" s="5" t="inlineStr">
        <is>
          <t>1</t>
        </is>
      </c>
      <c r="E29" s="5" t="inlineStr">
        <is>
          <t>Autorizada</t>
        </is>
      </c>
      <c r="F29" s="5" t="inlineStr">
        <is>
          <t>CRISTIANO MARCELO NUNES SCHILLING</t>
        </is>
      </c>
      <c r="G29" s="5" t="inlineStr">
        <is>
          <t>07524816000163</t>
        </is>
      </c>
      <c r="H29" s="5" t="inlineStr">
        <is>
          <t>RS</t>
        </is>
      </c>
      <c r="I29" s="5" t="inlineStr">
        <is>
          <t>6902</t>
        </is>
      </c>
      <c r="J29" s="5" t="inlineStr">
        <is>
          <t>RETORNO DE MERC. PARA INDUSTRIALIZ POR ENCOMENDA</t>
        </is>
      </c>
      <c r="K29" s="6" t="n">
        <v>1805.6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1805.6</v>
      </c>
      <c r="Y29" s="5" t="inlineStr">
        <is>
          <t>217 - RETORNO REMESSA IND. ENCOMEN</t>
        </is>
      </c>
      <c r="Z29" s="5" t="inlineStr">
        <is>
          <t>Sim - como está no XML</t>
        </is>
      </c>
      <c r="AA29" s="5" t="inlineStr">
        <is>
          <t>OK</t>
        </is>
      </c>
      <c r="AB29" s="5" t="inlineStr"/>
      <c r="AC29" s="5" t="inlineStr">
        <is>
          <t>41260933039048000162550010000089621000197788</t>
        </is>
      </c>
    </row>
    <row r="30">
      <c r="A30" s="4" t="n">
        <v>46273</v>
      </c>
      <c r="B30" s="4" t="n">
        <v>46273</v>
      </c>
      <c r="C30" s="5" t="n">
        <v>8963</v>
      </c>
      <c r="D30" s="5" t="inlineStr">
        <is>
          <t>1</t>
        </is>
      </c>
      <c r="E30" s="5" t="inlineStr">
        <is>
          <t>Autorizada</t>
        </is>
      </c>
      <c r="F30" s="5" t="inlineStr">
        <is>
          <t>BB COSMETICOS - EIRELI</t>
        </is>
      </c>
      <c r="G30" s="5" t="inlineStr">
        <is>
          <t>21822008000103</t>
        </is>
      </c>
      <c r="H30" s="5" t="inlineStr">
        <is>
          <t>PR</t>
        </is>
      </c>
      <c r="I30" s="5" t="inlineStr">
        <is>
          <t>5124</t>
        </is>
      </c>
      <c r="J30" s="5" t="inlineStr">
        <is>
          <t>INDUSTRIALIZACAO EFETUADA PARA OUTRA EMPRESA</t>
        </is>
      </c>
      <c r="K30" s="6" t="n">
        <v>1379.7</v>
      </c>
      <c r="L30" s="6" t="n">
        <v>0</v>
      </c>
      <c r="M30" s="6" t="n">
        <v>0</v>
      </c>
      <c r="N30" s="6" t="n">
        <v>0</v>
      </c>
      <c r="O30" s="6" t="n">
        <v>1379.7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30.35</v>
      </c>
      <c r="V30" s="6" t="n">
        <v>142.12</v>
      </c>
      <c r="W30" s="6" t="n">
        <v>0</v>
      </c>
      <c r="X30" s="6" t="n">
        <v>1379.7</v>
      </c>
      <c r="Y30" s="5" t="inlineStr">
        <is>
          <t>254 - IND. EFETUADA PARA OUTRA EMP</t>
        </is>
      </c>
      <c r="Z30" s="5" t="inlineStr">
        <is>
          <t>Sim - como está no XML</t>
        </is>
      </c>
      <c r="AA30" s="5" t="inlineStr">
        <is>
          <t>OK</t>
        </is>
      </c>
      <c r="AB30" s="5" t="inlineStr"/>
      <c r="AC30" s="5" t="inlineStr">
        <is>
          <t>41260933039048000162550010000089631000118800</t>
        </is>
      </c>
    </row>
    <row r="31">
      <c r="A31" s="4" t="n">
        <v>46273</v>
      </c>
      <c r="B31" s="4" t="n">
        <v>46273</v>
      </c>
      <c r="C31" s="5" t="n">
        <v>8964</v>
      </c>
      <c r="D31" s="5" t="inlineStr">
        <is>
          <t>1</t>
        </is>
      </c>
      <c r="E31" s="5" t="inlineStr">
        <is>
          <t>Autorizada</t>
        </is>
      </c>
      <c r="F31" s="5" t="inlineStr">
        <is>
          <t>BB COSMETICOS - EIRELI</t>
        </is>
      </c>
      <c r="G31" s="5" t="inlineStr">
        <is>
          <t>21822008000103</t>
        </is>
      </c>
      <c r="H31" s="5" t="inlineStr">
        <is>
          <t>PR</t>
        </is>
      </c>
      <c r="I31" s="5" t="inlineStr">
        <is>
          <t>5902</t>
        </is>
      </c>
      <c r="J31" s="5" t="inlineStr">
        <is>
          <t>RETORNO DE MERC. PARA INDUSTRIALIZ POR ENCOMENDA</t>
        </is>
      </c>
      <c r="K31" s="6" t="n">
        <v>417.6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417.6</v>
      </c>
      <c r="Y31" s="5" t="inlineStr">
        <is>
          <t>277 - RETORNO DE MERC NA INDUSTR -</t>
        </is>
      </c>
      <c r="Z31" s="5" t="inlineStr">
        <is>
          <t>Sim - como está no XML</t>
        </is>
      </c>
      <c r="AA31" s="5" t="inlineStr">
        <is>
          <t>OK</t>
        </is>
      </c>
      <c r="AB31" s="5" t="inlineStr"/>
      <c r="AC31" s="5" t="inlineStr">
        <is>
          <t>41260933039048000162550010000089641000118815</t>
        </is>
      </c>
    </row>
    <row r="32">
      <c r="A32" s="4" t="n">
        <v>46275</v>
      </c>
      <c r="B32" s="4" t="n">
        <v>46275</v>
      </c>
      <c r="C32" s="5" t="n">
        <v>8965</v>
      </c>
      <c r="D32" s="5" t="inlineStr">
        <is>
          <t>1</t>
        </is>
      </c>
      <c r="E32" s="5" t="inlineStr">
        <is>
          <t>Inutilizada</t>
        </is>
      </c>
      <c r="F32" s="5" t="inlineStr">
        <is>
          <t>Número inutilizado - desacordo comercial</t>
        </is>
      </c>
      <c r="G32" s="5" t="inlineStr"/>
      <c r="H32" s="5" t="inlineStr"/>
      <c r="I32" s="5" t="inlineStr"/>
      <c r="J32" s="5" t="inlineStr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5" t="inlineStr"/>
      <c r="Z32" s="5" t="inlineStr">
        <is>
          <t>Sim - como INUTILIZADA (situação 05, só o número)</t>
        </is>
      </c>
      <c r="AA32" s="5" t="inlineStr">
        <is>
          <t>número inutilizado - fora dos relatórios</t>
        </is>
      </c>
      <c r="AB32" s="5" t="inlineStr"/>
      <c r="AC32" s="5" t="inlineStr">
        <is>
          <t>Protocolo 141260363749669</t>
        </is>
      </c>
    </row>
    <row r="33">
      <c r="A33" s="4" t="n">
        <v>46275</v>
      </c>
      <c r="B33" s="4" t="n">
        <v>46275</v>
      </c>
      <c r="C33" s="5" t="n">
        <v>8966</v>
      </c>
      <c r="D33" s="5" t="inlineStr">
        <is>
          <t>1</t>
        </is>
      </c>
      <c r="E33" s="5" t="inlineStr">
        <is>
          <t>Autorizada</t>
        </is>
      </c>
      <c r="F33" s="5" t="inlineStr">
        <is>
          <t>GULA COSMETICOS LTDA</t>
        </is>
      </c>
      <c r="G33" s="5" t="inlineStr">
        <is>
          <t>30415972000108</t>
        </is>
      </c>
      <c r="H33" s="5" t="inlineStr">
        <is>
          <t>SP</t>
        </is>
      </c>
      <c r="I33" s="5" t="inlineStr">
        <is>
          <t>6102</t>
        </is>
      </c>
      <c r="J33" s="5" t="inlineStr">
        <is>
          <t>VENDA DE MERCADORIAS</t>
        </is>
      </c>
      <c r="K33" s="6" t="n">
        <v>667.6799999999999</v>
      </c>
      <c r="L33" s="6" t="n">
        <v>0</v>
      </c>
      <c r="M33" s="6" t="n">
        <v>0</v>
      </c>
      <c r="N33" s="6" t="n">
        <v>0</v>
      </c>
      <c r="O33" s="6" t="n">
        <v>667.6799999999999</v>
      </c>
      <c r="P33" s="6" t="n">
        <v>80.12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14.69</v>
      </c>
      <c r="V33" s="6" t="n">
        <v>68.77</v>
      </c>
      <c r="W33" s="6" t="n">
        <v>40.06</v>
      </c>
      <c r="X33" s="6" t="n">
        <v>667.6799999999999</v>
      </c>
      <c r="Y33" s="5" t="inlineStr">
        <is>
          <t>201 - VENDA S/ ST - FORA DO ESTADO</t>
        </is>
      </c>
      <c r="Z33" s="5" t="inlineStr">
        <is>
          <t>Sim - como está no XML</t>
        </is>
      </c>
      <c r="AA33" s="5" t="inlineStr">
        <is>
          <t>Registro: UF PR x XML SP</t>
        </is>
      </c>
      <c r="AB33" s="5" t="inlineStr"/>
      <c r="AC33" s="5" t="inlineStr">
        <is>
          <t>41260933039048000162550010000089661000161928</t>
        </is>
      </c>
    </row>
    <row r="34">
      <c r="A34" s="4" t="n">
        <v>46276</v>
      </c>
      <c r="B34" s="4" t="n">
        <v>46276</v>
      </c>
      <c r="C34" s="5" t="n">
        <v>8967</v>
      </c>
      <c r="D34" s="5" t="inlineStr">
        <is>
          <t>1</t>
        </is>
      </c>
      <c r="E34" s="5" t="inlineStr">
        <is>
          <t>Autorizada</t>
        </is>
      </c>
      <c r="F34" s="5" t="inlineStr">
        <is>
          <t>GULA COSMETICOS LTDA</t>
        </is>
      </c>
      <c r="G34" s="5" t="inlineStr">
        <is>
          <t>30415972000108</t>
        </is>
      </c>
      <c r="H34" s="5" t="inlineStr">
        <is>
          <t>SP</t>
        </is>
      </c>
      <c r="I34" s="5" t="inlineStr">
        <is>
          <t>6102</t>
        </is>
      </c>
      <c r="J34" s="5" t="inlineStr">
        <is>
          <t>VENDA DE MERCADORIAS</t>
        </is>
      </c>
      <c r="K34" s="6" t="n">
        <v>324</v>
      </c>
      <c r="L34" s="6" t="n">
        <v>0</v>
      </c>
      <c r="M34" s="6" t="n">
        <v>0</v>
      </c>
      <c r="N34" s="6" t="n">
        <v>0</v>
      </c>
      <c r="O34" s="6" t="n">
        <v>370.33</v>
      </c>
      <c r="P34" s="6" t="n">
        <v>44.44</v>
      </c>
      <c r="Q34" s="6" t="n">
        <v>0</v>
      </c>
      <c r="R34" s="6" t="n">
        <v>0</v>
      </c>
      <c r="S34" s="6" t="n">
        <v>0</v>
      </c>
      <c r="T34" s="6" t="n">
        <v>46.33</v>
      </c>
      <c r="U34" s="6" t="n">
        <v>7.13</v>
      </c>
      <c r="V34" s="6" t="n">
        <v>33.37</v>
      </c>
      <c r="W34" s="6" t="n">
        <v>22.22</v>
      </c>
      <c r="X34" s="6" t="n">
        <v>370.33</v>
      </c>
      <c r="Y34" s="5" t="inlineStr">
        <is>
          <t>201 - VENDA S/ ST - FORA DO ESTADO</t>
        </is>
      </c>
      <c r="Z34" s="5" t="inlineStr">
        <is>
          <t>Sim - como está no XML</t>
        </is>
      </c>
      <c r="AA34" s="5" t="inlineStr">
        <is>
          <t>Registro: UF PR x XML SP</t>
        </is>
      </c>
      <c r="AB34" s="5" t="inlineStr">
        <is>
          <t>[MÉDIA] CFOP revenda x produção: 1 item(ns) com CFOP 6102 (mercadoria de terceiros) e IPI destacado - produto fabricado pela COSMETICI sai com 5101/6101 (ou 5401 com ST). Conferir CFOP e natureza "VENDA DE MERCADORIAS"</t>
        </is>
      </c>
      <c r="AC34" s="5" t="inlineStr">
        <is>
          <t>41260933039048000162550010000089671000161933</t>
        </is>
      </c>
    </row>
    <row r="35">
      <c r="A35" s="4" t="n">
        <v>46279</v>
      </c>
      <c r="B35" s="4" t="n">
        <v>46279</v>
      </c>
      <c r="C35" s="5" t="n">
        <v>8968</v>
      </c>
      <c r="D35" s="5" t="inlineStr">
        <is>
          <t>1</t>
        </is>
      </c>
      <c r="E35" s="5" t="inlineStr">
        <is>
          <t>Autorizada</t>
        </is>
      </c>
      <c r="F35" s="5" t="inlineStr">
        <is>
          <t>GULA COSMETICOS LTDA</t>
        </is>
      </c>
      <c r="G35" s="5" t="inlineStr">
        <is>
          <t>30415972000108</t>
        </is>
      </c>
      <c r="H35" s="5" t="inlineStr">
        <is>
          <t>PR</t>
        </is>
      </c>
      <c r="I35" s="5" t="inlineStr">
        <is>
          <t>5101</t>
        </is>
      </c>
      <c r="J35" s="5" t="inlineStr">
        <is>
          <t>VENDA DE PRODUCAO DO ESTABELECIMENTO</t>
        </is>
      </c>
      <c r="K35" s="6" t="n">
        <v>157.2</v>
      </c>
      <c r="L35" s="6" t="n">
        <v>0</v>
      </c>
      <c r="M35" s="6" t="n">
        <v>0</v>
      </c>
      <c r="N35" s="6" t="n">
        <v>0</v>
      </c>
      <c r="O35" s="6" t="n">
        <v>157.2</v>
      </c>
      <c r="P35" s="6" t="n">
        <v>30.65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3.46</v>
      </c>
      <c r="V35" s="6" t="n">
        <v>16.19</v>
      </c>
      <c r="W35" s="6" t="n">
        <v>0</v>
      </c>
      <c r="X35" s="6" t="n">
        <v>157.2</v>
      </c>
      <c r="Y35" s="5" t="inlineStr">
        <is>
          <t>200 - VENDAS S/ ST - DENTRO DO EST</t>
        </is>
      </c>
      <c r="Z35" s="5" t="inlineStr">
        <is>
          <t>Sim - como está no XML</t>
        </is>
      </c>
      <c r="AA35" s="5" t="inlineStr">
        <is>
          <t>OK</t>
        </is>
      </c>
      <c r="AB35" s="5" t="inlineStr"/>
      <c r="AC35" s="5" t="inlineStr">
        <is>
          <t>41260933039048000162550010000089681000161949</t>
        </is>
      </c>
    </row>
    <row r="36">
      <c r="A36" s="4" t="n">
        <v>46279</v>
      </c>
      <c r="B36" s="4" t="n">
        <v>46279</v>
      </c>
      <c r="C36" s="5" t="n">
        <v>8969</v>
      </c>
      <c r="D36" s="5" t="inlineStr">
        <is>
          <t>1</t>
        </is>
      </c>
      <c r="E36" s="5" t="inlineStr">
        <is>
          <t>Autorizada</t>
        </is>
      </c>
      <c r="F36" s="5" t="inlineStr">
        <is>
          <t>GULA COSMETICOS LTDA</t>
        </is>
      </c>
      <c r="G36" s="5" t="inlineStr">
        <is>
          <t>30415972000108</t>
        </is>
      </c>
      <c r="H36" s="5" t="inlineStr">
        <is>
          <t>PR</t>
        </is>
      </c>
      <c r="I36" s="5" t="inlineStr">
        <is>
          <t>5102</t>
        </is>
      </c>
      <c r="J36" s="5" t="inlineStr">
        <is>
          <t>VENDA DE MERCADORIAS</t>
        </is>
      </c>
      <c r="K36" s="6" t="n">
        <v>710.4</v>
      </c>
      <c r="L36" s="6" t="n">
        <v>0</v>
      </c>
      <c r="M36" s="6" t="n">
        <v>0</v>
      </c>
      <c r="N36" s="6" t="n">
        <v>0</v>
      </c>
      <c r="O36" s="6" t="n">
        <v>811.99</v>
      </c>
      <c r="P36" s="6" t="n">
        <v>158.33</v>
      </c>
      <c r="Q36" s="6" t="n">
        <v>0</v>
      </c>
      <c r="R36" s="6" t="n">
        <v>0</v>
      </c>
      <c r="S36" s="6" t="n">
        <v>0</v>
      </c>
      <c r="T36" s="6" t="n">
        <v>101.59</v>
      </c>
      <c r="U36" s="6" t="n">
        <v>15.62</v>
      </c>
      <c r="V36" s="6" t="n">
        <v>73.18000000000001</v>
      </c>
      <c r="W36" s="6" t="n">
        <v>0</v>
      </c>
      <c r="X36" s="6" t="n">
        <v>811.99</v>
      </c>
      <c r="Y36" s="5" t="inlineStr">
        <is>
          <t>200 - VENDAS S/ ST - DENTRO DO EST</t>
        </is>
      </c>
      <c r="Z36" s="5" t="inlineStr">
        <is>
          <t>Sim - como está no XML</t>
        </is>
      </c>
      <c r="AA36" s="5" t="inlineStr">
        <is>
          <t>OK</t>
        </is>
      </c>
      <c r="AB36" s="5" t="inlineStr">
        <is>
          <t>[MÉDIA] CFOP revenda x produção: 2 item(ns) com CFOP 5102 (mercadoria de terceiros) e IPI destacado - produto fabricado pela COSMETICI sai com 5101/6101 (ou 5401 com ST). Conferir CFOP e natureza "VENDA DE MERCADORIAS"</t>
        </is>
      </c>
      <c r="AC36" s="5" t="inlineStr">
        <is>
          <t>41260933039048000162550010000089691000161954</t>
        </is>
      </c>
    </row>
    <row r="37">
      <c r="A37" s="4" t="n">
        <v>46280</v>
      </c>
      <c r="B37" s="4" t="n">
        <v>46280</v>
      </c>
      <c r="C37" s="5" t="n">
        <v>8970</v>
      </c>
      <c r="D37" s="5" t="inlineStr">
        <is>
          <t>1</t>
        </is>
      </c>
      <c r="E37" s="5" t="inlineStr">
        <is>
          <t>Autorizada</t>
        </is>
      </c>
      <c r="F37" s="5" t="inlineStr">
        <is>
          <t>CANDIDO COMERCIO DE COSMETICOS - EIRELI</t>
        </is>
      </c>
      <c r="G37" s="5" t="inlineStr">
        <is>
          <t>07159030000194</t>
        </is>
      </c>
      <c r="H37" s="5" t="inlineStr">
        <is>
          <t>PR</t>
        </is>
      </c>
      <c r="I37" s="5" t="inlineStr">
        <is>
          <t>5101</t>
        </is>
      </c>
      <c r="J37" s="5" t="inlineStr">
        <is>
          <t>VENDA DE PRODUCAO DO ESTABELECIMENTO</t>
        </is>
      </c>
      <c r="K37" s="6" t="n">
        <v>995.01</v>
      </c>
      <c r="L37" s="6" t="n">
        <v>0</v>
      </c>
      <c r="M37" s="6" t="n">
        <v>0</v>
      </c>
      <c r="N37" s="6" t="n">
        <v>0</v>
      </c>
      <c r="O37" s="6" t="n">
        <v>995.01</v>
      </c>
      <c r="P37" s="6" t="n">
        <v>194.03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21.89</v>
      </c>
      <c r="V37" s="6" t="n">
        <v>102.48</v>
      </c>
      <c r="W37" s="6" t="n">
        <v>0</v>
      </c>
      <c r="X37" s="6" t="n">
        <v>995.01</v>
      </c>
      <c r="Y37" s="5" t="inlineStr">
        <is>
          <t>200 - VENDAS S/ ST - DENTRO DO EST</t>
        </is>
      </c>
      <c r="Z37" s="5" t="inlineStr">
        <is>
          <t>Sim - como está no XML</t>
        </is>
      </c>
      <c r="AA37" s="5" t="inlineStr">
        <is>
          <t>OK</t>
        </is>
      </c>
      <c r="AB37" s="5" t="inlineStr"/>
      <c r="AC37" s="5" t="inlineStr">
        <is>
          <t>41260933039048000162550010000089701000116445</t>
        </is>
      </c>
    </row>
    <row r="38">
      <c r="A38" s="4" t="n">
        <v>46280</v>
      </c>
      <c r="B38" s="4" t="n">
        <v>46280</v>
      </c>
      <c r="C38" s="5" t="n">
        <v>8971</v>
      </c>
      <c r="D38" s="5" t="inlineStr">
        <is>
          <t>1</t>
        </is>
      </c>
      <c r="E38" s="5" t="inlineStr">
        <is>
          <t>Autorizada</t>
        </is>
      </c>
      <c r="F38" s="5" t="inlineStr">
        <is>
          <t>LUCIANE LORENCATTO - COSMETICOS</t>
        </is>
      </c>
      <c r="G38" s="5" t="inlineStr">
        <is>
          <t>11775521000137</t>
        </is>
      </c>
      <c r="H38" s="5" t="inlineStr">
        <is>
          <t>RS</t>
        </is>
      </c>
      <c r="I38" s="5" t="inlineStr">
        <is>
          <t>6124</t>
        </is>
      </c>
      <c r="J38" s="5" t="inlineStr">
        <is>
          <t>INDUSTRIALIZACAO EFETUADA PARA OUTRA EMPRESA</t>
        </is>
      </c>
      <c r="K38" s="6" t="n">
        <v>3318</v>
      </c>
      <c r="L38" s="6" t="n">
        <v>0</v>
      </c>
      <c r="M38" s="6" t="n">
        <v>0</v>
      </c>
      <c r="N38" s="6" t="n">
        <v>0</v>
      </c>
      <c r="O38" s="6" t="n">
        <v>3318</v>
      </c>
      <c r="P38" s="6" t="n">
        <v>398.16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73.01000000000001</v>
      </c>
      <c r="V38" s="6" t="n">
        <v>341.74</v>
      </c>
      <c r="W38" s="6" t="n">
        <v>0</v>
      </c>
      <c r="X38" s="6" t="n">
        <v>3318</v>
      </c>
      <c r="Y38" s="5" t="inlineStr">
        <is>
          <t>255 - IND. EFETUADA PARA OUTRA EMP</t>
        </is>
      </c>
      <c r="Z38" s="5" t="inlineStr">
        <is>
          <t>Sim - como está no XML</t>
        </is>
      </c>
      <c r="AA38" s="5" t="inlineStr">
        <is>
          <t>OK</t>
        </is>
      </c>
      <c r="AB38" s="5" t="inlineStr"/>
      <c r="AC38" s="5" t="inlineStr">
        <is>
          <t>41260933039048000162550010000089711000207812</t>
        </is>
      </c>
    </row>
    <row r="39">
      <c r="A39" s="4" t="n">
        <v>46281</v>
      </c>
      <c r="B39" s="4" t="n">
        <v>46281</v>
      </c>
      <c r="C39" s="5" t="n">
        <v>8973</v>
      </c>
      <c r="D39" s="5" t="inlineStr">
        <is>
          <t>1</t>
        </is>
      </c>
      <c r="E39" s="5" t="inlineStr">
        <is>
          <t>Autorizada</t>
        </is>
      </c>
      <c r="F39" s="5" t="inlineStr">
        <is>
          <t>JORGE LEAO FERREIRA</t>
        </is>
      </c>
      <c r="G39" s="5" t="inlineStr">
        <is>
          <t>04944995000108</t>
        </is>
      </c>
      <c r="H39" s="5" t="inlineStr">
        <is>
          <t>BA</t>
        </is>
      </c>
      <c r="I39" s="5" t="inlineStr">
        <is>
          <t>6124</t>
        </is>
      </c>
      <c r="J39" s="5" t="inlineStr">
        <is>
          <t>INDUSTRIALIZACAO EFETUADA PARA OUTRA EMPRESA</t>
        </is>
      </c>
      <c r="K39" s="6" t="n">
        <v>4049.52</v>
      </c>
      <c r="L39" s="6" t="n">
        <v>0</v>
      </c>
      <c r="M39" s="6" t="n">
        <v>0</v>
      </c>
      <c r="N39" s="6" t="n">
        <v>0</v>
      </c>
      <c r="O39" s="6" t="n">
        <v>4049.52</v>
      </c>
      <c r="P39" s="6" t="n">
        <v>283.47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89.09</v>
      </c>
      <c r="V39" s="6" t="n">
        <v>417.1</v>
      </c>
      <c r="W39" s="6" t="n">
        <v>0</v>
      </c>
      <c r="X39" s="6" t="n">
        <v>4049.52</v>
      </c>
      <c r="Y39" s="5" t="inlineStr">
        <is>
          <t>255 - IND. EFETUADA PARA OUTRA EMP</t>
        </is>
      </c>
      <c r="Z39" s="5" t="inlineStr">
        <is>
          <t>Sim - como está no XML</t>
        </is>
      </c>
      <c r="AA39" s="5" t="inlineStr">
        <is>
          <t>OK</t>
        </is>
      </c>
      <c r="AB39" s="5" t="inlineStr">
        <is>
          <t>[BAIXA] Grupo IPI: 2 item(ns) de produto (CFOP 6124) sem grupo de IPI (CST) - conferir o cadastro do produto no ERP</t>
        </is>
      </c>
      <c r="AC39" s="5" t="inlineStr">
        <is>
          <t>41260933039048000162550010000089731000116625</t>
        </is>
      </c>
    </row>
    <row r="40">
      <c r="A40" s="4" t="n">
        <v>46281</v>
      </c>
      <c r="B40" s="4" t="n">
        <v>46281</v>
      </c>
      <c r="C40" s="5" t="n">
        <v>8974</v>
      </c>
      <c r="D40" s="5" t="inlineStr">
        <is>
          <t>1</t>
        </is>
      </c>
      <c r="E40" s="5" t="inlineStr">
        <is>
          <t>Autorizada</t>
        </is>
      </c>
      <c r="F40" s="5" t="inlineStr">
        <is>
          <t>JORGE LEAO FERREIRA</t>
        </is>
      </c>
      <c r="G40" s="5" t="inlineStr">
        <is>
          <t>04944995000108</t>
        </is>
      </c>
      <c r="H40" s="5" t="inlineStr">
        <is>
          <t>BA</t>
        </is>
      </c>
      <c r="I40" s="5" t="inlineStr">
        <is>
          <t>6902</t>
        </is>
      </c>
      <c r="J40" s="5" t="inlineStr">
        <is>
          <t>RETORNO DE MERC. PARA INDUSTRIALIZ POR ENCOMENDA</t>
        </is>
      </c>
      <c r="K40" s="6" t="n">
        <v>299.52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299.52</v>
      </c>
      <c r="Y40" s="5" t="inlineStr">
        <is>
          <t>217 - RETORNO REMESSA IND. ENCOMEN</t>
        </is>
      </c>
      <c r="Z40" s="5" t="inlineStr">
        <is>
          <t>Sim - como está no XML</t>
        </is>
      </c>
      <c r="AA40" s="5" t="inlineStr">
        <is>
          <t>OK</t>
        </is>
      </c>
      <c r="AB40" s="5" t="inlineStr"/>
      <c r="AC40" s="5" t="inlineStr">
        <is>
          <t>41260933039048000162550010000089741000116630</t>
        </is>
      </c>
    </row>
    <row r="41">
      <c r="A41" s="4" t="n">
        <v>46281</v>
      </c>
      <c r="B41" s="4" t="n">
        <v>46281</v>
      </c>
      <c r="C41" s="5" t="n">
        <v>8975</v>
      </c>
      <c r="D41" s="5" t="inlineStr">
        <is>
          <t>1</t>
        </is>
      </c>
      <c r="E41" s="5" t="inlineStr">
        <is>
          <t>Autorizada</t>
        </is>
      </c>
      <c r="F41" s="5" t="inlineStr">
        <is>
          <t>ESAINT COMERCIO DE COSMETICOS LTDA</t>
        </is>
      </c>
      <c r="G41" s="5" t="inlineStr">
        <is>
          <t>31078693000169</t>
        </is>
      </c>
      <c r="H41" s="5" t="inlineStr">
        <is>
          <t>PR</t>
        </is>
      </c>
      <c r="I41" s="5" t="inlineStr">
        <is>
          <t>5124</t>
        </is>
      </c>
      <c r="J41" s="5" t="inlineStr">
        <is>
          <t>INDUSTRIALIZACAO EFETUADA PARA OUTRA EMPRESA</t>
        </is>
      </c>
      <c r="K41" s="6" t="n">
        <v>4548</v>
      </c>
      <c r="L41" s="6" t="n">
        <v>450</v>
      </c>
      <c r="M41" s="6" t="n">
        <v>0</v>
      </c>
      <c r="N41" s="6" t="n">
        <v>0</v>
      </c>
      <c r="O41" s="6" t="n">
        <v>4098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90.16</v>
      </c>
      <c r="V41" s="6" t="n">
        <v>422.1</v>
      </c>
      <c r="W41" s="6" t="n">
        <v>0</v>
      </c>
      <c r="X41" s="6" t="n">
        <v>4098</v>
      </c>
      <c r="Y41" s="5" t="inlineStr">
        <is>
          <t>254 - IND. EFETUADA PARA OUTRA EMP</t>
        </is>
      </c>
      <c r="Z41" s="5" t="inlineStr">
        <is>
          <t>Sim - como está no XML</t>
        </is>
      </c>
      <c r="AA41" s="5" t="inlineStr">
        <is>
          <t>OK</t>
        </is>
      </c>
      <c r="AB41" s="5" t="inlineStr"/>
      <c r="AC41" s="5" t="inlineStr">
        <is>
          <t>41260933039048000162550010000089751000191575</t>
        </is>
      </c>
    </row>
    <row r="42">
      <c r="A42" s="4" t="n">
        <v>46281</v>
      </c>
      <c r="B42" s="4" t="n">
        <v>46281</v>
      </c>
      <c r="C42" s="5" t="n">
        <v>8976</v>
      </c>
      <c r="D42" s="5" t="inlineStr">
        <is>
          <t>1</t>
        </is>
      </c>
      <c r="E42" s="5" t="inlineStr">
        <is>
          <t>Autorizada</t>
        </is>
      </c>
      <c r="F42" s="5" t="inlineStr">
        <is>
          <t>ESAINT COMERCIO DE COSMETICOS LTDA</t>
        </is>
      </c>
      <c r="G42" s="5" t="inlineStr">
        <is>
          <t>31078693000169</t>
        </is>
      </c>
      <c r="H42" s="5" t="inlineStr">
        <is>
          <t>PR</t>
        </is>
      </c>
      <c r="I42" s="5" t="inlineStr">
        <is>
          <t>5902</t>
        </is>
      </c>
      <c r="J42" s="5" t="inlineStr">
        <is>
          <t>RETORNO DE MERC. PARA INDUSTRIALIZ POR ENCOMENDA</t>
        </is>
      </c>
      <c r="K42" s="6" t="n">
        <v>588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588</v>
      </c>
      <c r="Y42" s="5" t="inlineStr">
        <is>
          <t>277 - RETORNO DE MERC NA INDUSTR -</t>
        </is>
      </c>
      <c r="Z42" s="5" t="inlineStr">
        <is>
          <t>Sim - como está no XML</t>
        </is>
      </c>
      <c r="AA42" s="5" t="inlineStr">
        <is>
          <t>OK</t>
        </is>
      </c>
      <c r="AB42" s="5" t="inlineStr"/>
      <c r="AC42" s="5" t="inlineStr">
        <is>
          <t>41260933039048000162550010000089761000191580</t>
        </is>
      </c>
    </row>
    <row r="43">
      <c r="A43" s="4" t="n">
        <v>46281</v>
      </c>
      <c r="B43" s="4" t="n">
        <v>46281</v>
      </c>
      <c r="C43" s="5" t="n">
        <v>8977</v>
      </c>
      <c r="D43" s="5" t="inlineStr">
        <is>
          <t>1</t>
        </is>
      </c>
      <c r="E43" s="5" t="inlineStr">
        <is>
          <t>Autorizada</t>
        </is>
      </c>
      <c r="F43" s="5" t="inlineStr">
        <is>
          <t>ESAINT COMERCIO DE COSMETICOS LTDA</t>
        </is>
      </c>
      <c r="G43" s="5" t="inlineStr">
        <is>
          <t>31078693000169</t>
        </is>
      </c>
      <c r="H43" s="5" t="inlineStr">
        <is>
          <t>PR</t>
        </is>
      </c>
      <c r="I43" s="5" t="inlineStr">
        <is>
          <t>5124</t>
        </is>
      </c>
      <c r="J43" s="5" t="inlineStr">
        <is>
          <t>INDUSTRIALIZACAO EFETUADA PARA OUTRA EMPRESA</t>
        </is>
      </c>
      <c r="K43" s="6" t="n">
        <v>2740</v>
      </c>
      <c r="L43" s="6" t="n">
        <v>0</v>
      </c>
      <c r="M43" s="6" t="n">
        <v>0</v>
      </c>
      <c r="N43" s="6" t="n">
        <v>0</v>
      </c>
      <c r="O43" s="6" t="n">
        <v>2740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60.28</v>
      </c>
      <c r="V43" s="6" t="n">
        <v>282.22</v>
      </c>
      <c r="W43" s="6" t="n">
        <v>0</v>
      </c>
      <c r="X43" s="6" t="n">
        <v>2740</v>
      </c>
      <c r="Y43" s="5" t="inlineStr">
        <is>
          <t>254 - IND. EFETUADA PARA OUTRA EMP</t>
        </is>
      </c>
      <c r="Z43" s="5" t="inlineStr">
        <is>
          <t>Sim - como está no XML</t>
        </is>
      </c>
      <c r="AA43" s="5" t="inlineStr">
        <is>
          <t>OK</t>
        </is>
      </c>
      <c r="AB43" s="5" t="inlineStr"/>
      <c r="AC43" s="5" t="inlineStr">
        <is>
          <t>41260933039048000162550010000089771000191596</t>
        </is>
      </c>
    </row>
    <row r="44">
      <c r="A44" s="4" t="n">
        <v>46281</v>
      </c>
      <c r="B44" s="4" t="n">
        <v>46281</v>
      </c>
      <c r="C44" s="5" t="n">
        <v>8978</v>
      </c>
      <c r="D44" s="5" t="inlineStr">
        <is>
          <t>1</t>
        </is>
      </c>
      <c r="E44" s="5" t="inlineStr">
        <is>
          <t>Autorizada</t>
        </is>
      </c>
      <c r="F44" s="5" t="inlineStr">
        <is>
          <t>GULA COSMETICOS LTDA</t>
        </is>
      </c>
      <c r="G44" s="5" t="inlineStr">
        <is>
          <t>30415972000108</t>
        </is>
      </c>
      <c r="H44" s="5" t="inlineStr">
        <is>
          <t>PR</t>
        </is>
      </c>
      <c r="I44" s="5" t="inlineStr">
        <is>
          <t>5102</t>
        </is>
      </c>
      <c r="J44" s="5" t="inlineStr">
        <is>
          <t>VENDA DE MERCADORIAS</t>
        </is>
      </c>
      <c r="K44" s="6" t="n">
        <v>1486.08</v>
      </c>
      <c r="L44" s="6" t="n">
        <v>0</v>
      </c>
      <c r="M44" s="6" t="n">
        <v>0</v>
      </c>
      <c r="N44" s="6" t="n">
        <v>0</v>
      </c>
      <c r="O44" s="6" t="n">
        <v>1698.59</v>
      </c>
      <c r="P44" s="6" t="n">
        <v>331.22</v>
      </c>
      <c r="Q44" s="6" t="n">
        <v>0</v>
      </c>
      <c r="R44" s="6" t="n">
        <v>0</v>
      </c>
      <c r="S44" s="6" t="n">
        <v>0</v>
      </c>
      <c r="T44" s="6" t="n">
        <v>212.51</v>
      </c>
      <c r="U44" s="6" t="n">
        <v>32.71</v>
      </c>
      <c r="V44" s="6" t="n">
        <v>153.06</v>
      </c>
      <c r="W44" s="6" t="n">
        <v>0</v>
      </c>
      <c r="X44" s="6" t="n">
        <v>1698.59</v>
      </c>
      <c r="Y44" s="5" t="inlineStr">
        <is>
          <t>200 - VENDAS S/ ST - DENTRO DO EST</t>
        </is>
      </c>
      <c r="Z44" s="5" t="inlineStr">
        <is>
          <t>Sim - como está no XML</t>
        </is>
      </c>
      <c r="AA44" s="5" t="inlineStr">
        <is>
          <t>OK</t>
        </is>
      </c>
      <c r="AB44" s="5" t="inlineStr">
        <is>
          <t>[MÉDIA] CFOP revenda x produção: 9 item(ns) com CFOP 5102 (mercadoria de terceiros) e IPI destacado - produto fabricado pela COSMETICI sai com 5101/6101 (ou 5401 com ST). Conferir CFOP e natureza "VENDA DE MERCADORIAS"</t>
        </is>
      </c>
      <c r="AC44" s="5" t="inlineStr">
        <is>
          <t>41260933039048000162550010000089781000162046</t>
        </is>
      </c>
    </row>
    <row r="45">
      <c r="A45" s="4" t="n">
        <v>46282</v>
      </c>
      <c r="B45" s="4" t="n">
        <v>46282</v>
      </c>
      <c r="C45" s="5" t="n">
        <v>8972</v>
      </c>
      <c r="D45" s="5" t="inlineStr">
        <is>
          <t>1</t>
        </is>
      </c>
      <c r="E45" s="5" t="inlineStr">
        <is>
          <t>Inutilizada</t>
        </is>
      </c>
      <c r="F45" s="5" t="inlineStr">
        <is>
          <t>Número inutilizado - desacordo comercial</t>
        </is>
      </c>
      <c r="G45" s="5" t="inlineStr"/>
      <c r="H45" s="5" t="inlineStr"/>
      <c r="I45" s="5" t="inlineStr"/>
      <c r="J45" s="5" t="inlineStr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5" t="inlineStr"/>
      <c r="Z45" s="5" t="inlineStr">
        <is>
          <t>Sim - como INUTILIZADA (situação 05, só o número)</t>
        </is>
      </c>
      <c r="AA45" s="5" t="inlineStr">
        <is>
          <t>número inutilizado - fora dos relatórios</t>
        </is>
      </c>
      <c r="AB45" s="5" t="inlineStr"/>
      <c r="AC45" s="5" t="inlineStr">
        <is>
          <t>Protocolo 141260375536433</t>
        </is>
      </c>
    </row>
    <row r="46">
      <c r="A46" s="4" t="n">
        <v>46282</v>
      </c>
      <c r="B46" s="4" t="n">
        <v>46282</v>
      </c>
      <c r="C46" s="5" t="n">
        <v>8979</v>
      </c>
      <c r="D46" s="5" t="inlineStr">
        <is>
          <t>1</t>
        </is>
      </c>
      <c r="E46" s="5" t="inlineStr">
        <is>
          <t>Autorizada</t>
        </is>
      </c>
      <c r="F46" s="5" t="inlineStr">
        <is>
          <t>BARBARA KAROLAINY DE SOUZA SILVA</t>
        </is>
      </c>
      <c r="G46" s="5" t="inlineStr">
        <is>
          <t>68070225000158</t>
        </is>
      </c>
      <c r="H46" s="5" t="inlineStr">
        <is>
          <t>GO</t>
        </is>
      </c>
      <c r="I46" s="5" t="inlineStr">
        <is>
          <t>6124</t>
        </is>
      </c>
      <c r="J46" s="5" t="inlineStr">
        <is>
          <t>INDUSTRIALIZACAO EFETUADA PARA OUTRA EMPRESA</t>
        </is>
      </c>
      <c r="K46" s="6" t="n">
        <v>4098</v>
      </c>
      <c r="L46" s="6" t="n">
        <v>0</v>
      </c>
      <c r="M46" s="6" t="n">
        <v>0</v>
      </c>
      <c r="N46" s="6" t="n">
        <v>0</v>
      </c>
      <c r="O46" s="6" t="n">
        <v>4098</v>
      </c>
      <c r="P46" s="6" t="n">
        <v>286.86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90.16</v>
      </c>
      <c r="V46" s="6" t="n">
        <v>422.09</v>
      </c>
      <c r="W46" s="6" t="n">
        <v>0</v>
      </c>
      <c r="X46" s="6" t="n">
        <v>4098</v>
      </c>
      <c r="Y46" s="5" t="inlineStr">
        <is>
          <t>255 - IND. EFETUADA PARA OUTRA EMP</t>
        </is>
      </c>
      <c r="Z46" s="5" t="inlineStr">
        <is>
          <t>Sim - como está no XML</t>
        </is>
      </c>
      <c r="AA46" s="5" t="inlineStr">
        <is>
          <t>OK</t>
        </is>
      </c>
      <c r="AB46" s="5" t="inlineStr">
        <is>
          <t>[MÉDIA] Industrialização sem insumo: CFOP 6124 sem nota de remessa citada, sem retorno 5902/6902 e sem remessa recebida do cliente no mês - informativo (escriturado conforme o XML, CFOP 6124)</t>
        </is>
      </c>
      <c r="AC46" s="5" t="inlineStr">
        <is>
          <t>41260933039048000162550010000089791000217000</t>
        </is>
      </c>
    </row>
    <row r="47">
      <c r="A47" s="4" t="n">
        <v>46282</v>
      </c>
      <c r="B47" s="4" t="n">
        <v>46282</v>
      </c>
      <c r="C47" s="5" t="n">
        <v>8980</v>
      </c>
      <c r="D47" s="5" t="inlineStr">
        <is>
          <t>1</t>
        </is>
      </c>
      <c r="E47" s="5" t="inlineStr">
        <is>
          <t>Autorizada</t>
        </is>
      </c>
      <c r="F47" s="5" t="inlineStr">
        <is>
          <t>GULA COSMETICOS LTDA</t>
        </is>
      </c>
      <c r="G47" s="5" t="inlineStr">
        <is>
          <t>30415972000108</t>
        </is>
      </c>
      <c r="H47" s="5" t="inlineStr">
        <is>
          <t>PR</t>
        </is>
      </c>
      <c r="I47" s="5" t="inlineStr">
        <is>
          <t>5102</t>
        </is>
      </c>
      <c r="J47" s="5" t="inlineStr">
        <is>
          <t>VENDA DE MERCADORIAS</t>
        </is>
      </c>
      <c r="K47" s="6" t="n">
        <v>16317.82</v>
      </c>
      <c r="L47" s="6" t="n">
        <v>0</v>
      </c>
      <c r="M47" s="6" t="n">
        <v>0</v>
      </c>
      <c r="N47" s="6" t="n">
        <v>0</v>
      </c>
      <c r="O47" s="6" t="n">
        <v>17771.69</v>
      </c>
      <c r="P47" s="6" t="n">
        <v>3465.51</v>
      </c>
      <c r="Q47" s="6" t="n">
        <v>0</v>
      </c>
      <c r="R47" s="6" t="n">
        <v>0</v>
      </c>
      <c r="S47" s="6" t="n">
        <v>0</v>
      </c>
      <c r="T47" s="6" t="n">
        <v>1453.87</v>
      </c>
      <c r="U47" s="6" t="n">
        <v>359.02</v>
      </c>
      <c r="V47" s="6" t="n">
        <v>1680.73</v>
      </c>
      <c r="W47" s="6" t="n">
        <v>0</v>
      </c>
      <c r="X47" s="6" t="n">
        <v>17771.69</v>
      </c>
      <c r="Y47" s="5" t="inlineStr">
        <is>
          <t>200 - VENDAS S/ ST - DENTRO DO EST</t>
        </is>
      </c>
      <c r="Z47" s="5" t="inlineStr">
        <is>
          <t>Sim - como está no XML</t>
        </is>
      </c>
      <c r="AA47" s="5" t="inlineStr">
        <is>
          <t>OK</t>
        </is>
      </c>
      <c r="AB47" s="5" t="inlineStr">
        <is>
          <t>[MÉDIA] CFOP revenda x produção: 19 item(ns) com CFOP 5102 (mercadoria de terceiros) e IPI destacado - produto fabricado pela COSMETICI sai com 5101/6101 (ou 5401 com ST). Conferir CFOP e natureza "VENDA DE MERCADORIAS" | [BAIXA] Grupo IPI: 3 item(ns) de produto (CFOP 5102) sem grupo de IPI (CST) - conferir o cadastro do produto no ERP</t>
        </is>
      </c>
      <c r="AC47" s="5" t="inlineStr">
        <is>
          <t>41260933039048000162550010000089801000162060</t>
        </is>
      </c>
    </row>
    <row r="48">
      <c r="A48" s="4" t="n">
        <v>46282</v>
      </c>
      <c r="B48" s="4" t="n">
        <v>46282</v>
      </c>
      <c r="C48" s="5" t="n">
        <v>8981</v>
      </c>
      <c r="D48" s="5" t="inlineStr">
        <is>
          <t>1</t>
        </is>
      </c>
      <c r="E48" s="5" t="inlineStr">
        <is>
          <t>Autorizada</t>
        </is>
      </c>
      <c r="F48" s="5" t="inlineStr">
        <is>
          <t>GULA COSMETICOS LTDA</t>
        </is>
      </c>
      <c r="G48" s="5" t="inlineStr">
        <is>
          <t>30415972000108</t>
        </is>
      </c>
      <c r="H48" s="5" t="inlineStr">
        <is>
          <t>PR</t>
        </is>
      </c>
      <c r="I48" s="5" t="inlineStr">
        <is>
          <t>5102</t>
        </is>
      </c>
      <c r="J48" s="5" t="inlineStr">
        <is>
          <t>VENDA DE MERCADORIAS</t>
        </is>
      </c>
      <c r="K48" s="6" t="n">
        <v>1479.94</v>
      </c>
      <c r="L48" s="6" t="n">
        <v>0</v>
      </c>
      <c r="M48" s="6" t="n">
        <v>0</v>
      </c>
      <c r="N48" s="6" t="n">
        <v>0</v>
      </c>
      <c r="O48" s="6" t="n">
        <v>1691.57</v>
      </c>
      <c r="P48" s="6" t="n">
        <v>329.86</v>
      </c>
      <c r="Q48" s="6" t="n">
        <v>0</v>
      </c>
      <c r="R48" s="6" t="n">
        <v>0</v>
      </c>
      <c r="S48" s="6" t="n">
        <v>0</v>
      </c>
      <c r="T48" s="6" t="n">
        <v>211.63</v>
      </c>
      <c r="U48" s="6" t="n">
        <v>32.56</v>
      </c>
      <c r="V48" s="6" t="n">
        <v>152.43</v>
      </c>
      <c r="W48" s="6" t="n">
        <v>0</v>
      </c>
      <c r="X48" s="6" t="n">
        <v>1691.57</v>
      </c>
      <c r="Y48" s="5" t="inlineStr">
        <is>
          <t>200 - VENDAS S/ ST - DENTRO DO EST</t>
        </is>
      </c>
      <c r="Z48" s="5" t="inlineStr">
        <is>
          <t>Sim - como está no XML</t>
        </is>
      </c>
      <c r="AA48" s="5" t="inlineStr">
        <is>
          <t>OK</t>
        </is>
      </c>
      <c r="AB48" s="5" t="inlineStr">
        <is>
          <t>[MÉDIA] CFOP revenda x produção: 1 item(ns) com CFOP 5102 (mercadoria de terceiros) e IPI destacado - produto fabricado pela COSMETICI sai com 5101/6101 (ou 5401 com ST). Conferir CFOP e natureza "VENDA DE MERCADORIAS"</t>
        </is>
      </c>
      <c r="AC48" s="5" t="inlineStr">
        <is>
          <t>41260933039048000162550010000089811000162076</t>
        </is>
      </c>
    </row>
    <row r="49">
      <c r="A49" s="4" t="n">
        <v>46283</v>
      </c>
      <c r="B49" s="4" t="n">
        <v>46283</v>
      </c>
      <c r="C49" s="5" t="n">
        <v>8982</v>
      </c>
      <c r="D49" s="5" t="inlineStr">
        <is>
          <t>1</t>
        </is>
      </c>
      <c r="E49" s="5" t="inlineStr">
        <is>
          <t>Autorizada</t>
        </is>
      </c>
      <c r="F49" s="5" t="inlineStr">
        <is>
          <t>GULA COSMETICOS LTDA</t>
        </is>
      </c>
      <c r="G49" s="5" t="inlineStr">
        <is>
          <t>30415972000108</t>
        </is>
      </c>
      <c r="H49" s="5" t="inlineStr">
        <is>
          <t>PR</t>
        </is>
      </c>
      <c r="I49" s="5" t="inlineStr">
        <is>
          <t>5102</t>
        </is>
      </c>
      <c r="J49" s="5" t="inlineStr">
        <is>
          <t>VENDA DE MERCADORIAS</t>
        </is>
      </c>
      <c r="K49" s="6" t="n">
        <v>6038.01</v>
      </c>
      <c r="L49" s="6" t="n">
        <v>0</v>
      </c>
      <c r="M49" s="6" t="n">
        <v>0</v>
      </c>
      <c r="N49" s="6" t="n">
        <v>0</v>
      </c>
      <c r="O49" s="6" t="n">
        <v>6901.45</v>
      </c>
      <c r="P49" s="6" t="n">
        <v>1345.78</v>
      </c>
      <c r="Q49" s="6" t="n">
        <v>0</v>
      </c>
      <c r="R49" s="6" t="n">
        <v>0</v>
      </c>
      <c r="S49" s="6" t="n">
        <v>0</v>
      </c>
      <c r="T49" s="6" t="n">
        <v>863.4400000000001</v>
      </c>
      <c r="U49" s="6" t="n">
        <v>132.84</v>
      </c>
      <c r="V49" s="6" t="n">
        <v>621.92</v>
      </c>
      <c r="W49" s="6" t="n">
        <v>0</v>
      </c>
      <c r="X49" s="6" t="n">
        <v>6901.45</v>
      </c>
      <c r="Y49" s="5" t="inlineStr">
        <is>
          <t>200 - VENDAS S/ ST - DENTRO DO EST</t>
        </is>
      </c>
      <c r="Z49" s="5" t="inlineStr">
        <is>
          <t>Sim - como está no XML</t>
        </is>
      </c>
      <c r="AA49" s="5" t="inlineStr">
        <is>
          <t>OK</t>
        </is>
      </c>
      <c r="AB49" s="5" t="inlineStr">
        <is>
          <t>[MÉDIA] CFOP revenda x produção: 1 item(ns) com CFOP 5102 (mercadoria de terceiros) e IPI destacado - produto fabricado pela COSMETICI sai com 5101/6101 (ou 5401 com ST). Conferir CFOP e natureza "VENDA DE MERCADORIAS"</t>
        </is>
      </c>
      <c r="AC49" s="5" t="inlineStr">
        <is>
          <t>41260933039048000162550010000089821000162081</t>
        </is>
      </c>
    </row>
    <row r="50">
      <c r="A50" s="4" t="n">
        <v>46283</v>
      </c>
      <c r="B50" s="4" t="n">
        <v>46283</v>
      </c>
      <c r="C50" s="5" t="n">
        <v>8983</v>
      </c>
      <c r="D50" s="5" t="inlineStr">
        <is>
          <t>1</t>
        </is>
      </c>
      <c r="E50" s="5" t="inlineStr">
        <is>
          <t>Autorizada</t>
        </is>
      </c>
      <c r="F50" s="5" t="inlineStr">
        <is>
          <t>COSMETICS COMERCIO DE PRODUTOS DE BELEZA LTDA</t>
        </is>
      </c>
      <c r="G50" s="5" t="inlineStr">
        <is>
          <t>11008732000144</t>
        </is>
      </c>
      <c r="H50" s="5" t="inlineStr">
        <is>
          <t>CE</t>
        </is>
      </c>
      <c r="I50" s="5" t="inlineStr">
        <is>
          <t>6124</t>
        </is>
      </c>
      <c r="J50" s="5" t="inlineStr">
        <is>
          <t>INDUSTRIALIZACAO EFETUADA PARA OUTRA EMPRESA</t>
        </is>
      </c>
      <c r="K50" s="6" t="n">
        <v>967.5</v>
      </c>
      <c r="L50" s="6" t="n">
        <v>0</v>
      </c>
      <c r="M50" s="6" t="n">
        <v>0</v>
      </c>
      <c r="N50" s="6" t="n">
        <v>0</v>
      </c>
      <c r="O50" s="6" t="n">
        <v>967.5</v>
      </c>
      <c r="P50" s="6" t="n">
        <v>67.75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21.32</v>
      </c>
      <c r="V50" s="6" t="n">
        <v>99.66</v>
      </c>
      <c r="W50" s="6" t="n">
        <v>0</v>
      </c>
      <c r="X50" s="6" t="n">
        <v>967.5</v>
      </c>
      <c r="Y50" s="5" t="inlineStr">
        <is>
          <t>255 - IND. EFETUADA PARA OUTRA EMP</t>
        </is>
      </c>
      <c r="Z50" s="5" t="inlineStr">
        <is>
          <t>Sim - como está no XML</t>
        </is>
      </c>
      <c r="AA50" s="5" t="inlineStr">
        <is>
          <t>OK</t>
        </is>
      </c>
      <c r="AB50" s="5" t="inlineStr"/>
      <c r="AC50" s="5" t="inlineStr">
        <is>
          <t>41260933039048000162550010000089831000120041</t>
        </is>
      </c>
    </row>
    <row r="51">
      <c r="A51" s="4" t="n">
        <v>46283</v>
      </c>
      <c r="B51" s="4" t="n">
        <v>46283</v>
      </c>
      <c r="C51" s="5" t="n">
        <v>8984</v>
      </c>
      <c r="D51" s="5" t="inlineStr">
        <is>
          <t>1</t>
        </is>
      </c>
      <c r="E51" s="5" t="inlineStr">
        <is>
          <t>Autorizada</t>
        </is>
      </c>
      <c r="F51" s="5" t="inlineStr">
        <is>
          <t>COSMETICS COMERCIO DE PRODUTOS DE BELEZA LTDA</t>
        </is>
      </c>
      <c r="G51" s="5" t="inlineStr">
        <is>
          <t>11008732000144</t>
        </is>
      </c>
      <c r="H51" s="5" t="inlineStr">
        <is>
          <t>CE</t>
        </is>
      </c>
      <c r="I51" s="5" t="inlineStr">
        <is>
          <t>6902</t>
        </is>
      </c>
      <c r="J51" s="5" t="inlineStr">
        <is>
          <t>RETORNO DE MERC. PARA INDUSTRIALIZ POR ENCOMENDA</t>
        </is>
      </c>
      <c r="K51" s="6" t="n">
        <v>334.8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334.8</v>
      </c>
      <c r="Y51" s="5" t="inlineStr">
        <is>
          <t>217 - RETORNO REMESSA IND. ENCOMEN</t>
        </is>
      </c>
      <c r="Z51" s="5" t="inlineStr">
        <is>
          <t>Sim - como está no XML</t>
        </is>
      </c>
      <c r="AA51" s="5" t="inlineStr">
        <is>
          <t>OK</t>
        </is>
      </c>
      <c r="AB51" s="5" t="inlineStr"/>
      <c r="AC51" s="5" t="inlineStr">
        <is>
          <t>41260933039048000162550010000089841000120057</t>
        </is>
      </c>
    </row>
    <row r="52">
      <c r="A52" s="4" t="n">
        <v>46286</v>
      </c>
      <c r="B52" s="4" t="n">
        <v>46286</v>
      </c>
      <c r="C52" s="5" t="n">
        <v>8985</v>
      </c>
      <c r="D52" s="5" t="inlineStr">
        <is>
          <t>1</t>
        </is>
      </c>
      <c r="E52" s="5" t="inlineStr">
        <is>
          <t>Autorizada</t>
        </is>
      </c>
      <c r="F52" s="5" t="inlineStr">
        <is>
          <t>R&amp;S COMERCIO DE COSMETICOS LTDA</t>
        </is>
      </c>
      <c r="G52" s="5" t="inlineStr">
        <is>
          <t>17666331000168</t>
        </is>
      </c>
      <c r="H52" s="5" t="inlineStr">
        <is>
          <t>SC</t>
        </is>
      </c>
      <c r="I52" s="5" t="inlineStr">
        <is>
          <t>6124</t>
        </is>
      </c>
      <c r="J52" s="5" t="inlineStr">
        <is>
          <t>INDUSTRIALIZACAO EFETUADA PARA OUTRA EMPRESA</t>
        </is>
      </c>
      <c r="K52" s="6" t="n">
        <v>402</v>
      </c>
      <c r="L52" s="6" t="n">
        <v>0</v>
      </c>
      <c r="M52" s="6" t="n">
        <v>0</v>
      </c>
      <c r="N52" s="6" t="n">
        <v>0</v>
      </c>
      <c r="O52" s="6" t="n">
        <v>402</v>
      </c>
      <c r="P52" s="6" t="n">
        <v>48.24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8.84</v>
      </c>
      <c r="V52" s="6" t="n">
        <v>41.41</v>
      </c>
      <c r="W52" s="6" t="n">
        <v>0</v>
      </c>
      <c r="X52" s="6" t="n">
        <v>402</v>
      </c>
      <c r="Y52" s="5" t="inlineStr">
        <is>
          <t>255 - IND. EFETUADA PARA OUTRA EMP</t>
        </is>
      </c>
      <c r="Z52" s="5" t="inlineStr">
        <is>
          <t>Sim - como está no XML</t>
        </is>
      </c>
      <c r="AA52" s="5" t="inlineStr">
        <is>
          <t>OK</t>
        </is>
      </c>
      <c r="AB52" s="5" t="inlineStr"/>
      <c r="AC52" s="5" t="inlineStr">
        <is>
          <t>41260933039048000162550010000089851000116375</t>
        </is>
      </c>
    </row>
    <row r="53">
      <c r="A53" s="4" t="n">
        <v>46286</v>
      </c>
      <c r="B53" s="4" t="n">
        <v>46286</v>
      </c>
      <c r="C53" s="5" t="n">
        <v>8986</v>
      </c>
      <c r="D53" s="5" t="inlineStr">
        <is>
          <t>1</t>
        </is>
      </c>
      <c r="E53" s="5" t="inlineStr">
        <is>
          <t>Autorizada</t>
        </is>
      </c>
      <c r="F53" s="5" t="inlineStr">
        <is>
          <t>R&amp;S COMERCIO DE COSMETICOS LTDA</t>
        </is>
      </c>
      <c r="G53" s="5" t="inlineStr">
        <is>
          <t>17666331000168</t>
        </is>
      </c>
      <c r="H53" s="5" t="inlineStr">
        <is>
          <t>SC</t>
        </is>
      </c>
      <c r="I53" s="5" t="inlineStr">
        <is>
          <t>6902</t>
        </is>
      </c>
      <c r="J53" s="5" t="inlineStr">
        <is>
          <t>RETORNO DE MERC. PARA INDUSTRIALIZ POR ENCOMENDA</t>
        </is>
      </c>
      <c r="K53" s="6" t="n">
        <v>101.05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101.05</v>
      </c>
      <c r="Y53" s="5" t="inlineStr">
        <is>
          <t>217 - RETORNO REMESSA IND. ENCOMEN</t>
        </is>
      </c>
      <c r="Z53" s="5" t="inlineStr">
        <is>
          <t>Sim - como está no XML</t>
        </is>
      </c>
      <c r="AA53" s="5" t="inlineStr">
        <is>
          <t>OK</t>
        </is>
      </c>
      <c r="AB53" s="5" t="inlineStr"/>
      <c r="AC53" s="5" t="inlineStr">
        <is>
          <t>41260933039048000162550010000089861000116380</t>
        </is>
      </c>
    </row>
    <row r="54">
      <c r="A54" s="4" t="n">
        <v>46286</v>
      </c>
      <c r="B54" s="4" t="n">
        <v>46286</v>
      </c>
      <c r="C54" s="5" t="n">
        <v>8987</v>
      </c>
      <c r="D54" s="5" t="inlineStr">
        <is>
          <t>1</t>
        </is>
      </c>
      <c r="E54" s="5" t="inlineStr">
        <is>
          <t>Autorizada</t>
        </is>
      </c>
      <c r="F54" s="5" t="inlineStr">
        <is>
          <t>MANFIUS COSMETICOS LTDA.</t>
        </is>
      </c>
      <c r="G54" s="5" t="inlineStr">
        <is>
          <t>09344397000103</t>
        </is>
      </c>
      <c r="H54" s="5" t="inlineStr">
        <is>
          <t>SC</t>
        </is>
      </c>
      <c r="I54" s="5" t="inlineStr">
        <is>
          <t>6124</t>
        </is>
      </c>
      <c r="J54" s="5" t="inlineStr">
        <is>
          <t>INDUSTRIALIZACAO EFETUADA PARA OUTRA EMPRESA</t>
        </is>
      </c>
      <c r="K54" s="6" t="n">
        <v>1398</v>
      </c>
      <c r="L54" s="6" t="n">
        <v>0</v>
      </c>
      <c r="M54" s="6" t="n">
        <v>81.27</v>
      </c>
      <c r="N54" s="6" t="n">
        <v>0</v>
      </c>
      <c r="O54" s="6" t="n">
        <v>1479.27</v>
      </c>
      <c r="P54" s="6" t="n">
        <v>177.51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32.54</v>
      </c>
      <c r="V54" s="6" t="n">
        <v>152.37</v>
      </c>
      <c r="W54" s="6" t="n">
        <v>0</v>
      </c>
      <c r="X54" s="6" t="n">
        <v>1479.27</v>
      </c>
      <c r="Y54" s="5" t="inlineStr">
        <is>
          <t>255 - IND. EFETUADA PARA OUTRA EMP</t>
        </is>
      </c>
      <c r="Z54" s="5" t="inlineStr">
        <is>
          <t>Sim - como está no XML</t>
        </is>
      </c>
      <c r="AA54" s="5" t="inlineStr">
        <is>
          <t>OK</t>
        </is>
      </c>
      <c r="AB54" s="5" t="inlineStr"/>
      <c r="AC54" s="5" t="inlineStr">
        <is>
          <t>41260933039048000162550010000089871000126294</t>
        </is>
      </c>
    </row>
    <row r="55">
      <c r="A55" s="4" t="n">
        <v>46286</v>
      </c>
      <c r="B55" s="4" t="n">
        <v>46286</v>
      </c>
      <c r="C55" s="5" t="n">
        <v>8988</v>
      </c>
      <c r="D55" s="5" t="inlineStr">
        <is>
          <t>1</t>
        </is>
      </c>
      <c r="E55" s="5" t="inlineStr">
        <is>
          <t>Autorizada</t>
        </is>
      </c>
      <c r="F55" s="5" t="inlineStr">
        <is>
          <t>MANFIUS COSMETICOS LTDA.</t>
        </is>
      </c>
      <c r="G55" s="5" t="inlineStr">
        <is>
          <t>09344397000103</t>
        </is>
      </c>
      <c r="H55" s="5" t="inlineStr">
        <is>
          <t>SC</t>
        </is>
      </c>
      <c r="I55" s="5" t="inlineStr">
        <is>
          <t>6902</t>
        </is>
      </c>
      <c r="J55" s="5" t="inlineStr">
        <is>
          <t>RETORNO DE MERC. PARA INDUSTRIALIZ POR ENCOMENDA</t>
        </is>
      </c>
      <c r="K55" s="6" t="n">
        <v>41.76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41.76</v>
      </c>
      <c r="Y55" s="5" t="inlineStr">
        <is>
          <t>217 - RETORNO REMESSA IND. ENCOMEN</t>
        </is>
      </c>
      <c r="Z55" s="5" t="inlineStr">
        <is>
          <t>Sim - como está no XML</t>
        </is>
      </c>
      <c r="AA55" s="5" t="inlineStr">
        <is>
          <t>OK</t>
        </is>
      </c>
      <c r="AB55" s="5" t="inlineStr"/>
      <c r="AC55" s="5" t="inlineStr">
        <is>
          <t>41260933039048000162550010000089881000126305</t>
        </is>
      </c>
    </row>
    <row r="56">
      <c r="A56" s="4" t="n">
        <v>46286</v>
      </c>
      <c r="B56" s="4" t="n">
        <v>46286</v>
      </c>
      <c r="C56" s="5" t="n">
        <v>8989</v>
      </c>
      <c r="D56" s="5" t="inlineStr">
        <is>
          <t>1</t>
        </is>
      </c>
      <c r="E56" s="5" t="inlineStr">
        <is>
          <t>Autorizada</t>
        </is>
      </c>
      <c r="F56" s="5" t="inlineStr">
        <is>
          <t>MIX PERFUMARIA LTDA</t>
        </is>
      </c>
      <c r="G56" s="5" t="inlineStr">
        <is>
          <t>06237330000181</t>
        </is>
      </c>
      <c r="H56" s="5" t="inlineStr">
        <is>
          <t>PR</t>
        </is>
      </c>
      <c r="I56" s="5" t="inlineStr">
        <is>
          <t>5124</t>
        </is>
      </c>
      <c r="J56" s="5" t="inlineStr">
        <is>
          <t>INDUSTRIALIZACAO EFETUADA PARA OUTRA EMPRESA</t>
        </is>
      </c>
      <c r="K56" s="6" t="n">
        <v>600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600</v>
      </c>
      <c r="Y56" s="5" t="inlineStr">
        <is>
          <t>254 - IND. EFETUADA PARA OUTRA EMP</t>
        </is>
      </c>
      <c r="Z56" s="5" t="inlineStr">
        <is>
          <t>Sim - como está no XML</t>
        </is>
      </c>
      <c r="AA56" s="5" t="inlineStr">
        <is>
          <t>OK</t>
        </is>
      </c>
      <c r="AB56" s="5" t="inlineStr">
        <is>
          <t>[ALTA] Industrialização x retorno: Item 1 (FRASCO IMPRESSO OX 30V 900ML MIX ETERNIZE) é insumo do cliente (CST 41, PIS 49) com CFOP 5124 de industrialização - o mesmo item foi devolvido também na NF 8993 (5902). Retorno de insumo é 5902/6902; como está, R$ 600.00 entra no acumulador de industrialização e na base do PIS/COFINS e do IRPJ/CSLL</t>
        </is>
      </c>
      <c r="AC56" s="5" t="inlineStr">
        <is>
          <t>41260933039048000162550010000089891000116358</t>
        </is>
      </c>
    </row>
    <row r="57">
      <c r="A57" s="4" t="n">
        <v>46286</v>
      </c>
      <c r="B57" s="4" t="n">
        <v>46286</v>
      </c>
      <c r="C57" s="5" t="n">
        <v>8990</v>
      </c>
      <c r="D57" s="5" t="inlineStr">
        <is>
          <t>1</t>
        </is>
      </c>
      <c r="E57" s="5" t="inlineStr">
        <is>
          <t>Autorizada</t>
        </is>
      </c>
      <c r="F57" s="5" t="inlineStr">
        <is>
          <t>EKTA INDUSTRIA E COMERCIO LTDA</t>
        </is>
      </c>
      <c r="G57" s="5" t="inlineStr">
        <is>
          <t>17093355000175</t>
        </is>
      </c>
      <c r="H57" s="5" t="inlineStr">
        <is>
          <t>RS</t>
        </is>
      </c>
      <c r="I57" s="5" t="inlineStr">
        <is>
          <t>6124</t>
        </is>
      </c>
      <c r="J57" s="5" t="inlineStr">
        <is>
          <t>INDUSTRIALIZACAO EFETUADA PARA OUTRA EMPRESA</t>
        </is>
      </c>
      <c r="K57" s="6" t="n">
        <v>948</v>
      </c>
      <c r="L57" s="6" t="n">
        <v>0</v>
      </c>
      <c r="M57" s="6" t="n">
        <v>114.89</v>
      </c>
      <c r="N57" s="6" t="n">
        <v>30</v>
      </c>
      <c r="O57" s="6" t="n">
        <v>1092.89</v>
      </c>
      <c r="P57" s="6" t="n">
        <v>131.15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24.04</v>
      </c>
      <c r="V57" s="6" t="n">
        <v>112.57</v>
      </c>
      <c r="W57" s="6" t="n">
        <v>0</v>
      </c>
      <c r="X57" s="6" t="n">
        <v>1092.89</v>
      </c>
      <c r="Y57" s="5" t="inlineStr">
        <is>
          <t>255 - IND. EFETUADA PARA OUTRA EMP</t>
        </is>
      </c>
      <c r="Z57" s="5" t="inlineStr">
        <is>
          <t>Sim - como está no XML</t>
        </is>
      </c>
      <c r="AA57" s="5" t="inlineStr">
        <is>
          <t>OK</t>
        </is>
      </c>
      <c r="AB57" s="5" t="inlineStr"/>
      <c r="AC57" s="5" t="inlineStr">
        <is>
          <t>41260933039048000162550010000089901000207184</t>
        </is>
      </c>
    </row>
    <row r="58">
      <c r="A58" s="4" t="n">
        <v>46286</v>
      </c>
      <c r="B58" s="4" t="n">
        <v>46286</v>
      </c>
      <c r="C58" s="5" t="n">
        <v>8991</v>
      </c>
      <c r="D58" s="5" t="inlineStr">
        <is>
          <t>1</t>
        </is>
      </c>
      <c r="E58" s="5" t="inlineStr">
        <is>
          <t>Autorizada</t>
        </is>
      </c>
      <c r="F58" s="5" t="inlineStr">
        <is>
          <t>EKTA INDUSTRIA E COMERCIO LTDA</t>
        </is>
      </c>
      <c r="G58" s="5" t="inlineStr">
        <is>
          <t>17093355000175</t>
        </is>
      </c>
      <c r="H58" s="5" t="inlineStr">
        <is>
          <t>RS</t>
        </is>
      </c>
      <c r="I58" s="5" t="inlineStr">
        <is>
          <t>6902</t>
        </is>
      </c>
      <c r="J58" s="5" t="inlineStr">
        <is>
          <t>RETORNO DE MERC. PARA INDUSTRIALIZ POR ENCOMENDA</t>
        </is>
      </c>
      <c r="K58" s="6" t="n">
        <v>32.64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32.64</v>
      </c>
      <c r="Y58" s="5" t="inlineStr">
        <is>
          <t>217 - RETORNO REMESSA IND. ENCOMEN</t>
        </is>
      </c>
      <c r="Z58" s="5" t="inlineStr">
        <is>
          <t>Sim - como está no XML</t>
        </is>
      </c>
      <c r="AA58" s="5" t="inlineStr">
        <is>
          <t>OK</t>
        </is>
      </c>
      <c r="AB58" s="5" t="inlineStr"/>
      <c r="AC58" s="5" t="inlineStr">
        <is>
          <t>41260933039048000162550010000089911000207190</t>
        </is>
      </c>
    </row>
    <row r="59">
      <c r="A59" s="4" t="n">
        <v>46286</v>
      </c>
      <c r="B59" s="4" t="n">
        <v>46286</v>
      </c>
      <c r="C59" s="5" t="n">
        <v>8992</v>
      </c>
      <c r="D59" s="5" t="inlineStr">
        <is>
          <t>1</t>
        </is>
      </c>
      <c r="E59" s="5" t="inlineStr">
        <is>
          <t>Autorizada</t>
        </is>
      </c>
      <c r="F59" s="5" t="inlineStr">
        <is>
          <t>MIX PERFUMARIA LTDA</t>
        </is>
      </c>
      <c r="G59" s="5" t="inlineStr">
        <is>
          <t>06237330000181</t>
        </is>
      </c>
      <c r="H59" s="5" t="inlineStr">
        <is>
          <t>PR</t>
        </is>
      </c>
      <c r="I59" s="5" t="inlineStr">
        <is>
          <t>5124</t>
        </is>
      </c>
      <c r="J59" s="5" t="inlineStr">
        <is>
          <t>INDUSTRIALIZACAO EFETUADA PARA OUTRA EMPRESA</t>
        </is>
      </c>
      <c r="K59" s="6" t="n">
        <v>3800</v>
      </c>
      <c r="L59" s="6" t="n">
        <v>0</v>
      </c>
      <c r="M59" s="6" t="n">
        <v>0</v>
      </c>
      <c r="N59" s="6" t="n">
        <v>0</v>
      </c>
      <c r="O59" s="6" t="n">
        <v>3800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83.59999999999999</v>
      </c>
      <c r="V59" s="6" t="n">
        <v>391.4</v>
      </c>
      <c r="W59" s="6" t="n">
        <v>0</v>
      </c>
      <c r="X59" s="6" t="n">
        <v>3800</v>
      </c>
      <c r="Y59" s="5" t="inlineStr">
        <is>
          <t>254 - IND. EFETUADA PARA OUTRA EMP</t>
        </is>
      </c>
      <c r="Z59" s="5" t="inlineStr">
        <is>
          <t>Sim - como está no XML</t>
        </is>
      </c>
      <c r="AA59" s="5" t="inlineStr">
        <is>
          <t>OK</t>
        </is>
      </c>
      <c r="AB59" s="5" t="inlineStr"/>
      <c r="AC59" s="5" t="inlineStr">
        <is>
          <t>41260933039048000162550010000089921000116388</t>
        </is>
      </c>
    </row>
    <row r="60">
      <c r="A60" s="4" t="n">
        <v>46286</v>
      </c>
      <c r="B60" s="4" t="n">
        <v>46286</v>
      </c>
      <c r="C60" s="5" t="n">
        <v>8993</v>
      </c>
      <c r="D60" s="5" t="inlineStr">
        <is>
          <t>1</t>
        </is>
      </c>
      <c r="E60" s="5" t="inlineStr">
        <is>
          <t>Autorizada</t>
        </is>
      </c>
      <c r="F60" s="5" t="inlineStr">
        <is>
          <t>MIX PERFUMARIA LTDA</t>
        </is>
      </c>
      <c r="G60" s="5" t="inlineStr">
        <is>
          <t>06237330000181</t>
        </is>
      </c>
      <c r="H60" s="5" t="inlineStr">
        <is>
          <t>PR</t>
        </is>
      </c>
      <c r="I60" s="5" t="inlineStr">
        <is>
          <t>5902</t>
        </is>
      </c>
      <c r="J60" s="5" t="inlineStr">
        <is>
          <t>RETORNO DE MERC. PARA INDUSTRIALIZ POR ENCOMENDA</t>
        </is>
      </c>
      <c r="K60" s="6" t="n">
        <v>600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600</v>
      </c>
      <c r="Y60" s="5" t="inlineStr">
        <is>
          <t>277 - RETORNO DE MERC NA INDUSTR -</t>
        </is>
      </c>
      <c r="Z60" s="5" t="inlineStr">
        <is>
          <t>Sim - como está no XML</t>
        </is>
      </c>
      <c r="AA60" s="5" t="inlineStr">
        <is>
          <t>OK</t>
        </is>
      </c>
      <c r="AB60" s="5" t="inlineStr"/>
      <c r="AC60" s="5" t="inlineStr">
        <is>
          <t>41260933039048000162550010000089931000116393</t>
        </is>
      </c>
    </row>
    <row r="61">
      <c r="A61" s="4" t="n">
        <v>46286</v>
      </c>
      <c r="B61" s="4" t="n">
        <v>46286</v>
      </c>
      <c r="C61" s="5" t="n">
        <v>8994</v>
      </c>
      <c r="D61" s="5" t="inlineStr">
        <is>
          <t>1</t>
        </is>
      </c>
      <c r="E61" s="5" t="inlineStr">
        <is>
          <t>Autorizada</t>
        </is>
      </c>
      <c r="F61" s="5" t="inlineStr">
        <is>
          <t>BELA E CHIC INDUSTRIA E COMERCIO DE COSMETICOS ESPECIAIS LTD</t>
        </is>
      </c>
      <c r="G61" s="5" t="inlineStr">
        <is>
          <t>05268903000171</t>
        </is>
      </c>
      <c r="H61" s="5" t="inlineStr">
        <is>
          <t>RJ</t>
        </is>
      </c>
      <c r="I61" s="5" t="inlineStr">
        <is>
          <t>6124</t>
        </is>
      </c>
      <c r="J61" s="5" t="inlineStr">
        <is>
          <t>INDUSTRIALIZACAO EFETUADA PARA OUTRA EMPRESA</t>
        </is>
      </c>
      <c r="K61" s="6" t="n">
        <v>1350</v>
      </c>
      <c r="L61" s="6" t="n">
        <v>0</v>
      </c>
      <c r="M61" s="6" t="n">
        <v>0</v>
      </c>
      <c r="N61" s="6" t="n">
        <v>0</v>
      </c>
      <c r="O61" s="6" t="n">
        <v>1350</v>
      </c>
      <c r="P61" s="6" t="n">
        <v>162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29.7</v>
      </c>
      <c r="V61" s="6" t="n">
        <v>139.05</v>
      </c>
      <c r="W61" s="6" t="n">
        <v>0</v>
      </c>
      <c r="X61" s="6" t="n">
        <v>1350</v>
      </c>
      <c r="Y61" s="5" t="inlineStr">
        <is>
          <t>255 - IND. EFETUADA PARA OUTRA EMP</t>
        </is>
      </c>
      <c r="Z61" s="5" t="inlineStr">
        <is>
          <t>Sim - como está no XML</t>
        </is>
      </c>
      <c r="AA61" s="5" t="inlineStr">
        <is>
          <t>OK</t>
        </is>
      </c>
      <c r="AB61" s="5" t="inlineStr"/>
      <c r="AC61" s="5" t="inlineStr">
        <is>
          <t>41260933039048000162550010000089941000166452</t>
        </is>
      </c>
    </row>
    <row r="62">
      <c r="A62" s="4" t="n">
        <v>46286</v>
      </c>
      <c r="B62" s="4" t="n">
        <v>46286</v>
      </c>
      <c r="C62" s="5" t="n">
        <v>8995</v>
      </c>
      <c r="D62" s="5" t="inlineStr">
        <is>
          <t>1</t>
        </is>
      </c>
      <c r="E62" s="5" t="inlineStr">
        <is>
          <t>Autorizada</t>
        </is>
      </c>
      <c r="F62" s="5" t="inlineStr">
        <is>
          <t>BELA E CHIC INDUSTRIA E COMERCIO DE COSMETICOS ESPECIAIS LTD</t>
        </is>
      </c>
      <c r="G62" s="5" t="inlineStr">
        <is>
          <t>05268903000171</t>
        </is>
      </c>
      <c r="H62" s="5" t="inlineStr">
        <is>
          <t>RJ</t>
        </is>
      </c>
      <c r="I62" s="5" t="inlineStr">
        <is>
          <t>6902</t>
        </is>
      </c>
      <c r="J62" s="5" t="inlineStr">
        <is>
          <t>RETORNO DE MERC. PARA INDUSTRIALIZ POR ENCOMENDA</t>
        </is>
      </c>
      <c r="K62" s="6" t="n">
        <v>73.8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73.8</v>
      </c>
      <c r="Y62" s="5" t="inlineStr">
        <is>
          <t>217 - RETORNO REMESSA IND. ENCOMEN</t>
        </is>
      </c>
      <c r="Z62" s="5" t="inlineStr">
        <is>
          <t>Sim - como está no XML</t>
        </is>
      </c>
      <c r="AA62" s="5" t="inlineStr">
        <is>
          <t>OK</t>
        </is>
      </c>
      <c r="AB62" s="5" t="inlineStr"/>
      <c r="AC62" s="5" t="inlineStr">
        <is>
          <t>41260933039048000162550010000089951000166468</t>
        </is>
      </c>
    </row>
    <row r="63">
      <c r="A63" s="4" t="n">
        <v>46286</v>
      </c>
      <c r="B63" s="4" t="n">
        <v>46286</v>
      </c>
      <c r="C63" s="5" t="n">
        <v>8996</v>
      </c>
      <c r="D63" s="5" t="inlineStr">
        <is>
          <t>1</t>
        </is>
      </c>
      <c r="E63" s="5" t="inlineStr">
        <is>
          <t>Autorizada</t>
        </is>
      </c>
      <c r="F63" s="5" t="inlineStr">
        <is>
          <t>A F VOLCAO</t>
        </is>
      </c>
      <c r="G63" s="5" t="inlineStr">
        <is>
          <t>08601753000164</t>
        </is>
      </c>
      <c r="H63" s="5" t="inlineStr">
        <is>
          <t>RS</t>
        </is>
      </c>
      <c r="I63" s="5" t="inlineStr">
        <is>
          <t>6124</t>
        </is>
      </c>
      <c r="J63" s="5" t="inlineStr">
        <is>
          <t>INDUSTRIALIZACAO EFETUADA PARA OUTRA EMPRESA</t>
        </is>
      </c>
      <c r="K63" s="6" t="n">
        <v>2394</v>
      </c>
      <c r="L63" s="6" t="n">
        <v>0</v>
      </c>
      <c r="M63" s="6" t="n">
        <v>106</v>
      </c>
      <c r="N63" s="6" t="n">
        <v>0</v>
      </c>
      <c r="O63" s="6" t="n">
        <v>2500</v>
      </c>
      <c r="P63" s="6" t="n">
        <v>300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55</v>
      </c>
      <c r="V63" s="6" t="n">
        <v>257.48</v>
      </c>
      <c r="W63" s="6" t="n">
        <v>0</v>
      </c>
      <c r="X63" s="6" t="n">
        <v>2500</v>
      </c>
      <c r="Y63" s="5" t="inlineStr">
        <is>
          <t>255 - IND. EFETUADA PARA OUTRA EMP</t>
        </is>
      </c>
      <c r="Z63" s="5" t="inlineStr">
        <is>
          <t>Sim - como está no XML</t>
        </is>
      </c>
      <c r="AA63" s="5" t="inlineStr">
        <is>
          <t>OK</t>
        </is>
      </c>
      <c r="AB63" s="5" t="inlineStr"/>
      <c r="AC63" s="5" t="inlineStr">
        <is>
          <t>41260933039048000162550010000089961000197247</t>
        </is>
      </c>
    </row>
    <row r="64">
      <c r="A64" s="4" t="n">
        <v>46286</v>
      </c>
      <c r="B64" s="4" t="n">
        <v>46286</v>
      </c>
      <c r="C64" s="5" t="n">
        <v>8997</v>
      </c>
      <c r="D64" s="5" t="inlineStr">
        <is>
          <t>1</t>
        </is>
      </c>
      <c r="E64" s="5" t="inlineStr">
        <is>
          <t>Autorizada</t>
        </is>
      </c>
      <c r="F64" s="5" t="inlineStr">
        <is>
          <t>A F VOLCAO</t>
        </is>
      </c>
      <c r="G64" s="5" t="inlineStr">
        <is>
          <t>08601753000164</t>
        </is>
      </c>
      <c r="H64" s="5" t="inlineStr">
        <is>
          <t>RS</t>
        </is>
      </c>
      <c r="I64" s="5" t="inlineStr">
        <is>
          <t>6902</t>
        </is>
      </c>
      <c r="J64" s="5" t="inlineStr">
        <is>
          <t>RETORNO DE MERC. PARA INDUSTRIALIZ POR ENCOMENDA</t>
        </is>
      </c>
      <c r="K64" s="6" t="n">
        <v>252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252</v>
      </c>
      <c r="Y64" s="5" t="inlineStr">
        <is>
          <t>217 - RETORNO REMESSA IND. ENCOMEN</t>
        </is>
      </c>
      <c r="Z64" s="5" t="inlineStr">
        <is>
          <t>Sim - como está no XML</t>
        </is>
      </c>
      <c r="AA64" s="5" t="inlineStr">
        <is>
          <t>OK</t>
        </is>
      </c>
      <c r="AB64" s="5" t="inlineStr"/>
      <c r="AC64" s="5" t="inlineStr">
        <is>
          <t>41260933039048000162550010000089971000197252</t>
        </is>
      </c>
    </row>
    <row r="65">
      <c r="A65" s="4" t="n">
        <v>46287</v>
      </c>
      <c r="B65" s="4" t="n">
        <v>46287</v>
      </c>
      <c r="C65" s="5" t="n">
        <v>8998</v>
      </c>
      <c r="D65" s="5" t="inlineStr">
        <is>
          <t>1</t>
        </is>
      </c>
      <c r="E65" s="5" t="inlineStr">
        <is>
          <t>Autorizada</t>
        </is>
      </c>
      <c r="F65" s="5" t="inlineStr">
        <is>
          <t>TB PRO COSMETICS - DISTRIBUIDORA E EVENTOS LTDA</t>
        </is>
      </c>
      <c r="G65" s="5" t="inlineStr">
        <is>
          <t>14626489000116</t>
        </is>
      </c>
      <c r="H65" s="5" t="inlineStr">
        <is>
          <t>RJ</t>
        </is>
      </c>
      <c r="I65" s="5" t="inlineStr">
        <is>
          <t>6101</t>
        </is>
      </c>
      <c r="J65" s="5" t="inlineStr">
        <is>
          <t>VENDA DE PRODUCAO DO ESTABELECIMENTO</t>
        </is>
      </c>
      <c r="K65" s="6" t="n">
        <v>852</v>
      </c>
      <c r="L65" s="6" t="n">
        <v>0</v>
      </c>
      <c r="M65" s="6" t="n">
        <v>237</v>
      </c>
      <c r="N65" s="6" t="n">
        <v>0</v>
      </c>
      <c r="O65" s="6" t="n">
        <v>1089</v>
      </c>
      <c r="P65" s="6" t="n">
        <v>130.68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23.96</v>
      </c>
      <c r="V65" s="6" t="n">
        <v>112.17</v>
      </c>
      <c r="W65" s="6" t="n">
        <v>0</v>
      </c>
      <c r="X65" s="6" t="n">
        <v>1089</v>
      </c>
      <c r="Y65" s="5" t="inlineStr">
        <is>
          <t>201 - VENDA S/ ST - FORA DO ESTADO</t>
        </is>
      </c>
      <c r="Z65" s="5" t="inlineStr">
        <is>
          <t>Sim - como está no XML</t>
        </is>
      </c>
      <c r="AA65" s="5" t="inlineStr">
        <is>
          <t>OK</t>
        </is>
      </c>
      <c r="AB65" s="5" t="inlineStr"/>
      <c r="AC65" s="5" t="inlineStr">
        <is>
          <t>41260933039048000162550010000089981000186398</t>
        </is>
      </c>
    </row>
    <row r="66">
      <c r="A66" s="4" t="n">
        <v>46287</v>
      </c>
      <c r="B66" s="4" t="n">
        <v>46287</v>
      </c>
      <c r="C66" s="5" t="n">
        <v>8999</v>
      </c>
      <c r="D66" s="5" t="inlineStr">
        <is>
          <t>1</t>
        </is>
      </c>
      <c r="E66" s="5" t="inlineStr">
        <is>
          <t>Autorizada</t>
        </is>
      </c>
      <c r="F66" s="5" t="inlineStr">
        <is>
          <t>MIX COSMETICOS LTDA</t>
        </is>
      </c>
      <c r="G66" s="5" t="inlineStr">
        <is>
          <t>27697083000176</t>
        </is>
      </c>
      <c r="H66" s="5" t="inlineStr">
        <is>
          <t>MS</t>
        </is>
      </c>
      <c r="I66" s="5" t="inlineStr">
        <is>
          <t>6124</t>
        </is>
      </c>
      <c r="J66" s="5" t="inlineStr">
        <is>
          <t>INDUSTRIALIZACAO EFETUADA PARA OUTRA EMPRESA</t>
        </is>
      </c>
      <c r="K66" s="6" t="n">
        <v>948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948</v>
      </c>
      <c r="Y66" s="5" t="inlineStr">
        <is>
          <t>255 - IND. EFETUADA PARA OUTRA EMP</t>
        </is>
      </c>
      <c r="Z66" s="5" t="inlineStr">
        <is>
          <t>Sim - como está no XML</t>
        </is>
      </c>
      <c r="AA66" s="5" t="inlineStr">
        <is>
          <t>OK</t>
        </is>
      </c>
      <c r="AB66" s="5" t="inlineStr">
        <is>
          <t>[ALTA] Industrialização x retorno: Item 1 (FRASCO IMPRESSO OX 20V 900ML MIX ETERNIZE) é insumo do cliente (CST 41, PIS 49) com CFOP 6124 de industrialização - o mesmo item foi devolvido também na NF 9005 (6902). Retorno de insumo é 5902/6902; como está, R$ 948.00 entra no acumulador de industrialização e na base do PIS/COFINS e do IRPJ/CSLL</t>
        </is>
      </c>
      <c r="AC66" s="5" t="inlineStr">
        <is>
          <t>41260933039048000162550010000089991000116443</t>
        </is>
      </c>
    </row>
    <row r="67">
      <c r="A67" s="4" t="n">
        <v>46287</v>
      </c>
      <c r="B67" s="4" t="n">
        <v>46287</v>
      </c>
      <c r="C67" s="5" t="n">
        <v>9000</v>
      </c>
      <c r="D67" s="5" t="inlineStr">
        <is>
          <t>1</t>
        </is>
      </c>
      <c r="E67" s="5" t="inlineStr">
        <is>
          <t>Autorizada</t>
        </is>
      </c>
      <c r="F67" s="5" t="inlineStr">
        <is>
          <t>MIX PERFUMARIA LTDA</t>
        </is>
      </c>
      <c r="G67" s="5" t="inlineStr">
        <is>
          <t>06237330000181</t>
        </is>
      </c>
      <c r="H67" s="5" t="inlineStr">
        <is>
          <t>PR</t>
        </is>
      </c>
      <c r="I67" s="5" t="inlineStr">
        <is>
          <t>5124</t>
        </is>
      </c>
      <c r="J67" s="5" t="inlineStr">
        <is>
          <t>INDUSTRIALIZACAO EFETUADA PARA OUTRA EMPRESA</t>
        </is>
      </c>
      <c r="K67" s="6" t="n">
        <v>556.5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556.5</v>
      </c>
      <c r="Y67" s="5" t="inlineStr">
        <is>
          <t>254 - IND. EFETUADA PARA OUTRA EMP</t>
        </is>
      </c>
      <c r="Z67" s="5" t="inlineStr">
        <is>
          <t>Sim - como está no XML</t>
        </is>
      </c>
      <c r="AA67" s="5" t="inlineStr">
        <is>
          <t>OK</t>
        </is>
      </c>
      <c r="AB67" s="5" t="inlineStr">
        <is>
          <t>[ALTA] Industrialização x retorno: Item 1 (FRASCO IMPRESSO OX 20V 900ML MIX ETERNIZE) é insumo do cliente (CST 41, PIS 49) com CFOP 5124 de industrialização - o mesmo item foi devolvido também na NF 9002 (5902). Retorno de insumo é 5902/6902; como está, R$ 556.50 entra no acumulador de industrialização e na base do PIS/COFINS e do IRPJ/CSLL</t>
        </is>
      </c>
      <c r="AC67" s="5" t="inlineStr">
        <is>
          <t>41260933039048000162550010000090001000116462</t>
        </is>
      </c>
    </row>
    <row r="68">
      <c r="A68" s="4" t="n">
        <v>46287</v>
      </c>
      <c r="B68" s="4" t="n">
        <v>46287</v>
      </c>
      <c r="C68" s="5" t="n">
        <v>9001</v>
      </c>
      <c r="D68" s="5" t="inlineStr">
        <is>
          <t>1</t>
        </is>
      </c>
      <c r="E68" s="5" t="inlineStr">
        <is>
          <t>Autorizada</t>
        </is>
      </c>
      <c r="F68" s="5" t="inlineStr">
        <is>
          <t>MIX PERFUMARIA LTDA</t>
        </is>
      </c>
      <c r="G68" s="5" t="inlineStr">
        <is>
          <t>06237330000181</t>
        </is>
      </c>
      <c r="H68" s="5" t="inlineStr">
        <is>
          <t>PR</t>
        </is>
      </c>
      <c r="I68" s="5" t="inlineStr">
        <is>
          <t>5124</t>
        </is>
      </c>
      <c r="J68" s="5" t="inlineStr">
        <is>
          <t>INDUSTRIALIZACAO EFETUADA PARA OUTRA EMPRESA</t>
        </is>
      </c>
      <c r="K68" s="6" t="n">
        <v>3691.45</v>
      </c>
      <c r="L68" s="6" t="n">
        <v>0</v>
      </c>
      <c r="M68" s="6" t="n">
        <v>0</v>
      </c>
      <c r="N68" s="6" t="n">
        <v>0</v>
      </c>
      <c r="O68" s="6" t="n">
        <v>3691.45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81.20999999999999</v>
      </c>
      <c r="V68" s="6" t="n">
        <v>380.22</v>
      </c>
      <c r="W68" s="6" t="n">
        <v>0</v>
      </c>
      <c r="X68" s="6" t="n">
        <v>3691.45</v>
      </c>
      <c r="Y68" s="5" t="inlineStr">
        <is>
          <t>254 - IND. EFETUADA PARA OUTRA EMP</t>
        </is>
      </c>
      <c r="Z68" s="5" t="inlineStr">
        <is>
          <t>Sim - como está no XML</t>
        </is>
      </c>
      <c r="AA68" s="5" t="inlineStr">
        <is>
          <t>OK</t>
        </is>
      </c>
      <c r="AB68" s="5" t="inlineStr"/>
      <c r="AC68" s="5" t="inlineStr">
        <is>
          <t>41260933039048000162550010000090011000116478</t>
        </is>
      </c>
    </row>
    <row r="69">
      <c r="A69" s="4" t="n">
        <v>46287</v>
      </c>
      <c r="B69" s="4" t="n">
        <v>46287</v>
      </c>
      <c r="C69" s="5" t="n">
        <v>9002</v>
      </c>
      <c r="D69" s="5" t="inlineStr">
        <is>
          <t>1</t>
        </is>
      </c>
      <c r="E69" s="5" t="inlineStr">
        <is>
          <t>Autorizada</t>
        </is>
      </c>
      <c r="F69" s="5" t="inlineStr">
        <is>
          <t>MIX PERFUMARIA LTDA</t>
        </is>
      </c>
      <c r="G69" s="5" t="inlineStr">
        <is>
          <t>06237330000181</t>
        </is>
      </c>
      <c r="H69" s="5" t="inlineStr">
        <is>
          <t>PR</t>
        </is>
      </c>
      <c r="I69" s="5" t="inlineStr">
        <is>
          <t>5902</t>
        </is>
      </c>
      <c r="J69" s="5" t="inlineStr">
        <is>
          <t>RETORNO DE MERC. PARA INDUSTRIALIZ POR ENCOMENDA</t>
        </is>
      </c>
      <c r="K69" s="6" t="n">
        <v>556.5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556.5</v>
      </c>
      <c r="Y69" s="5" t="inlineStr">
        <is>
          <t>277 - RETORNO DE MERC NA INDUSTR -</t>
        </is>
      </c>
      <c r="Z69" s="5" t="inlineStr">
        <is>
          <t>Sim - como está no XML</t>
        </is>
      </c>
      <c r="AA69" s="5" t="inlineStr">
        <is>
          <t>OK</t>
        </is>
      </c>
      <c r="AB69" s="5" t="inlineStr"/>
      <c r="AC69" s="5" t="inlineStr">
        <is>
          <t>41260933039048000162550010000090021000116483</t>
        </is>
      </c>
    </row>
    <row r="70">
      <c r="A70" s="4" t="n">
        <v>46288</v>
      </c>
      <c r="B70" s="4" t="n">
        <v>46288</v>
      </c>
      <c r="C70" s="5" t="n">
        <v>9003</v>
      </c>
      <c r="D70" s="5" t="inlineStr">
        <is>
          <t>1</t>
        </is>
      </c>
      <c r="E70" s="5" t="inlineStr">
        <is>
          <t>Autorizada</t>
        </is>
      </c>
      <c r="F70" s="5" t="inlineStr">
        <is>
          <t>GULA COSMETICOS LTDA</t>
        </is>
      </c>
      <c r="G70" s="5" t="inlineStr">
        <is>
          <t>30415972000108</t>
        </is>
      </c>
      <c r="H70" s="5" t="inlineStr">
        <is>
          <t>PR</t>
        </is>
      </c>
      <c r="I70" s="5" t="inlineStr">
        <is>
          <t>5102</t>
        </is>
      </c>
      <c r="J70" s="5" t="inlineStr">
        <is>
          <t>VENDA DE MERCADORIAS</t>
        </is>
      </c>
      <c r="K70" s="6" t="n">
        <v>137.16</v>
      </c>
      <c r="L70" s="6" t="n">
        <v>0</v>
      </c>
      <c r="M70" s="6" t="n">
        <v>0</v>
      </c>
      <c r="N70" s="6" t="n">
        <v>0</v>
      </c>
      <c r="O70" s="6" t="n">
        <v>156.77</v>
      </c>
      <c r="P70" s="6" t="n">
        <v>30.57</v>
      </c>
      <c r="Q70" s="6" t="n">
        <v>0</v>
      </c>
      <c r="R70" s="6" t="n">
        <v>0</v>
      </c>
      <c r="S70" s="6" t="n">
        <v>0</v>
      </c>
      <c r="T70" s="6" t="n">
        <v>19.61</v>
      </c>
      <c r="U70" s="6" t="n">
        <v>3.03</v>
      </c>
      <c r="V70" s="6" t="n">
        <v>14.12</v>
      </c>
      <c r="W70" s="6" t="n">
        <v>0</v>
      </c>
      <c r="X70" s="6" t="n">
        <v>156.77</v>
      </c>
      <c r="Y70" s="5" t="inlineStr">
        <is>
          <t>200 - VENDAS S/ ST - DENTRO DO EST</t>
        </is>
      </c>
      <c r="Z70" s="5" t="inlineStr">
        <is>
          <t>Sim - como está no XML</t>
        </is>
      </c>
      <c r="AA70" s="5" t="inlineStr">
        <is>
          <t>OK</t>
        </is>
      </c>
      <c r="AB70" s="5" t="inlineStr">
        <is>
          <t>[MÉDIA] CFOP revenda x produção: 4 item(ns) com CFOP 5102 (mercadoria de terceiros) e IPI destacado - produto fabricado pela COSMETICI sai com 5101/6101 (ou 5401 com ST). Conferir CFOP e natureza "VENDA DE MERCADORIAS"</t>
        </is>
      </c>
      <c r="AC70" s="5" t="inlineStr">
        <is>
          <t>41260933039048000162550010000090031000162296</t>
        </is>
      </c>
    </row>
    <row r="71">
      <c r="A71" s="4" t="n">
        <v>46288</v>
      </c>
      <c r="B71" s="4" t="n">
        <v>46288</v>
      </c>
      <c r="C71" s="5" t="n">
        <v>9004</v>
      </c>
      <c r="D71" s="5" t="inlineStr">
        <is>
          <t>1</t>
        </is>
      </c>
      <c r="E71" s="5" t="inlineStr">
        <is>
          <t>Autorizada</t>
        </is>
      </c>
      <c r="F71" s="5" t="inlineStr">
        <is>
          <t>MIX COSMETICOS LTDA</t>
        </is>
      </c>
      <c r="G71" s="5" t="inlineStr">
        <is>
          <t>27697083000176</t>
        </is>
      </c>
      <c r="H71" s="5" t="inlineStr">
        <is>
          <t>MS</t>
        </is>
      </c>
      <c r="I71" s="5" t="inlineStr">
        <is>
          <t>6124</t>
        </is>
      </c>
      <c r="J71" s="5" t="inlineStr">
        <is>
          <t>INDUSTRIALIZACAO EFETUADA PARA OUTRA EMPRESA</t>
        </is>
      </c>
      <c r="K71" s="6" t="n">
        <v>6288.4</v>
      </c>
      <c r="L71" s="6" t="n">
        <v>0</v>
      </c>
      <c r="M71" s="6" t="n">
        <v>0</v>
      </c>
      <c r="N71" s="6" t="n">
        <v>0</v>
      </c>
      <c r="O71" s="6" t="n">
        <v>6288.4</v>
      </c>
      <c r="P71" s="6" t="n">
        <v>440.19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138.34</v>
      </c>
      <c r="V71" s="6" t="n">
        <v>647.71</v>
      </c>
      <c r="W71" s="6" t="n">
        <v>0</v>
      </c>
      <c r="X71" s="6" t="n">
        <v>6288.4</v>
      </c>
      <c r="Y71" s="5" t="inlineStr">
        <is>
          <t>255 - IND. EFETUADA PARA OUTRA EMP</t>
        </is>
      </c>
      <c r="Z71" s="5" t="inlineStr">
        <is>
          <t>Sim - como está no XML</t>
        </is>
      </c>
      <c r="AA71" s="5" t="inlineStr">
        <is>
          <t>OK</t>
        </is>
      </c>
      <c r="AB71" s="5" t="inlineStr"/>
      <c r="AC71" s="5" t="inlineStr">
        <is>
          <t>41260933039048000162550010000090041000116496</t>
        </is>
      </c>
    </row>
    <row r="72">
      <c r="A72" s="4" t="n">
        <v>46288</v>
      </c>
      <c r="B72" s="4" t="n">
        <v>46288</v>
      </c>
      <c r="C72" s="5" t="n">
        <v>9005</v>
      </c>
      <c r="D72" s="5" t="inlineStr">
        <is>
          <t>1</t>
        </is>
      </c>
      <c r="E72" s="5" t="inlineStr">
        <is>
          <t>Autorizada</t>
        </is>
      </c>
      <c r="F72" s="5" t="inlineStr">
        <is>
          <t>MIX COSMETICOS LTDA</t>
        </is>
      </c>
      <c r="G72" s="5" t="inlineStr">
        <is>
          <t>27697083000176</t>
        </is>
      </c>
      <c r="H72" s="5" t="inlineStr">
        <is>
          <t>MS</t>
        </is>
      </c>
      <c r="I72" s="5" t="inlineStr">
        <is>
          <t>6902</t>
        </is>
      </c>
      <c r="J72" s="5" t="inlineStr">
        <is>
          <t>RETORNO DE MERC. PARA INDUSTRIALIZ POR ENCOMENDA</t>
        </is>
      </c>
      <c r="K72" s="6" t="n">
        <v>948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948</v>
      </c>
      <c r="Y72" s="5" t="inlineStr">
        <is>
          <t>217 - RETORNO REMESSA IND. ENCOMEN</t>
        </is>
      </c>
      <c r="Z72" s="5" t="inlineStr">
        <is>
          <t>Sim - como está no XML</t>
        </is>
      </c>
      <c r="AA72" s="5" t="inlineStr">
        <is>
          <t>OK</t>
        </is>
      </c>
      <c r="AB72" s="5" t="inlineStr"/>
      <c r="AC72" s="5" t="inlineStr">
        <is>
          <t>41260933039048000162550010000090051000116507</t>
        </is>
      </c>
    </row>
    <row r="73">
      <c r="A73" s="4" t="n">
        <v>46288</v>
      </c>
      <c r="B73" s="4" t="n">
        <v>46288</v>
      </c>
      <c r="C73" s="5" t="n">
        <v>9006</v>
      </c>
      <c r="D73" s="5" t="inlineStr">
        <is>
          <t>1</t>
        </is>
      </c>
      <c r="E73" s="5" t="inlineStr">
        <is>
          <t>Autorizada</t>
        </is>
      </c>
      <c r="F73" s="5" t="inlineStr">
        <is>
          <t>GULA COSMETICOS LTDA</t>
        </is>
      </c>
      <c r="G73" s="5" t="inlineStr">
        <is>
          <t>30415972000108</t>
        </is>
      </c>
      <c r="H73" s="5" t="inlineStr">
        <is>
          <t>PR</t>
        </is>
      </c>
      <c r="I73" s="5" t="inlineStr">
        <is>
          <t>5102</t>
        </is>
      </c>
      <c r="J73" s="5" t="inlineStr">
        <is>
          <t>VENDA DE MERCADORIAS</t>
        </is>
      </c>
      <c r="K73" s="6" t="n">
        <v>264.86</v>
      </c>
      <c r="L73" s="6" t="n">
        <v>0</v>
      </c>
      <c r="M73" s="6" t="n">
        <v>0</v>
      </c>
      <c r="N73" s="6" t="n">
        <v>0</v>
      </c>
      <c r="O73" s="6" t="n">
        <v>302.73</v>
      </c>
      <c r="P73" s="6" t="n">
        <v>59.03</v>
      </c>
      <c r="Q73" s="6" t="n">
        <v>0</v>
      </c>
      <c r="R73" s="6" t="n">
        <v>0</v>
      </c>
      <c r="S73" s="6" t="n">
        <v>0</v>
      </c>
      <c r="T73" s="6" t="n">
        <v>37.87</v>
      </c>
      <c r="U73" s="6" t="n">
        <v>5.83</v>
      </c>
      <c r="V73" s="6" t="n">
        <v>27.28</v>
      </c>
      <c r="W73" s="6" t="n">
        <v>0</v>
      </c>
      <c r="X73" s="6" t="n">
        <v>302.73</v>
      </c>
      <c r="Y73" s="5" t="inlineStr">
        <is>
          <t>200 - VENDAS S/ ST - DENTRO DO EST</t>
        </is>
      </c>
      <c r="Z73" s="5" t="inlineStr">
        <is>
          <t>Sim - como está no XML</t>
        </is>
      </c>
      <c r="AA73" s="5" t="inlineStr">
        <is>
          <t>OK</t>
        </is>
      </c>
      <c r="AB73" s="5" t="inlineStr">
        <is>
          <t>[MÉDIA] CFOP revenda x produção: 1 item(ns) com CFOP 5102 (mercadoria de terceiros) e IPI destacado - produto fabricado pela COSMETICI sai com 5101/6101 (ou 5401 com ST). Conferir CFOP e natureza "VENDA DE MERCADORIAS"</t>
        </is>
      </c>
      <c r="AC73" s="5" t="inlineStr">
        <is>
          <t>41260933039048000162550010000090061000162328</t>
        </is>
      </c>
    </row>
    <row r="74">
      <c r="A74" s="4" t="n">
        <v>46288</v>
      </c>
      <c r="B74" s="4" t="n">
        <v>46288</v>
      </c>
      <c r="C74" s="5" t="n">
        <v>9007</v>
      </c>
      <c r="D74" s="5" t="inlineStr">
        <is>
          <t>1</t>
        </is>
      </c>
      <c r="E74" s="5" t="inlineStr">
        <is>
          <t>Autorizada</t>
        </is>
      </c>
      <c r="F74" s="5" t="inlineStr">
        <is>
          <t>SHED PROFESSIONAL LTDA</t>
        </is>
      </c>
      <c r="G74" s="5" t="inlineStr">
        <is>
          <t>32232914000174</t>
        </is>
      </c>
      <c r="H74" s="5" t="inlineStr">
        <is>
          <t>PR</t>
        </is>
      </c>
      <c r="I74" s="5" t="inlineStr">
        <is>
          <t>5124</t>
        </is>
      </c>
      <c r="J74" s="5" t="inlineStr">
        <is>
          <t>INDUSTRIALIZACAO EFETUADA PARA OUTRA EMPRESA</t>
        </is>
      </c>
      <c r="K74" s="6" t="n">
        <v>1422</v>
      </c>
      <c r="L74" s="6" t="n">
        <v>0</v>
      </c>
      <c r="M74" s="6" t="n">
        <v>0</v>
      </c>
      <c r="N74" s="6" t="n">
        <v>0</v>
      </c>
      <c r="O74" s="6" t="n">
        <v>1422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31.29</v>
      </c>
      <c r="V74" s="6" t="n">
        <v>146.46</v>
      </c>
      <c r="W74" s="6" t="n">
        <v>0</v>
      </c>
      <c r="X74" s="6" t="n">
        <v>1422</v>
      </c>
      <c r="Y74" s="5" t="inlineStr">
        <is>
          <t>254 - IND. EFETUADA PARA OUTRA EMP</t>
        </is>
      </c>
      <c r="Z74" s="5" t="inlineStr">
        <is>
          <t>Sim - como está no XML</t>
        </is>
      </c>
      <c r="AA74" s="5" t="inlineStr">
        <is>
          <t>OK</t>
        </is>
      </c>
      <c r="AB74" s="5" t="inlineStr"/>
      <c r="AC74" s="5" t="inlineStr">
        <is>
          <t>41260933039048000162550010000090071000170263</t>
        </is>
      </c>
    </row>
    <row r="75">
      <c r="A75" s="4" t="n">
        <v>46288</v>
      </c>
      <c r="B75" s="4" t="n">
        <v>46288</v>
      </c>
      <c r="C75" s="5" t="n">
        <v>9008</v>
      </c>
      <c r="D75" s="5" t="inlineStr">
        <is>
          <t>1</t>
        </is>
      </c>
      <c r="E75" s="5" t="inlineStr">
        <is>
          <t>Autorizada</t>
        </is>
      </c>
      <c r="F75" s="5" t="inlineStr">
        <is>
          <t>SHED PROFESSIONAL LTDA</t>
        </is>
      </c>
      <c r="G75" s="5" t="inlineStr">
        <is>
          <t>32232914000174</t>
        </is>
      </c>
      <c r="H75" s="5" t="inlineStr">
        <is>
          <t>PR</t>
        </is>
      </c>
      <c r="I75" s="5" t="inlineStr">
        <is>
          <t>5902</t>
        </is>
      </c>
      <c r="J75" s="5" t="inlineStr">
        <is>
          <t>RETORNO DE MERC. PARA INDUSTRIALIZ POR ENCOMENDA</t>
        </is>
      </c>
      <c r="K75" s="6" t="n">
        <v>149.4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149.4</v>
      </c>
      <c r="Y75" s="5" t="inlineStr">
        <is>
          <t>277 - RETORNO DE MERC NA INDUSTR -</t>
        </is>
      </c>
      <c r="Z75" s="5" t="inlineStr">
        <is>
          <t>Sim - como está no XML</t>
        </is>
      </c>
      <c r="AA75" s="5" t="inlineStr">
        <is>
          <t>OK</t>
        </is>
      </c>
      <c r="AB75" s="5" t="inlineStr"/>
      <c r="AC75" s="5" t="inlineStr">
        <is>
          <t>41260933039048000162550010000090081000170279</t>
        </is>
      </c>
    </row>
    <row r="76">
      <c r="A76" s="4" t="n">
        <v>46288</v>
      </c>
      <c r="B76" s="4" t="n">
        <v>46288</v>
      </c>
      <c r="C76" s="5" t="n">
        <v>9009</v>
      </c>
      <c r="D76" s="5" t="inlineStr">
        <is>
          <t>1</t>
        </is>
      </c>
      <c r="E76" s="5" t="inlineStr">
        <is>
          <t>Autorizada</t>
        </is>
      </c>
      <c r="F76" s="5" t="inlineStr">
        <is>
          <t>GULA COSMETICOS LTDA</t>
        </is>
      </c>
      <c r="G76" s="5" t="inlineStr">
        <is>
          <t>30415972000108</t>
        </is>
      </c>
      <c r="H76" s="5" t="inlineStr">
        <is>
          <t>PR</t>
        </is>
      </c>
      <c r="I76" s="5" t="inlineStr">
        <is>
          <t>5102</t>
        </is>
      </c>
      <c r="J76" s="5" t="inlineStr">
        <is>
          <t>VENDA DE MERCADORIAS</t>
        </is>
      </c>
      <c r="K76" s="6" t="n">
        <v>1338.12</v>
      </c>
      <c r="L76" s="6" t="n">
        <v>0</v>
      </c>
      <c r="M76" s="6" t="n">
        <v>0</v>
      </c>
      <c r="N76" s="6" t="n">
        <v>0</v>
      </c>
      <c r="O76" s="6" t="n">
        <v>1529.47</v>
      </c>
      <c r="P76" s="6" t="n">
        <v>298.24</v>
      </c>
      <c r="Q76" s="6" t="n">
        <v>0</v>
      </c>
      <c r="R76" s="6" t="n">
        <v>0</v>
      </c>
      <c r="S76" s="6" t="n">
        <v>0</v>
      </c>
      <c r="T76" s="6" t="n">
        <v>191.35</v>
      </c>
      <c r="U76" s="6" t="n">
        <v>29.44</v>
      </c>
      <c r="V76" s="6" t="n">
        <v>137.83</v>
      </c>
      <c r="W76" s="6" t="n">
        <v>0</v>
      </c>
      <c r="X76" s="6" t="n">
        <v>1529.47</v>
      </c>
      <c r="Y76" s="5" t="inlineStr">
        <is>
          <t>200 - VENDAS S/ ST - DENTRO DO EST</t>
        </is>
      </c>
      <c r="Z76" s="5" t="inlineStr">
        <is>
          <t>Sim - como está no XML</t>
        </is>
      </c>
      <c r="AA76" s="5" t="inlineStr">
        <is>
          <t>OK</t>
        </is>
      </c>
      <c r="AB76" s="5" t="inlineStr">
        <is>
          <t>[MÉDIA] CFOP revenda x produção: 5 item(ns) com CFOP 5102 (mercadoria de terceiros) e IPI destacado - produto fabricado pela COSMETICI sai com 5101/6101 (ou 5401 com ST). Conferir CFOP e natureza "VENDA DE MERCADORIAS"</t>
        </is>
      </c>
      <c r="AC76" s="5" t="inlineStr">
        <is>
          <t>41260933039048000162550010000090091000162354</t>
        </is>
      </c>
    </row>
    <row r="77">
      <c r="A77" s="4" t="n">
        <v>46289</v>
      </c>
      <c r="B77" s="4" t="n">
        <v>46289</v>
      </c>
      <c r="C77" s="5" t="n">
        <v>9010</v>
      </c>
      <c r="D77" s="5" t="inlineStr">
        <is>
          <t>1</t>
        </is>
      </c>
      <c r="E77" s="5" t="inlineStr">
        <is>
          <t>Autorizada</t>
        </is>
      </c>
      <c r="F77" s="5" t="inlineStr">
        <is>
          <t>MURANO INDUSTRIA E COMERCIO DE COSMETICOS LTDA</t>
        </is>
      </c>
      <c r="G77" s="5" t="inlineStr">
        <is>
          <t>55278288000152</t>
        </is>
      </c>
      <c r="H77" s="5" t="inlineStr">
        <is>
          <t>CE</t>
        </is>
      </c>
      <c r="I77" s="5" t="inlineStr">
        <is>
          <t>6124</t>
        </is>
      </c>
      <c r="J77" s="5" t="inlineStr">
        <is>
          <t>INDUSTRIALIZACAO EFETUADA PARA OUTRA EMPRESA</t>
        </is>
      </c>
      <c r="K77" s="6" t="n">
        <v>9414</v>
      </c>
      <c r="L77" s="6" t="n">
        <v>0</v>
      </c>
      <c r="M77" s="6" t="n">
        <v>741.09</v>
      </c>
      <c r="N77" s="6" t="n">
        <v>716.48</v>
      </c>
      <c r="O77" s="6" t="n">
        <v>10871.57</v>
      </c>
      <c r="P77" s="6" t="n">
        <v>761.0599999999999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239.14</v>
      </c>
      <c r="V77" s="6" t="n">
        <v>1119.76</v>
      </c>
      <c r="W77" s="6" t="n">
        <v>0</v>
      </c>
      <c r="X77" s="6" t="n">
        <v>10871.57</v>
      </c>
      <c r="Y77" s="5" t="inlineStr">
        <is>
          <t>255 - IND. EFETUADA PARA OUTRA EMP</t>
        </is>
      </c>
      <c r="Z77" s="5" t="inlineStr">
        <is>
          <t>Sim - como está no XML</t>
        </is>
      </c>
      <c r="AA77" s="5" t="inlineStr">
        <is>
          <t>OK</t>
        </is>
      </c>
      <c r="AB77" s="5" t="inlineStr"/>
      <c r="AC77" s="5" t="inlineStr">
        <is>
          <t>41260933039048000162550010000090101000217818</t>
        </is>
      </c>
    </row>
    <row r="78">
      <c r="A78" s="4" t="n">
        <v>46289</v>
      </c>
      <c r="B78" s="4" t="n">
        <v>46289</v>
      </c>
      <c r="C78" s="5" t="n">
        <v>9011</v>
      </c>
      <c r="D78" s="5" t="inlineStr">
        <is>
          <t>1</t>
        </is>
      </c>
      <c r="E78" s="5" t="inlineStr">
        <is>
          <t>Autorizada</t>
        </is>
      </c>
      <c r="F78" s="5" t="inlineStr">
        <is>
          <t>GULA COSMETICOS LTDA</t>
        </is>
      </c>
      <c r="G78" s="5" t="inlineStr">
        <is>
          <t>30415972000108</t>
        </is>
      </c>
      <c r="H78" s="5" t="inlineStr">
        <is>
          <t>PR</t>
        </is>
      </c>
      <c r="I78" s="5" t="inlineStr">
        <is>
          <t>5101</t>
        </is>
      </c>
      <c r="J78" s="5" t="inlineStr">
        <is>
          <t>VENDA DE PRODUCAO DO ESTABELECIMENTO</t>
        </is>
      </c>
      <c r="K78" s="6" t="n">
        <v>240</v>
      </c>
      <c r="L78" s="6" t="n">
        <v>0</v>
      </c>
      <c r="M78" s="6" t="n">
        <v>0</v>
      </c>
      <c r="N78" s="6" t="n">
        <v>0</v>
      </c>
      <c r="O78" s="6" t="n">
        <v>240</v>
      </c>
      <c r="P78" s="6" t="n">
        <v>46.8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5.28</v>
      </c>
      <c r="V78" s="6" t="n">
        <v>24.72</v>
      </c>
      <c r="W78" s="6" t="n">
        <v>0</v>
      </c>
      <c r="X78" s="6" t="n">
        <v>240</v>
      </c>
      <c r="Y78" s="5" t="inlineStr">
        <is>
          <t>200 - VENDAS S/ ST - DENTRO DO EST</t>
        </is>
      </c>
      <c r="Z78" s="5" t="inlineStr">
        <is>
          <t>Sim - como está no XML</t>
        </is>
      </c>
      <c r="AA78" s="5" t="inlineStr">
        <is>
          <t>OK</t>
        </is>
      </c>
      <c r="AB78" s="5" t="inlineStr"/>
      <c r="AC78" s="5" t="inlineStr">
        <is>
          <t>41260933039048000162550010000090111000162379</t>
        </is>
      </c>
    </row>
    <row r="79">
      <c r="A79" s="4" t="n">
        <v>46289</v>
      </c>
      <c r="B79" s="4" t="n">
        <v>46289</v>
      </c>
      <c r="C79" s="5" t="n">
        <v>9012</v>
      </c>
      <c r="D79" s="5" t="inlineStr">
        <is>
          <t>1</t>
        </is>
      </c>
      <c r="E79" s="5" t="inlineStr">
        <is>
          <t>Autorizada</t>
        </is>
      </c>
      <c r="F79" s="5" t="inlineStr">
        <is>
          <t>MURANO INDUSTRIA E COMERCIO DE COSMETICOS LTDA</t>
        </is>
      </c>
      <c r="G79" s="5" t="inlineStr">
        <is>
          <t>55278288000152</t>
        </is>
      </c>
      <c r="H79" s="5" t="inlineStr">
        <is>
          <t>CE</t>
        </is>
      </c>
      <c r="I79" s="5" t="inlineStr">
        <is>
          <t>6902</t>
        </is>
      </c>
      <c r="J79" s="5" t="inlineStr">
        <is>
          <t>RETORNO DE MERC. PARA INDUSTRIALIZ POR ENCOMENDA</t>
        </is>
      </c>
      <c r="K79" s="6" t="n">
        <v>982.8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982.8</v>
      </c>
      <c r="Y79" s="5" t="inlineStr">
        <is>
          <t>217 - RETORNO REMESSA IND. ENCOMEN</t>
        </is>
      </c>
      <c r="Z79" s="5" t="inlineStr">
        <is>
          <t>Sim - como está no XML</t>
        </is>
      </c>
      <c r="AA79" s="5" t="inlineStr">
        <is>
          <t>OK</t>
        </is>
      </c>
      <c r="AB79" s="5" t="inlineStr"/>
      <c r="AC79" s="5" t="inlineStr">
        <is>
          <t>41260933039048000162550010000090121000217839</t>
        </is>
      </c>
    </row>
    <row r="80">
      <c r="A80" s="4" t="n">
        <v>46293</v>
      </c>
      <c r="B80" s="4" t="n">
        <v>46293</v>
      </c>
      <c r="C80" s="5" t="n">
        <v>9013</v>
      </c>
      <c r="D80" s="5" t="inlineStr">
        <is>
          <t>1</t>
        </is>
      </c>
      <c r="E80" s="5" t="inlineStr">
        <is>
          <t>Autorizada</t>
        </is>
      </c>
      <c r="F80" s="5" t="inlineStr">
        <is>
          <t>GULA COSMETICOS LTDA</t>
        </is>
      </c>
      <c r="G80" s="5" t="inlineStr">
        <is>
          <t>30415972000108</t>
        </is>
      </c>
      <c r="H80" s="5" t="inlineStr">
        <is>
          <t>PR</t>
        </is>
      </c>
      <c r="I80" s="5" t="inlineStr">
        <is>
          <t>5102</t>
        </is>
      </c>
      <c r="J80" s="5" t="inlineStr">
        <is>
          <t>VENDA DE MERCADORIAS</t>
        </is>
      </c>
      <c r="K80" s="6" t="n">
        <v>541.08</v>
      </c>
      <c r="L80" s="6" t="n">
        <v>0</v>
      </c>
      <c r="M80" s="6" t="n">
        <v>0</v>
      </c>
      <c r="N80" s="6" t="n">
        <v>0</v>
      </c>
      <c r="O80" s="6" t="n">
        <v>618.45</v>
      </c>
      <c r="P80" s="6" t="n">
        <v>120.6</v>
      </c>
      <c r="Q80" s="6" t="n">
        <v>0</v>
      </c>
      <c r="R80" s="6" t="n">
        <v>0</v>
      </c>
      <c r="S80" s="6" t="n">
        <v>0</v>
      </c>
      <c r="T80" s="6" t="n">
        <v>77.37</v>
      </c>
      <c r="U80" s="6" t="n">
        <v>11.9</v>
      </c>
      <c r="V80" s="6" t="n">
        <v>55.73</v>
      </c>
      <c r="W80" s="6" t="n">
        <v>0</v>
      </c>
      <c r="X80" s="6" t="n">
        <v>618.45</v>
      </c>
      <c r="Y80" s="5" t="inlineStr">
        <is>
          <t>200 - VENDAS S/ ST - DENTRO DO EST</t>
        </is>
      </c>
      <c r="Z80" s="5" t="inlineStr">
        <is>
          <t>Sim - como está no XML</t>
        </is>
      </c>
      <c r="AA80" s="5" t="inlineStr">
        <is>
          <t>OK</t>
        </is>
      </c>
      <c r="AB80" s="5" t="inlineStr">
        <is>
          <t>[MÉDIA] CFOP revenda x produção: 2 item(ns) com CFOP 5102 (mercadoria de terceiros) e IPI destacado - produto fabricado pela COSMETICI sai com 5101/6101 (ou 5401 com ST). Conferir CFOP e natureza "VENDA DE MERCADORIAS"</t>
        </is>
      </c>
      <c r="AC80" s="5" t="inlineStr">
        <is>
          <t>41260933039048000162550010000090131000162390</t>
        </is>
      </c>
    </row>
    <row r="81">
      <c r="A81" s="4" t="n">
        <v>46293</v>
      </c>
      <c r="B81" s="4" t="n">
        <v>46293</v>
      </c>
      <c r="C81" s="5" t="n">
        <v>9014</v>
      </c>
      <c r="D81" s="5" t="inlineStr">
        <is>
          <t>1</t>
        </is>
      </c>
      <c r="E81" s="5" t="inlineStr">
        <is>
          <t>Autorizada</t>
        </is>
      </c>
      <c r="F81" s="5" t="inlineStr">
        <is>
          <t>GULA COSMETICOS LTDA</t>
        </is>
      </c>
      <c r="G81" s="5" t="inlineStr">
        <is>
          <t>30415972000108</t>
        </is>
      </c>
      <c r="H81" s="5" t="inlineStr">
        <is>
          <t>PR</t>
        </is>
      </c>
      <c r="I81" s="5" t="inlineStr">
        <is>
          <t>5102</t>
        </is>
      </c>
      <c r="J81" s="5" t="inlineStr">
        <is>
          <t>VENDA DE MERCADORIAS</t>
        </is>
      </c>
      <c r="K81" s="6" t="n">
        <v>129.6</v>
      </c>
      <c r="L81" s="6" t="n">
        <v>0</v>
      </c>
      <c r="M81" s="6" t="n">
        <v>0</v>
      </c>
      <c r="N81" s="6" t="n">
        <v>0</v>
      </c>
      <c r="O81" s="6" t="n">
        <v>148.13</v>
      </c>
      <c r="P81" s="6" t="n">
        <v>28.89</v>
      </c>
      <c r="Q81" s="6" t="n">
        <v>0</v>
      </c>
      <c r="R81" s="6" t="n">
        <v>0</v>
      </c>
      <c r="S81" s="6" t="n">
        <v>0</v>
      </c>
      <c r="T81" s="6" t="n">
        <v>18.53</v>
      </c>
      <c r="U81" s="6" t="n">
        <v>2.85</v>
      </c>
      <c r="V81" s="6" t="n">
        <v>13.35</v>
      </c>
      <c r="W81" s="6" t="n">
        <v>0</v>
      </c>
      <c r="X81" s="6" t="n">
        <v>148.13</v>
      </c>
      <c r="Y81" s="5" t="inlineStr">
        <is>
          <t>200 - VENDAS S/ ST - DENTRO DO EST</t>
        </is>
      </c>
      <c r="Z81" s="5" t="inlineStr">
        <is>
          <t>Sim - como está no XML</t>
        </is>
      </c>
      <c r="AA81" s="5" t="inlineStr">
        <is>
          <t>OK</t>
        </is>
      </c>
      <c r="AB81" s="5" t="inlineStr">
        <is>
          <t>[MÉDIA] CFOP revenda x produção: 1 item(ns) com CFOP 5102 (mercadoria de terceiros) e IPI destacado - produto fabricado pela COSMETICI sai com 5101/6101 (ou 5401 com ST). Conferir CFOP e natureza "VENDA DE MERCADORIAS"</t>
        </is>
      </c>
      <c r="AC81" s="5" t="inlineStr">
        <is>
          <t>41260933039048000162550010000090141000162400</t>
        </is>
      </c>
    </row>
    <row r="82">
      <c r="A82" s="4" t="n">
        <v>46293</v>
      </c>
      <c r="B82" s="4" t="n">
        <v>46293</v>
      </c>
      <c r="C82" s="5" t="n">
        <v>9015</v>
      </c>
      <c r="D82" s="5" t="inlineStr">
        <is>
          <t>1</t>
        </is>
      </c>
      <c r="E82" s="5" t="inlineStr">
        <is>
          <t>Autorizada</t>
        </is>
      </c>
      <c r="F82" s="5" t="inlineStr">
        <is>
          <t>FABIANO RODRIGUES AMARAL</t>
        </is>
      </c>
      <c r="G82" s="5" t="inlineStr">
        <is>
          <t>31778342000160</t>
        </is>
      </c>
      <c r="H82" s="5" t="inlineStr">
        <is>
          <t>RS</t>
        </is>
      </c>
      <c r="I82" s="5" t="inlineStr">
        <is>
          <t>6101</t>
        </is>
      </c>
      <c r="J82" s="5" t="inlineStr">
        <is>
          <t>VENDA DE PRODUCAO DO ESTABELECIMENTO</t>
        </is>
      </c>
      <c r="K82" s="6" t="n">
        <v>1022.4</v>
      </c>
      <c r="L82" s="6" t="n">
        <v>170.4</v>
      </c>
      <c r="M82" s="6" t="n">
        <v>0</v>
      </c>
      <c r="N82" s="6" t="n">
        <v>0</v>
      </c>
      <c r="O82" s="6" t="n">
        <v>852</v>
      </c>
      <c r="P82" s="6" t="n">
        <v>102.24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18.74</v>
      </c>
      <c r="V82" s="6" t="n">
        <v>87.76000000000001</v>
      </c>
      <c r="W82" s="6" t="n">
        <v>0</v>
      </c>
      <c r="X82" s="6" t="n">
        <v>852</v>
      </c>
      <c r="Y82" s="5" t="inlineStr">
        <is>
          <t>201 - VENDA S/ ST - FORA DO ESTADO</t>
        </is>
      </c>
      <c r="Z82" s="5" t="inlineStr">
        <is>
          <t>Sim - como está no XML</t>
        </is>
      </c>
      <c r="AA82" s="5" t="inlineStr">
        <is>
          <t>OK</t>
        </is>
      </c>
      <c r="AB82" s="5" t="inlineStr"/>
      <c r="AC82" s="5" t="inlineStr">
        <is>
          <t>41260933039048000162550010000090151000189365</t>
        </is>
      </c>
    </row>
    <row r="83">
      <c r="A83" s="4" t="n">
        <v>46293</v>
      </c>
      <c r="B83" s="4" t="n">
        <v>46293</v>
      </c>
      <c r="C83" s="5" t="n">
        <v>9016</v>
      </c>
      <c r="D83" s="5" t="inlineStr">
        <is>
          <t>1</t>
        </is>
      </c>
      <c r="E83" s="5" t="inlineStr">
        <is>
          <t>Autorizada</t>
        </is>
      </c>
      <c r="F83" s="5" t="inlineStr">
        <is>
          <t>LUAN PATRICK LORANDI 02301366057</t>
        </is>
      </c>
      <c r="G83" s="5" t="inlineStr">
        <is>
          <t>31604155000160</t>
        </is>
      </c>
      <c r="H83" s="5" t="inlineStr">
        <is>
          <t>RS</t>
        </is>
      </c>
      <c r="I83" s="5" t="inlineStr">
        <is>
          <t>6124</t>
        </is>
      </c>
      <c r="J83" s="5" t="inlineStr">
        <is>
          <t>INDUSTRIALIZACAO EFETUADA PARA OUTRA EMPRESA</t>
        </is>
      </c>
      <c r="K83" s="6" t="n">
        <v>6528</v>
      </c>
      <c r="L83" s="6" t="n">
        <v>0</v>
      </c>
      <c r="M83" s="6" t="n">
        <v>199</v>
      </c>
      <c r="N83" s="6" t="n">
        <v>0</v>
      </c>
      <c r="O83" s="6" t="n">
        <v>6727</v>
      </c>
      <c r="P83" s="6" t="n">
        <v>807.24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147.99</v>
      </c>
      <c r="V83" s="6" t="n">
        <v>692.89</v>
      </c>
      <c r="W83" s="6" t="n">
        <v>0</v>
      </c>
      <c r="X83" s="6" t="n">
        <v>6727</v>
      </c>
      <c r="Y83" s="5" t="inlineStr">
        <is>
          <t>255 - IND. EFETUADA PARA OUTRA EMP</t>
        </is>
      </c>
      <c r="Z83" s="5" t="inlineStr">
        <is>
          <t>Sim - como está no XML</t>
        </is>
      </c>
      <c r="AA83" s="5" t="inlineStr">
        <is>
          <t>OK</t>
        </is>
      </c>
      <c r="AB83" s="5" t="inlineStr"/>
      <c r="AC83" s="5" t="inlineStr">
        <is>
          <t>41260933039048000162550010000090161000163304</t>
        </is>
      </c>
    </row>
    <row r="84">
      <c r="A84" s="4" t="n">
        <v>46293</v>
      </c>
      <c r="B84" s="4" t="n">
        <v>46293</v>
      </c>
      <c r="C84" s="5" t="n">
        <v>9017</v>
      </c>
      <c r="D84" s="5" t="inlineStr">
        <is>
          <t>1</t>
        </is>
      </c>
      <c r="E84" s="5" t="inlineStr">
        <is>
          <t>Autorizada</t>
        </is>
      </c>
      <c r="F84" s="5" t="inlineStr">
        <is>
          <t>LUAN PATRICK LORANDI 02301366057</t>
        </is>
      </c>
      <c r="G84" s="5" t="inlineStr">
        <is>
          <t>31604155000160</t>
        </is>
      </c>
      <c r="H84" s="5" t="inlineStr">
        <is>
          <t>RS</t>
        </is>
      </c>
      <c r="I84" s="5" t="inlineStr">
        <is>
          <t>6902</t>
        </is>
      </c>
      <c r="J84" s="5" t="inlineStr">
        <is>
          <t>RETORNO DE MERC. PARA INDUSTRIALIZ POR ENCOMENDA</t>
        </is>
      </c>
      <c r="K84" s="6" t="n">
        <v>547.2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547.2</v>
      </c>
      <c r="Y84" s="5" t="inlineStr">
        <is>
          <t>217 - RETORNO REMESSA IND. ENCOMEN</t>
        </is>
      </c>
      <c r="Z84" s="5" t="inlineStr">
        <is>
          <t>Sim - como está no XML</t>
        </is>
      </c>
      <c r="AA84" s="5" t="inlineStr">
        <is>
          <t>OK</t>
        </is>
      </c>
      <c r="AB84" s="5" t="inlineStr">
        <is>
          <t>[BAIXA] Industrialização x retorno: Informações complementares citam a industrialização na NF 9015, que é de FABIANO RODRIGUES AMARAL (CFOP 6101); a do cliente é a NF 9016 - informativo, escriturado como está no XML</t>
        </is>
      </c>
      <c r="AC84" s="5" t="inlineStr">
        <is>
          <t>41260933039048000162550010000090171000163310</t>
        </is>
      </c>
    </row>
    <row r="85">
      <c r="A85" s="4" t="n">
        <v>46294</v>
      </c>
      <c r="B85" s="4" t="n">
        <v>46294</v>
      </c>
      <c r="C85" s="5" t="n">
        <v>9018</v>
      </c>
      <c r="D85" s="5" t="inlineStr">
        <is>
          <t>1</t>
        </is>
      </c>
      <c r="E85" s="5" t="inlineStr">
        <is>
          <t>Autorizada</t>
        </is>
      </c>
      <c r="F85" s="5" t="inlineStr">
        <is>
          <t>GULA COSMETICOS LTDA</t>
        </is>
      </c>
      <c r="G85" s="5" t="inlineStr">
        <is>
          <t>30415972000108</t>
        </is>
      </c>
      <c r="H85" s="5" t="inlineStr">
        <is>
          <t>PR</t>
        </is>
      </c>
      <c r="I85" s="5" t="inlineStr">
        <is>
          <t>5102</t>
        </is>
      </c>
      <c r="J85" s="5" t="inlineStr">
        <is>
          <t>VENDA DE MERCADORIAS</t>
        </is>
      </c>
      <c r="K85" s="6" t="n">
        <v>122.04</v>
      </c>
      <c r="L85" s="6" t="n">
        <v>0</v>
      </c>
      <c r="M85" s="6" t="n">
        <v>0</v>
      </c>
      <c r="N85" s="6" t="n">
        <v>0</v>
      </c>
      <c r="O85" s="6" t="n">
        <v>139.49</v>
      </c>
      <c r="P85" s="6" t="n">
        <v>27.2</v>
      </c>
      <c r="Q85" s="6" t="n">
        <v>0</v>
      </c>
      <c r="R85" s="6" t="n">
        <v>0</v>
      </c>
      <c r="S85" s="6" t="n">
        <v>0</v>
      </c>
      <c r="T85" s="6" t="n">
        <v>17.45</v>
      </c>
      <c r="U85" s="6" t="n">
        <v>2.68</v>
      </c>
      <c r="V85" s="6" t="n">
        <v>12.57</v>
      </c>
      <c r="W85" s="6" t="n">
        <v>0</v>
      </c>
      <c r="X85" s="6" t="n">
        <v>139.49</v>
      </c>
      <c r="Y85" s="5" t="inlineStr">
        <is>
          <t>200 - VENDAS S/ ST - DENTRO DO EST</t>
        </is>
      </c>
      <c r="Z85" s="5" t="inlineStr">
        <is>
          <t>Sim - como está no XML</t>
        </is>
      </c>
      <c r="AA85" s="5" t="inlineStr">
        <is>
          <t>OK</t>
        </is>
      </c>
      <c r="AB85" s="5" t="inlineStr">
        <is>
          <t>[MÉDIA] CFOP revenda x produção: 1 item(ns) com CFOP 5102 (mercadoria de terceiros) e IPI destacado - produto fabricado pela COSMETICI sai com 5101/6101 (ou 5401 com ST). Conferir CFOP e natureza "VENDA DE MERCADORIAS"</t>
        </is>
      </c>
      <c r="AC85" s="5" t="inlineStr">
        <is>
          <t>41260933039048000162550010000090181000162442</t>
        </is>
      </c>
    </row>
    <row r="86">
      <c r="A86" s="4" t="n">
        <v>46294</v>
      </c>
      <c r="B86" s="4" t="n">
        <v>46294</v>
      </c>
      <c r="C86" s="5" t="n">
        <v>9019</v>
      </c>
      <c r="D86" s="5" t="inlineStr">
        <is>
          <t>1</t>
        </is>
      </c>
      <c r="E86" s="5" t="inlineStr">
        <is>
          <t>Autorizada</t>
        </is>
      </c>
      <c r="F86" s="5" t="inlineStr">
        <is>
          <t>GULA COSMETICOS LTDA</t>
        </is>
      </c>
      <c r="G86" s="5" t="inlineStr">
        <is>
          <t>30415972000108</t>
        </is>
      </c>
      <c r="H86" s="5" t="inlineStr">
        <is>
          <t>PR</t>
        </is>
      </c>
      <c r="I86" s="5" t="inlineStr">
        <is>
          <t>5102</t>
        </is>
      </c>
      <c r="J86" s="5" t="inlineStr">
        <is>
          <t>VENDA DE MERCADORIAS</t>
        </is>
      </c>
      <c r="K86" s="6" t="n">
        <v>5267.16</v>
      </c>
      <c r="L86" s="6" t="n">
        <v>0</v>
      </c>
      <c r="M86" s="6" t="n">
        <v>0</v>
      </c>
      <c r="N86" s="6" t="n">
        <v>0</v>
      </c>
      <c r="O86" s="6" t="n">
        <v>6020.39</v>
      </c>
      <c r="P86" s="6" t="n">
        <v>1173.93</v>
      </c>
      <c r="Q86" s="6" t="n">
        <v>0</v>
      </c>
      <c r="R86" s="6" t="n">
        <v>0</v>
      </c>
      <c r="S86" s="6" t="n">
        <v>0</v>
      </c>
      <c r="T86" s="6" t="n">
        <v>753.23</v>
      </c>
      <c r="U86" s="6" t="n">
        <v>115.91</v>
      </c>
      <c r="V86" s="6" t="n">
        <v>542.49</v>
      </c>
      <c r="W86" s="6" t="n">
        <v>0</v>
      </c>
      <c r="X86" s="6" t="n">
        <v>6020.39</v>
      </c>
      <c r="Y86" s="5" t="inlineStr">
        <is>
          <t>200 - VENDAS S/ ST - DENTRO DO EST</t>
        </is>
      </c>
      <c r="Z86" s="5" t="inlineStr">
        <is>
          <t>Sim - como está no XML</t>
        </is>
      </c>
      <c r="AA86" s="5" t="inlineStr">
        <is>
          <t>OK</t>
        </is>
      </c>
      <c r="AB86" s="5" t="inlineStr">
        <is>
          <t>[MÉDIA] CFOP revenda x produção: 41 item(ns) com CFOP 5102 (mercadoria de terceiros) e IPI destacado - produto fabricado pela COSMETICI sai com 5101/6101 (ou 5401 com ST). Conferir CFOP e natureza "VENDA DE MERCADORIAS"</t>
        </is>
      </c>
      <c r="AC86" s="5" t="inlineStr">
        <is>
          <t>41260933039048000162550010000090191000162458</t>
        </is>
      </c>
    </row>
    <row r="87">
      <c r="A87" s="4" t="n">
        <v>46294</v>
      </c>
      <c r="B87" s="4" t="n">
        <v>46294</v>
      </c>
      <c r="C87" s="5" t="n">
        <v>9020</v>
      </c>
      <c r="D87" s="5" t="inlineStr">
        <is>
          <t>1</t>
        </is>
      </c>
      <c r="E87" s="5" t="inlineStr">
        <is>
          <t>Autorizada</t>
        </is>
      </c>
      <c r="F87" s="5" t="inlineStr">
        <is>
          <t>MIX COSMETICOS LTDA</t>
        </is>
      </c>
      <c r="G87" s="5" t="inlineStr">
        <is>
          <t>27697083000176</t>
        </is>
      </c>
      <c r="H87" s="5" t="inlineStr">
        <is>
          <t>MS</t>
        </is>
      </c>
      <c r="I87" s="5" t="inlineStr">
        <is>
          <t>6124</t>
        </is>
      </c>
      <c r="J87" s="5" t="inlineStr">
        <is>
          <t>INDUSTRIALIZACAO EFETUADA PARA OUTRA EMPRESA</t>
        </is>
      </c>
      <c r="K87" s="6" t="n">
        <v>600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600</v>
      </c>
      <c r="Y87" s="5" t="inlineStr">
        <is>
          <t>255 - IND. EFETUADA PARA OUTRA EMP</t>
        </is>
      </c>
      <c r="Z87" s="5" t="inlineStr">
        <is>
          <t>Sim - como está no XML</t>
        </is>
      </c>
      <c r="AA87" s="5" t="inlineStr">
        <is>
          <t>OK</t>
        </is>
      </c>
      <c r="AB87" s="5" t="inlineStr">
        <is>
          <t>[ALTA] Industrialização x retorno: Item 1 (FRASCO IMPRESSO OX 30V 900ML MIX ETERNIZE) é insumo do cliente (CST 41, PIS 49) com CFOP 6124 de industrialização - o mesmo item foi devolvido também na NF 9026 (6902). Retorno de insumo é 5902/6902; como está, R$ 600.00 entra no acumulador de industrialização e na base do PIS/COFINS e do IRPJ/CSLL</t>
        </is>
      </c>
      <c r="AC87" s="5" t="inlineStr">
        <is>
          <t>41260933039048000162550010000090201000116651</t>
        </is>
      </c>
    </row>
    <row r="88">
      <c r="A88" s="4" t="n">
        <v>46294</v>
      </c>
      <c r="B88" s="4" t="n">
        <v>46294</v>
      </c>
      <c r="C88" s="5" t="n">
        <v>9021</v>
      </c>
      <c r="D88" s="5" t="inlineStr">
        <is>
          <t>1</t>
        </is>
      </c>
      <c r="E88" s="5" t="inlineStr">
        <is>
          <t>Autorizada</t>
        </is>
      </c>
      <c r="F88" s="5" t="inlineStr">
        <is>
          <t>MIX PERFUMARIA LTDA</t>
        </is>
      </c>
      <c r="G88" s="5" t="inlineStr">
        <is>
          <t>06237330000181</t>
        </is>
      </c>
      <c r="H88" s="5" t="inlineStr">
        <is>
          <t>PR</t>
        </is>
      </c>
      <c r="I88" s="5" t="inlineStr">
        <is>
          <t>5124</t>
        </is>
      </c>
      <c r="J88" s="5" t="inlineStr">
        <is>
          <t>INDUSTRIALIZACAO EFETUADA PARA OUTRA EMPRESA</t>
        </is>
      </c>
      <c r="K88" s="6" t="n">
        <v>300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300</v>
      </c>
      <c r="Y88" s="5" t="inlineStr">
        <is>
          <t>254 - IND. EFETUADA PARA OUTRA EMP</t>
        </is>
      </c>
      <c r="Z88" s="5" t="inlineStr">
        <is>
          <t>Sim - como está no XML</t>
        </is>
      </c>
      <c r="AA88" s="5" t="inlineStr">
        <is>
          <t>OK</t>
        </is>
      </c>
      <c r="AB88" s="5" t="inlineStr">
        <is>
          <t>[ALTA] Industrialização x retorno: Item 1 (FRASCO IMPRESSO OX 30V 900ML MIX ETERNIZE) é insumo do cliente (CST 41, PIS 49) com CFOP 5124 de industrialização - o mesmo item foi devolvido também na NF 9024 (5902). Retorno de insumo é 5902/6902; como está, R$ 300.00 entra no acumulador de industrialização e na base do PIS/COFINS e do IRPJ/CSLL</t>
        </is>
      </c>
      <c r="AC88" s="5" t="inlineStr">
        <is>
          <t>41260933039048000162550010000090211000116675</t>
        </is>
      </c>
    </row>
    <row r="89">
      <c r="A89" s="4" t="n">
        <v>46294</v>
      </c>
      <c r="B89" s="4" t="n">
        <v>46294</v>
      </c>
      <c r="C89" s="5" t="n">
        <v>9022</v>
      </c>
      <c r="D89" s="5" t="inlineStr">
        <is>
          <t>1</t>
        </is>
      </c>
      <c r="E89" s="5" t="inlineStr">
        <is>
          <t>Autorizada</t>
        </is>
      </c>
      <c r="F89" s="5" t="inlineStr">
        <is>
          <t>ESAINT COMERCIO DE COSMETICOS LTDA</t>
        </is>
      </c>
      <c r="G89" s="5" t="inlineStr">
        <is>
          <t>31078693000169</t>
        </is>
      </c>
      <c r="H89" s="5" t="inlineStr">
        <is>
          <t>PR</t>
        </is>
      </c>
      <c r="I89" s="5" t="inlineStr">
        <is>
          <t>5101</t>
        </is>
      </c>
      <c r="J89" s="5" t="inlineStr">
        <is>
          <t>VENDA DE PRODUCAO DO ESTABELECIMENTO</t>
        </is>
      </c>
      <c r="K89" s="6" t="n">
        <v>3288</v>
      </c>
      <c r="L89" s="6" t="n">
        <v>0</v>
      </c>
      <c r="M89" s="6" t="n">
        <v>0</v>
      </c>
      <c r="N89" s="6" t="n">
        <v>0</v>
      </c>
      <c r="O89" s="6" t="n">
        <v>3288</v>
      </c>
      <c r="P89" s="6" t="n">
        <v>641.16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72.34</v>
      </c>
      <c r="V89" s="6" t="n">
        <v>338.66</v>
      </c>
      <c r="W89" s="6" t="n">
        <v>0</v>
      </c>
      <c r="X89" s="6" t="n">
        <v>3288</v>
      </c>
      <c r="Y89" s="5" t="inlineStr">
        <is>
          <t>200 - VENDAS S/ ST - DENTRO DO EST</t>
        </is>
      </c>
      <c r="Z89" s="5" t="inlineStr">
        <is>
          <t>Sim - como está no XML</t>
        </is>
      </c>
      <c r="AA89" s="5" t="inlineStr">
        <is>
          <t>OK</t>
        </is>
      </c>
      <c r="AB89" s="5" t="inlineStr"/>
      <c r="AC89" s="5" t="inlineStr">
        <is>
          <t>41260933039048000162550010000090221000192042</t>
        </is>
      </c>
    </row>
    <row r="90">
      <c r="A90" s="4" t="n">
        <v>46294</v>
      </c>
      <c r="B90" s="4" t="n">
        <v>46294</v>
      </c>
      <c r="C90" s="5" t="n">
        <v>9023</v>
      </c>
      <c r="D90" s="5" t="inlineStr">
        <is>
          <t>1</t>
        </is>
      </c>
      <c r="E90" s="5" t="inlineStr">
        <is>
          <t>Autorizada</t>
        </is>
      </c>
      <c r="F90" s="5" t="inlineStr">
        <is>
          <t>MIX PERFUMARIA LTDA</t>
        </is>
      </c>
      <c r="G90" s="5" t="inlineStr">
        <is>
          <t>06237330000181</t>
        </is>
      </c>
      <c r="H90" s="5" t="inlineStr">
        <is>
          <t>PR</t>
        </is>
      </c>
      <c r="I90" s="5" t="inlineStr">
        <is>
          <t>5124</t>
        </is>
      </c>
      <c r="J90" s="5" t="inlineStr">
        <is>
          <t>INDUSTRIALIZACAO EFETUADA PARA OUTRA EMPRESA</t>
        </is>
      </c>
      <c r="K90" s="6" t="n">
        <v>1900</v>
      </c>
      <c r="L90" s="6" t="n">
        <v>0</v>
      </c>
      <c r="M90" s="6" t="n">
        <v>0</v>
      </c>
      <c r="N90" s="6" t="n">
        <v>0</v>
      </c>
      <c r="O90" s="6" t="n">
        <v>1900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41.8</v>
      </c>
      <c r="V90" s="6" t="n">
        <v>195.7</v>
      </c>
      <c r="W90" s="6" t="n">
        <v>0</v>
      </c>
      <c r="X90" s="6" t="n">
        <v>1900</v>
      </c>
      <c r="Y90" s="5" t="inlineStr">
        <is>
          <t>254 - IND. EFETUADA PARA OUTRA EMP</t>
        </is>
      </c>
      <c r="Z90" s="5" t="inlineStr">
        <is>
          <t>Sim - como está no XML</t>
        </is>
      </c>
      <c r="AA90" s="5" t="inlineStr">
        <is>
          <t>OK</t>
        </is>
      </c>
      <c r="AB90" s="5" t="inlineStr"/>
      <c r="AC90" s="5" t="inlineStr">
        <is>
          <t>41260933039048000162550010000090231000116696</t>
        </is>
      </c>
    </row>
    <row r="91">
      <c r="A91" s="4" t="n">
        <v>46294</v>
      </c>
      <c r="B91" s="4" t="n">
        <v>46294</v>
      </c>
      <c r="C91" s="5" t="n">
        <v>9024</v>
      </c>
      <c r="D91" s="5" t="inlineStr">
        <is>
          <t>1</t>
        </is>
      </c>
      <c r="E91" s="5" t="inlineStr">
        <is>
          <t>Autorizada</t>
        </is>
      </c>
      <c r="F91" s="5" t="inlineStr">
        <is>
          <t>MIX PERFUMARIA LTDA</t>
        </is>
      </c>
      <c r="G91" s="5" t="inlineStr">
        <is>
          <t>06237330000181</t>
        </is>
      </c>
      <c r="H91" s="5" t="inlineStr">
        <is>
          <t>PR</t>
        </is>
      </c>
      <c r="I91" s="5" t="inlineStr">
        <is>
          <t>5902</t>
        </is>
      </c>
      <c r="J91" s="5" t="inlineStr">
        <is>
          <t>RETORNO DE MERC. PARA INDUSTRIALIZ POR ENCOMENDA</t>
        </is>
      </c>
      <c r="K91" s="6" t="n">
        <v>300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300</v>
      </c>
      <c r="Y91" s="5" t="inlineStr">
        <is>
          <t>277 - RETORNO DE MERC NA INDUSTR -</t>
        </is>
      </c>
      <c r="Z91" s="5" t="inlineStr">
        <is>
          <t>Sim - como está no XML</t>
        </is>
      </c>
      <c r="AA91" s="5" t="inlineStr">
        <is>
          <t>OK</t>
        </is>
      </c>
      <c r="AB91" s="5" t="inlineStr"/>
      <c r="AC91" s="5" t="inlineStr">
        <is>
          <t>41260933039048000162550010000090241000116707</t>
        </is>
      </c>
    </row>
    <row r="92">
      <c r="A92" s="4" t="n">
        <v>46294</v>
      </c>
      <c r="B92" s="4" t="n">
        <v>46294</v>
      </c>
      <c r="C92" s="5" t="n">
        <v>9025</v>
      </c>
      <c r="D92" s="5" t="inlineStr">
        <is>
          <t>1</t>
        </is>
      </c>
      <c r="E92" s="5" t="inlineStr">
        <is>
          <t>Autorizada</t>
        </is>
      </c>
      <c r="F92" s="5" t="inlineStr">
        <is>
          <t>MIX COSMETICOS LTDA</t>
        </is>
      </c>
      <c r="G92" s="5" t="inlineStr">
        <is>
          <t>27697083000176</t>
        </is>
      </c>
      <c r="H92" s="5" t="inlineStr">
        <is>
          <t>MS</t>
        </is>
      </c>
      <c r="I92" s="5" t="inlineStr">
        <is>
          <t>6124</t>
        </is>
      </c>
      <c r="J92" s="5" t="inlineStr">
        <is>
          <t>INDUSTRIALIZACAO EFETUADA PARA OUTRA EMPRESA</t>
        </is>
      </c>
      <c r="K92" s="6" t="n">
        <v>3980</v>
      </c>
      <c r="L92" s="6" t="n">
        <v>0</v>
      </c>
      <c r="M92" s="6" t="n">
        <v>0</v>
      </c>
      <c r="N92" s="6" t="n">
        <v>0</v>
      </c>
      <c r="O92" s="6" t="n">
        <v>3980</v>
      </c>
      <c r="P92" s="6" t="n">
        <v>278.6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87.56</v>
      </c>
      <c r="V92" s="6" t="n">
        <v>409.94</v>
      </c>
      <c r="W92" s="6" t="n">
        <v>0</v>
      </c>
      <c r="X92" s="6" t="n">
        <v>3980</v>
      </c>
      <c r="Y92" s="5" t="inlineStr">
        <is>
          <t>255 - IND. EFETUADA PARA OUTRA EMP</t>
        </is>
      </c>
      <c r="Z92" s="5" t="inlineStr">
        <is>
          <t>Sim - como está no XML</t>
        </is>
      </c>
      <c r="AA92" s="5" t="inlineStr">
        <is>
          <t>OK</t>
        </is>
      </c>
      <c r="AB92" s="5" t="inlineStr"/>
      <c r="AC92" s="5" t="inlineStr">
        <is>
          <t>41260933039048000162550010000090251000116704</t>
        </is>
      </c>
    </row>
    <row r="93">
      <c r="A93" s="4" t="n">
        <v>46294</v>
      </c>
      <c r="B93" s="4" t="n">
        <v>46294</v>
      </c>
      <c r="C93" s="5" t="n">
        <v>9026</v>
      </c>
      <c r="D93" s="5" t="inlineStr">
        <is>
          <t>1</t>
        </is>
      </c>
      <c r="E93" s="5" t="inlineStr">
        <is>
          <t>Autorizada</t>
        </is>
      </c>
      <c r="F93" s="5" t="inlineStr">
        <is>
          <t>MIX COSMETICOS LTDA</t>
        </is>
      </c>
      <c r="G93" s="5" t="inlineStr">
        <is>
          <t>27697083000176</t>
        </is>
      </c>
      <c r="H93" s="5" t="inlineStr">
        <is>
          <t>MS</t>
        </is>
      </c>
      <c r="I93" s="5" t="inlineStr">
        <is>
          <t>6902</t>
        </is>
      </c>
      <c r="J93" s="5" t="inlineStr">
        <is>
          <t>RETORNO DE MERC. PARA INDUSTRIALIZ POR ENCOMENDA</t>
        </is>
      </c>
      <c r="K93" s="6" t="n">
        <v>600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600</v>
      </c>
      <c r="Y93" s="5" t="inlineStr">
        <is>
          <t>217 - RETORNO REMESSA IND. ENCOMEN</t>
        </is>
      </c>
      <c r="Z93" s="5" t="inlineStr">
        <is>
          <t>Sim - como está no XML</t>
        </is>
      </c>
      <c r="AA93" s="5" t="inlineStr">
        <is>
          <t>OK</t>
        </is>
      </c>
      <c r="AB93" s="5" t="inlineStr"/>
      <c r="AC93" s="5" t="inlineStr">
        <is>
          <t>41260933039048000162550010000090261000116710</t>
        </is>
      </c>
    </row>
    <row r="94">
      <c r="A94" s="4" t="n">
        <v>46295</v>
      </c>
      <c r="B94" s="4" t="n">
        <v>46295</v>
      </c>
      <c r="C94" s="5" t="n">
        <v>9027</v>
      </c>
      <c r="D94" s="5" t="inlineStr">
        <is>
          <t>1</t>
        </is>
      </c>
      <c r="E94" s="5" t="inlineStr">
        <is>
          <t>Autorizada</t>
        </is>
      </c>
      <c r="F94" s="5" t="inlineStr">
        <is>
          <t>R&amp;S COMERCIO DE COSMETICOS LTDA</t>
        </is>
      </c>
      <c r="G94" s="5" t="inlineStr">
        <is>
          <t>17666331000168</t>
        </is>
      </c>
      <c r="H94" s="5" t="inlineStr">
        <is>
          <t>SC</t>
        </is>
      </c>
      <c r="I94" s="5" t="inlineStr">
        <is>
          <t>6124</t>
        </is>
      </c>
      <c r="J94" s="5" t="inlineStr">
        <is>
          <t>INDUSTRIALIZACAO EFETUADA PARA OUTRA EMPRESA</t>
        </is>
      </c>
      <c r="K94" s="6" t="n">
        <v>2424</v>
      </c>
      <c r="L94" s="6" t="n">
        <v>0</v>
      </c>
      <c r="M94" s="6" t="n">
        <v>0</v>
      </c>
      <c r="N94" s="6" t="n">
        <v>0</v>
      </c>
      <c r="O94" s="6" t="n">
        <v>2424</v>
      </c>
      <c r="P94" s="6" t="n">
        <v>290.88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53.33</v>
      </c>
      <c r="V94" s="6" t="n">
        <v>249.67</v>
      </c>
      <c r="W94" s="6" t="n">
        <v>0</v>
      </c>
      <c r="X94" s="6" t="n">
        <v>2424</v>
      </c>
      <c r="Y94" s="5" t="inlineStr">
        <is>
          <t>255 - IND. EFETUADA PARA OUTRA EMP</t>
        </is>
      </c>
      <c r="Z94" s="5" t="inlineStr">
        <is>
          <t>Sim - como está no XML</t>
        </is>
      </c>
      <c r="AA94" s="5" t="inlineStr">
        <is>
          <t>OK</t>
        </is>
      </c>
      <c r="AB94" s="5" t="inlineStr"/>
      <c r="AC94" s="5" t="inlineStr">
        <is>
          <t>41260933039048000162550010000090271000116792</t>
        </is>
      </c>
    </row>
    <row r="95">
      <c r="A95" s="4" t="n">
        <v>46295</v>
      </c>
      <c r="B95" s="4" t="n">
        <v>46295</v>
      </c>
      <c r="C95" s="5" t="n">
        <v>9028</v>
      </c>
      <c r="D95" s="5" t="inlineStr">
        <is>
          <t>1</t>
        </is>
      </c>
      <c r="E95" s="5" t="inlineStr">
        <is>
          <t>Autorizada</t>
        </is>
      </c>
      <c r="F95" s="5" t="inlineStr">
        <is>
          <t>R&amp;S COMERCIO DE COSMETICOS LTDA</t>
        </is>
      </c>
      <c r="G95" s="5" t="inlineStr">
        <is>
          <t>17666331000168</t>
        </is>
      </c>
      <c r="H95" s="5" t="inlineStr">
        <is>
          <t>SC</t>
        </is>
      </c>
      <c r="I95" s="5" t="inlineStr">
        <is>
          <t>6902</t>
        </is>
      </c>
      <c r="J95" s="5" t="inlineStr">
        <is>
          <t>RETORNO DE MERC. PARA INDUSTRIALIZ POR ENCOMENDA</t>
        </is>
      </c>
      <c r="K95" s="6" t="n">
        <v>500.1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500.1</v>
      </c>
      <c r="Y95" s="5" t="inlineStr">
        <is>
          <t>217 - RETORNO REMESSA IND. ENCOMEN</t>
        </is>
      </c>
      <c r="Z95" s="5" t="inlineStr">
        <is>
          <t>Sim - como está no XML</t>
        </is>
      </c>
      <c r="AA95" s="5" t="inlineStr">
        <is>
          <t>OK</t>
        </is>
      </c>
      <c r="AB95" s="5" t="inlineStr"/>
      <c r="AC95" s="5" t="inlineStr">
        <is>
          <t>41260933039048000162550010000090281000116803</t>
        </is>
      </c>
    </row>
    <row r="96">
      <c r="A96" s="4" t="n">
        <v>46295</v>
      </c>
      <c r="B96" s="4" t="n">
        <v>46295</v>
      </c>
      <c r="C96" s="5" t="n">
        <v>9029</v>
      </c>
      <c r="D96" s="5" t="inlineStr">
        <is>
          <t>1</t>
        </is>
      </c>
      <c r="E96" s="5" t="inlineStr">
        <is>
          <t>Autorizada</t>
        </is>
      </c>
      <c r="F96" s="5" t="inlineStr">
        <is>
          <t>TB PRO COSMETICS - DISTRIBUIDORA E EVENTOS LTDA</t>
        </is>
      </c>
      <c r="G96" s="5" t="inlineStr">
        <is>
          <t>14626489000116</t>
        </is>
      </c>
      <c r="H96" s="5" t="inlineStr">
        <is>
          <t>RJ</t>
        </is>
      </c>
      <c r="I96" s="5" t="inlineStr">
        <is>
          <t>6124</t>
        </is>
      </c>
      <c r="J96" s="5" t="inlineStr">
        <is>
          <t>INDUSTRIALIZACAO EFETUADA PARA OUTRA EMPRESA</t>
        </is>
      </c>
      <c r="K96" s="6" t="n">
        <v>1374</v>
      </c>
      <c r="L96" s="6" t="n">
        <v>0</v>
      </c>
      <c r="M96" s="6" t="n">
        <v>177.26</v>
      </c>
      <c r="N96" s="6" t="n">
        <v>0</v>
      </c>
      <c r="O96" s="6" t="n">
        <v>1551.26</v>
      </c>
      <c r="P96" s="6" t="n">
        <v>186.15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34.12</v>
      </c>
      <c r="V96" s="6" t="n">
        <v>159.78</v>
      </c>
      <c r="W96" s="6" t="n">
        <v>0</v>
      </c>
      <c r="X96" s="6" t="n">
        <v>1551.26</v>
      </c>
      <c r="Y96" s="5" t="inlineStr">
        <is>
          <t>255 - IND. EFETUADA PARA OUTRA EMP</t>
        </is>
      </c>
      <c r="Z96" s="5" t="inlineStr">
        <is>
          <t>Sim - como está no XML</t>
        </is>
      </c>
      <c r="AA96" s="5" t="inlineStr">
        <is>
          <t>OK</t>
        </is>
      </c>
      <c r="AB96" s="5" t="inlineStr"/>
      <c r="AC96" s="5" t="inlineStr">
        <is>
          <t>41260933039048000162550010000090291000186701</t>
        </is>
      </c>
    </row>
    <row r="97">
      <c r="A97" s="4" t="n">
        <v>46295</v>
      </c>
      <c r="B97" s="4" t="n">
        <v>46295</v>
      </c>
      <c r="C97" s="5" t="n">
        <v>9030</v>
      </c>
      <c r="D97" s="5" t="inlineStr">
        <is>
          <t>1</t>
        </is>
      </c>
      <c r="E97" s="5" t="inlineStr">
        <is>
          <t>Autorizada</t>
        </is>
      </c>
      <c r="F97" s="5" t="inlineStr">
        <is>
          <t>TB PRO COSMETICS - DISTRIBUIDORA E EVENTOS LTDA</t>
        </is>
      </c>
      <c r="G97" s="5" t="inlineStr">
        <is>
          <t>14626489000116</t>
        </is>
      </c>
      <c r="H97" s="5" t="inlineStr">
        <is>
          <t>RJ</t>
        </is>
      </c>
      <c r="I97" s="5" t="inlineStr">
        <is>
          <t>6902</t>
        </is>
      </c>
      <c r="J97" s="5" t="inlineStr">
        <is>
          <t>RETORNO DE MERC. PARA INDUSTRIALIZ POR ENCOMENDA</t>
        </is>
      </c>
      <c r="K97" s="6" t="n">
        <v>133.2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133.2</v>
      </c>
      <c r="Y97" s="5" t="inlineStr">
        <is>
          <t>217 - RETORNO REMESSA IND. ENCOMEN</t>
        </is>
      </c>
      <c r="Z97" s="5" t="inlineStr">
        <is>
          <t>Sim - como está no XML</t>
        </is>
      </c>
      <c r="AA97" s="5" t="inlineStr">
        <is>
          <t>OK</t>
        </is>
      </c>
      <c r="AB97" s="5" t="inlineStr"/>
      <c r="AC97" s="5" t="inlineStr">
        <is>
          <t>41260933039048000162550010000090301000186710</t>
        </is>
      </c>
    </row>
    <row r="98">
      <c r="A98" s="4" t="n">
        <v>46295</v>
      </c>
      <c r="B98" s="4" t="n">
        <v>46295</v>
      </c>
      <c r="C98" s="5" t="n">
        <v>9031</v>
      </c>
      <c r="D98" s="5" t="inlineStr">
        <is>
          <t>1</t>
        </is>
      </c>
      <c r="E98" s="5" t="inlineStr">
        <is>
          <t>Autorizada</t>
        </is>
      </c>
      <c r="F98" s="5" t="inlineStr">
        <is>
          <t>BB COSMETICOS - EIRELI</t>
        </is>
      </c>
      <c r="G98" s="5" t="inlineStr">
        <is>
          <t>21822008000103</t>
        </is>
      </c>
      <c r="H98" s="5" t="inlineStr">
        <is>
          <t>PR</t>
        </is>
      </c>
      <c r="I98" s="5" t="inlineStr">
        <is>
          <t>5124</t>
        </is>
      </c>
      <c r="J98" s="5" t="inlineStr">
        <is>
          <t>INDUSTRIALIZACAO EFETUADA PARA OUTRA EMPRESA</t>
        </is>
      </c>
      <c r="K98" s="6" t="n">
        <v>1198.8</v>
      </c>
      <c r="L98" s="6" t="n">
        <v>0</v>
      </c>
      <c r="M98" s="6" t="n">
        <v>0</v>
      </c>
      <c r="N98" s="6" t="n">
        <v>0</v>
      </c>
      <c r="O98" s="6" t="n">
        <v>1198.8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26.38</v>
      </c>
      <c r="V98" s="6" t="n">
        <v>123.48</v>
      </c>
      <c r="W98" s="6" t="n">
        <v>0</v>
      </c>
      <c r="X98" s="6" t="n">
        <v>1198.8</v>
      </c>
      <c r="Y98" s="5" t="inlineStr">
        <is>
          <t>254 - IND. EFETUADA PARA OUTRA EMP</t>
        </is>
      </c>
      <c r="Z98" s="5" t="inlineStr">
        <is>
          <t>Sim - como está no XML</t>
        </is>
      </c>
      <c r="AA98" s="5" t="inlineStr">
        <is>
          <t>OK</t>
        </is>
      </c>
      <c r="AB98" s="5" t="inlineStr"/>
      <c r="AC98" s="5" t="inlineStr">
        <is>
          <t>41260933039048000162550010000090311000119484</t>
        </is>
      </c>
    </row>
    <row r="99">
      <c r="A99" s="4" t="n">
        <v>46295</v>
      </c>
      <c r="B99" s="4" t="n">
        <v>46295</v>
      </c>
      <c r="C99" s="5" t="n">
        <v>9032</v>
      </c>
      <c r="D99" s="5" t="inlineStr">
        <is>
          <t>1</t>
        </is>
      </c>
      <c r="E99" s="5" t="inlineStr">
        <is>
          <t>Autorizada</t>
        </is>
      </c>
      <c r="F99" s="5" t="inlineStr">
        <is>
          <t>BB COSMETICOS - EIRELI</t>
        </is>
      </c>
      <c r="G99" s="5" t="inlineStr">
        <is>
          <t>21822008000103</t>
        </is>
      </c>
      <c r="H99" s="5" t="inlineStr">
        <is>
          <t>PR</t>
        </is>
      </c>
      <c r="I99" s="5" t="inlineStr">
        <is>
          <t>5902</t>
        </is>
      </c>
      <c r="J99" s="5" t="inlineStr">
        <is>
          <t>RETORNO DE MERC. PARA INDUSTRIALIZ POR ENCOMENDA</t>
        </is>
      </c>
      <c r="K99" s="6" t="n">
        <v>348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348</v>
      </c>
      <c r="Y99" s="5" t="inlineStr">
        <is>
          <t>277 - RETORNO DE MERC NA INDUSTR -</t>
        </is>
      </c>
      <c r="Z99" s="5" t="inlineStr">
        <is>
          <t>Sim - como está no XML</t>
        </is>
      </c>
      <c r="AA99" s="5" t="inlineStr">
        <is>
          <t>OK</t>
        </is>
      </c>
      <c r="AB99" s="5" t="inlineStr"/>
      <c r="AC99" s="5" t="inlineStr">
        <is>
          <t>41260933039048000162550010000090321000119490</t>
        </is>
      </c>
    </row>
    <row r="100">
      <c r="A100" s="4" t="n">
        <v>46295</v>
      </c>
      <c r="B100" s="4" t="n">
        <v>46295</v>
      </c>
      <c r="C100" s="5" t="n">
        <v>9033</v>
      </c>
      <c r="D100" s="5" t="inlineStr">
        <is>
          <t>1</t>
        </is>
      </c>
      <c r="E100" s="5" t="inlineStr">
        <is>
          <t>Autorizada</t>
        </is>
      </c>
      <c r="F100" s="5" t="inlineStr">
        <is>
          <t>MIX COSMETICOS LTDA</t>
        </is>
      </c>
      <c r="G100" s="5" t="inlineStr">
        <is>
          <t>27697083000176</t>
        </is>
      </c>
      <c r="H100" s="5" t="inlineStr">
        <is>
          <t>MS</t>
        </is>
      </c>
      <c r="I100" s="5" t="inlineStr">
        <is>
          <t>6124</t>
        </is>
      </c>
      <c r="J100" s="5" t="inlineStr">
        <is>
          <t>INDUSTRIALIZACAO EFETUADA PARA OUTRA EMPRESA</t>
        </is>
      </c>
      <c r="K100" s="6" t="n">
        <v>2370</v>
      </c>
      <c r="L100" s="6" t="n">
        <v>0</v>
      </c>
      <c r="M100" s="6" t="n">
        <v>0</v>
      </c>
      <c r="N100" s="6" t="n">
        <v>0</v>
      </c>
      <c r="O100" s="6" t="n">
        <v>2370</v>
      </c>
      <c r="P100" s="6" t="n">
        <v>165.9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52.14</v>
      </c>
      <c r="V100" s="6" t="n">
        <v>244.11</v>
      </c>
      <c r="W100" s="6" t="n">
        <v>0</v>
      </c>
      <c r="X100" s="6" t="n">
        <v>2370</v>
      </c>
      <c r="Y100" s="5" t="inlineStr">
        <is>
          <t>255 - IND. EFETUADA PARA OUTRA EMP</t>
        </is>
      </c>
      <c r="Z100" s="5" t="inlineStr">
        <is>
          <t>Sim - como está no XML</t>
        </is>
      </c>
      <c r="AA100" s="5" t="inlineStr">
        <is>
          <t>OK</t>
        </is>
      </c>
      <c r="AB100" s="5" t="inlineStr"/>
      <c r="AC100" s="5" t="inlineStr">
        <is>
          <t>41260933039048000162550010000090331000116781</t>
        </is>
      </c>
    </row>
    <row r="101">
      <c r="A101" s="4" t="n">
        <v>46295</v>
      </c>
      <c r="B101" s="4" t="n">
        <v>46295</v>
      </c>
      <c r="C101" s="5" t="n">
        <v>9034</v>
      </c>
      <c r="D101" s="5" t="inlineStr">
        <is>
          <t>1</t>
        </is>
      </c>
      <c r="E101" s="5" t="inlineStr">
        <is>
          <t>Autorizada</t>
        </is>
      </c>
      <c r="F101" s="5" t="inlineStr">
        <is>
          <t>MIX COSMETICOS LTDA</t>
        </is>
      </c>
      <c r="G101" s="5" t="inlineStr">
        <is>
          <t>27697083000176</t>
        </is>
      </c>
      <c r="H101" s="5" t="inlineStr">
        <is>
          <t>MS</t>
        </is>
      </c>
      <c r="I101" s="5" t="inlineStr">
        <is>
          <t>6902</t>
        </is>
      </c>
      <c r="J101" s="5" t="inlineStr">
        <is>
          <t>RETORNO DE MERC. PARA INDUSTRIALIZ POR ENCOMENDA</t>
        </is>
      </c>
      <c r="K101" s="6" t="n">
        <v>427.2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427.2</v>
      </c>
      <c r="Y101" s="5" t="inlineStr">
        <is>
          <t>217 - RETORNO REMESSA IND. ENCOMEN</t>
        </is>
      </c>
      <c r="Z101" s="5" t="inlineStr">
        <is>
          <t>Sim - como está no XML</t>
        </is>
      </c>
      <c r="AA101" s="5" t="inlineStr">
        <is>
          <t>OK</t>
        </is>
      </c>
      <c r="AB101" s="5" t="inlineStr"/>
      <c r="AC101" s="5" t="inlineStr">
        <is>
          <t>41260933039048000162550010000090341000116797</t>
        </is>
      </c>
    </row>
    <row r="102">
      <c r="A102" s="4" t="n">
        <v>46295</v>
      </c>
      <c r="B102" s="4" t="n">
        <v>46295</v>
      </c>
      <c r="C102" s="5" t="n">
        <v>9035</v>
      </c>
      <c r="D102" s="5" t="inlineStr">
        <is>
          <t>1</t>
        </is>
      </c>
      <c r="E102" s="5" t="inlineStr">
        <is>
          <t>Autorizada</t>
        </is>
      </c>
      <c r="F102" s="5" t="inlineStr">
        <is>
          <t>NUTRABELLA COMERCIAL DE COSMETICOS LTDA</t>
        </is>
      </c>
      <c r="G102" s="5" t="inlineStr">
        <is>
          <t>11258063000169</t>
        </is>
      </c>
      <c r="H102" s="5" t="inlineStr">
        <is>
          <t>GO</t>
        </is>
      </c>
      <c r="I102" s="5" t="inlineStr">
        <is>
          <t>6124</t>
        </is>
      </c>
      <c r="J102" s="5" t="inlineStr">
        <is>
          <t>INDUSTRIALIZACAO EFETUADA PARA OUTRA EMPRESA</t>
        </is>
      </c>
      <c r="K102" s="6" t="n">
        <v>3720</v>
      </c>
      <c r="L102" s="6" t="n">
        <v>0</v>
      </c>
      <c r="M102" s="6" t="n">
        <v>197.94</v>
      </c>
      <c r="N102" s="6" t="n">
        <v>0</v>
      </c>
      <c r="O102" s="6" t="n">
        <v>3917.94</v>
      </c>
      <c r="P102" s="6" t="n">
        <v>274.28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86.2</v>
      </c>
      <c r="V102" s="6" t="n">
        <v>403.56</v>
      </c>
      <c r="W102" s="6" t="n">
        <v>0</v>
      </c>
      <c r="X102" s="6" t="n">
        <v>3917.94</v>
      </c>
      <c r="Y102" s="5" t="inlineStr">
        <is>
          <t>255 - IND. EFETUADA PARA OUTRA EMP</t>
        </is>
      </c>
      <c r="Z102" s="5" t="inlineStr">
        <is>
          <t>Sim - como está no XML</t>
        </is>
      </c>
      <c r="AA102" s="5" t="inlineStr">
        <is>
          <t>OK</t>
        </is>
      </c>
      <c r="AB102" s="5" t="inlineStr"/>
      <c r="AC102" s="5" t="inlineStr">
        <is>
          <t>41260933039048000162550010000090351000187314</t>
        </is>
      </c>
    </row>
    <row r="103">
      <c r="A103" s="4" t="n">
        <v>46295</v>
      </c>
      <c r="B103" s="4" t="n">
        <v>46295</v>
      </c>
      <c r="C103" s="5" t="n">
        <v>9036</v>
      </c>
      <c r="D103" s="5" t="inlineStr">
        <is>
          <t>1</t>
        </is>
      </c>
      <c r="E103" s="5" t="inlineStr">
        <is>
          <t>Autorizada</t>
        </is>
      </c>
      <c r="F103" s="5" t="inlineStr">
        <is>
          <t>NUTRABELLA COMERCIAL DE COSMETICOS LTDA</t>
        </is>
      </c>
      <c r="G103" s="5" t="inlineStr">
        <is>
          <t>11258063000169</t>
        </is>
      </c>
      <c r="H103" s="5" t="inlineStr">
        <is>
          <t>GO</t>
        </is>
      </c>
      <c r="I103" s="5" t="inlineStr">
        <is>
          <t>6902</t>
        </is>
      </c>
      <c r="J103" s="5" t="inlineStr">
        <is>
          <t>RETORNO DE MERC. PARA INDUSTRIALIZ POR ENCOMENDA</t>
        </is>
      </c>
      <c r="K103" s="6" t="n">
        <v>297.6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297.6</v>
      </c>
      <c r="Y103" s="5" t="inlineStr">
        <is>
          <t>217 - RETORNO REMESSA IND. ENCOMEN</t>
        </is>
      </c>
      <c r="Z103" s="5" t="inlineStr">
        <is>
          <t>Sim - como está no XML</t>
        </is>
      </c>
      <c r="AA103" s="5" t="inlineStr">
        <is>
          <t>OK</t>
        </is>
      </c>
      <c r="AB103" s="5" t="inlineStr"/>
      <c r="AC103" s="5" t="inlineStr">
        <is>
          <t>41260933039048000162550010000090361000187320</t>
        </is>
      </c>
    </row>
    <row r="104">
      <c r="A104" s="7" t="inlineStr">
        <is>
          <t>Total autorizadas</t>
        </is>
      </c>
      <c r="B104" s="8" t="n"/>
      <c r="C104" s="7">
        <f>COUNTIF($E$5:$E$103,"Autorizada")</f>
        <v/>
      </c>
      <c r="D104" s="8" t="n"/>
      <c r="E104" s="8" t="n"/>
      <c r="F104" s="8" t="n"/>
      <c r="G104" s="8" t="n"/>
      <c r="H104" s="8" t="n"/>
      <c r="I104" s="8" t="n"/>
      <c r="J104" s="8" t="n"/>
      <c r="K104" s="9">
        <f>SUMIF($E$5:$E$103,"Autorizada",K5:K103)</f>
        <v/>
      </c>
      <c r="L104" s="9">
        <f>SUMIF($E$5:$E$103,"Autorizada",L5:L103)</f>
        <v/>
      </c>
      <c r="M104" s="9">
        <f>SUMIF($E$5:$E$103,"Autorizada",M5:M103)</f>
        <v/>
      </c>
      <c r="N104" s="9">
        <f>SUMIF($E$5:$E$103,"Autorizada",N5:N103)</f>
        <v/>
      </c>
      <c r="O104" s="9">
        <f>SUMIF($E$5:$E$103,"Autorizada",O5:O103)</f>
        <v/>
      </c>
      <c r="P104" s="9">
        <f>SUMIF($E$5:$E$103,"Autorizada",P5:P103)</f>
        <v/>
      </c>
      <c r="Q104" s="9">
        <f>SUMIF($E$5:$E$103,"Autorizada",Q5:Q103)</f>
        <v/>
      </c>
      <c r="R104" s="9">
        <f>SUMIF($E$5:$E$103,"Autorizada",R5:R103)</f>
        <v/>
      </c>
      <c r="S104" s="9">
        <f>SUMIF($E$5:$E$103,"Autorizada",S5:S103)</f>
        <v/>
      </c>
      <c r="T104" s="9">
        <f>SUMIF($E$5:$E$103,"Autorizada",T5:T103)</f>
        <v/>
      </c>
      <c r="U104" s="9">
        <f>SUMIF($E$5:$E$103,"Autorizada",U5:U103)</f>
        <v/>
      </c>
      <c r="V104" s="9">
        <f>SUMIF($E$5:$E$103,"Autorizada",V5:V103)</f>
        <v/>
      </c>
      <c r="W104" s="9">
        <f>SUMIF($E$5:$E$103,"Autorizada",W5:W103)</f>
        <v/>
      </c>
      <c r="X104" s="9">
        <f>SUMIF($E$5:$E$103,"Autorizada",X5:X103)</f>
        <v/>
      </c>
      <c r="Y104" s="8" t="n"/>
      <c r="Z104" s="8" t="n"/>
      <c r="AA104" s="8" t="n"/>
      <c r="AB104" s="8" t="n"/>
      <c r="AC104" s="8" t="n"/>
    </row>
    <row r="106">
      <c r="A106" s="10" t="inlineStr">
        <is>
          <t>Autorizadas</t>
        </is>
      </c>
      <c r="C106" s="10">
        <f>COUNTIF($E$5:$E$103,"Autorizada")</f>
        <v/>
      </c>
    </row>
    <row r="107">
      <c r="A107" s="10" t="inlineStr">
        <is>
          <t>Canceladas</t>
        </is>
      </c>
      <c r="C107" s="10">
        <f>COUNTIF($E$5:$E$103,"Cancelada")</f>
        <v/>
      </c>
    </row>
    <row r="108">
      <c r="A108" s="10" t="inlineStr">
        <is>
          <t>Inutilizadas</t>
        </is>
      </c>
      <c r="C108" s="10">
        <f>COUNTIF($E$5:$E$103,"Inutilizada")</f>
        <v/>
      </c>
    </row>
    <row r="109">
      <c r="A109" s="10" t="inlineStr">
        <is>
          <t>Total de números no mês</t>
        </is>
      </c>
      <c r="C109" s="10">
        <f>COUNTA(C5:C103)</f>
        <v/>
      </c>
    </row>
  </sheetData>
  <autoFilter ref="A4:AC103"/>
  <conditionalFormatting sqref="A5:AC103">
    <cfRule type="expression" priority="1" dxfId="0">
      <formula>$E5="Cancelada"</formula>
    </cfRule>
    <cfRule type="expression" priority="2" dxfId="1">
      <formula>$E5="Inutilizada"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2026-10-12T15:21:23Z</dcterms:created>
  <dcterms:modified xmlns:dcterms="http://purl.org/dc/terms/" xmlns:xsi="http://www.w3.org/2001/XMLSchema-instance" xsi:type="dcterms:W3CDTF">2026-10-12T15:21:23Z</dcterms:modified>
</cp:coreProperties>
</file>