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iradas 09-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<sst xmlns="http://schemas.openxmlformats.org/spreadsheetml/2006/main" count="45" uniqueCount="17">
  <si>
    <t xml:space="preserve">D C GRUP DUNK'S LTDA (WEB41) - CNPJ 14.757.847/0001-20 - Empresa 7</t>
  </si>
  <si>
    <t xml:space="preserve">Retiradas do sócio DENIOS DA CUNHA LEITE (CPF 074.775.859-02) - conta 566 - Setembro/2026</t>
  </si>
  <si>
    <t xml:space="preserve">Fonte: extrato Efí Bank 274012-5, 01/09/2026 a 30/09/2026</t>
  </si>
  <si>
    <t xml:space="preserve">Data</t>
  </si>
  <si>
    <t xml:space="preserve">Descrição no extrato</t>
  </si>
  <si>
    <t xml:space="preserve">Banco</t>
  </si>
  <si>
    <t xml:space="preserve">Conta</t>
  </si>
  <si>
    <t xml:space="preserve">Tipo</t>
  </si>
  <si>
    <t xml:space="preserve">Valor (R$)</t>
  </si>
  <si>
    <t xml:space="preserve">Pix enviado via chave: Denios Da Cunha Leite</t>
  </si>
  <si>
    <t xml:space="preserve">8 Efí Bank</t>
  </si>
  <si>
    <t xml:space="preserve">566</t>
  </si>
  <si>
    <t xml:space="preserve">Retirada</t>
  </si>
  <si>
    <t xml:space="preserve">Total de retiradas</t>
  </si>
  <si>
    <t xml:space="preserve">Total de aportes</t>
  </si>
  <si>
    <t xml:space="preserve">Quantidade de retiradas</t>
  </si>
  <si>
    <t xml:space="preserve">Obs.: valores em azul vêm do extrato. A transferência 566 → 573 (distribuição de lucros) não foi lançada: só com a entrega da REINF.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</si>
</sst>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;\(#,##0.00\);\-"/>
    <numFmt numFmtId="167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n">
        <v>46266</v>
      </c>
      <c r="B6" s="6" t="s">
        <v>9</v>
      </c>
      <c r="C6" s="6" t="s">
        <v>10</v>
      </c>
      <c r="D6" s="6" t="s">
        <v>11</v>
      </c>
      <c r="E6" s="6" t="s">
        <v>12</v>
      </c>
      <c r="F6" s="7" t="n">
        <v>400</v>
      </c>
    </row>
    <row r="7" customFormat="false" ht="15" hidden="false" customHeight="false" outlineLevel="0" collapsed="false">
      <c r="A7" s="5" t="n">
        <v>46269</v>
      </c>
      <c r="B7" s="6" t="s">
        <v>9</v>
      </c>
      <c r="C7" s="6" t="s">
        <v>10</v>
      </c>
      <c r="D7" s="6" t="s">
        <v>11</v>
      </c>
      <c r="E7" s="6" t="s">
        <v>12</v>
      </c>
      <c r="F7" s="7" t="n">
        <v>550</v>
      </c>
    </row>
    <row r="8" customFormat="false" ht="15" hidden="false" customHeight="false" outlineLevel="0" collapsed="false">
      <c r="A8" s="5" t="n">
        <v>46269</v>
      </c>
      <c r="B8" s="6" t="s">
        <v>9</v>
      </c>
      <c r="C8" s="6" t="s">
        <v>10</v>
      </c>
      <c r="D8" s="6" t="s">
        <v>11</v>
      </c>
      <c r="E8" s="6" t="s">
        <v>12</v>
      </c>
      <c r="F8" s="7" t="n">
        <v>200</v>
      </c>
    </row>
    <row r="9" customFormat="false" ht="15" hidden="false" customHeight="false" outlineLevel="0" collapsed="false">
      <c r="A9" s="5" t="n">
        <v>46269</v>
      </c>
      <c r="B9" s="6" t="s">
        <v>9</v>
      </c>
      <c r="C9" s="6" t="s">
        <v>10</v>
      </c>
      <c r="D9" s="6" t="s">
        <v>11</v>
      </c>
      <c r="E9" s="6" t="s">
        <v>12</v>
      </c>
      <c r="F9" s="7" t="n">
        <v>750</v>
      </c>
    </row>
    <row r="10" customFormat="false" ht="15" hidden="false" customHeight="false" outlineLevel="0" collapsed="false">
      <c r="A10" s="5" t="n">
        <v>46274</v>
      </c>
      <c r="B10" s="6" t="s">
        <v>9</v>
      </c>
      <c r="C10" s="6" t="s">
        <v>10</v>
      </c>
      <c r="D10" s="6" t="s">
        <v>11</v>
      </c>
      <c r="E10" s="6" t="s">
        <v>12</v>
      </c>
      <c r="F10" s="7" t="n">
        <v>150.8</v>
      </c>
    </row>
    <row r="11" customFormat="false" ht="15" hidden="false" customHeight="false" outlineLevel="0" collapsed="false">
      <c r="A11" s="5" t="n">
        <v>46275</v>
      </c>
      <c r="B11" s="6" t="s">
        <v>9</v>
      </c>
      <c r="C11" s="6" t="s">
        <v>10</v>
      </c>
      <c r="D11" s="6" t="s">
        <v>11</v>
      </c>
      <c r="E11" s="6" t="s">
        <v>12</v>
      </c>
      <c r="F11" s="7" t="n">
        <v>138.51</v>
      </c>
    </row>
    <row r="12" customFormat="false" ht="15" hidden="false" customHeight="false" outlineLevel="0" collapsed="false">
      <c r="A12" s="5" t="n">
        <v>46286</v>
      </c>
      <c r="B12" s="6" t="s">
        <v>9</v>
      </c>
      <c r="C12" s="6" t="s">
        <v>10</v>
      </c>
      <c r="D12" s="6" t="s">
        <v>11</v>
      </c>
      <c r="E12" s="6" t="s">
        <v>12</v>
      </c>
      <c r="F12" s="7" t="n">
        <v>1013.1</v>
      </c>
    </row>
    <row r="13" customFormat="false" ht="15" hidden="false" customHeight="false" outlineLevel="0" collapsed="false">
      <c r="A13" s="5" t="n">
        <v>46295</v>
      </c>
      <c r="B13" s="6" t="s">
        <v>9</v>
      </c>
      <c r="C13" s="6" t="s">
        <v>10</v>
      </c>
      <c r="D13" s="6" t="s">
        <v>11</v>
      </c>
      <c r="E13" s="6" t="s">
        <v>12</v>
      </c>
      <c r="F13" s="7" t="n">
        <v>375.93</v>
      </c>
    </row>
    <row r="15" customFormat="false" ht="15" hidden="false" customHeight="false" outlineLevel="0" collapsed="false">
      <c r="E15" s="8" t="s">
        <v>13</v>
      </c>
      <c r="F15" s="9" t="n">
        <f aca="false">SUMIFS(F6:F13,E6:E13,"Retirada")</f>
        <v>3578.34</v>
      </c>
    </row>
    <row r="16" customFormat="false" ht="15" hidden="false" customHeight="false" outlineLevel="0" collapsed="false">
      <c r="E16" s="8" t="s">
        <v>14</v>
      </c>
      <c r="F16" s="10" t="n">
        <f aca="false">SUMIFS(F6:F13,E6:E13,"Aporte")</f>
        <v>0</v>
      </c>
    </row>
    <row r="17" customFormat="false" ht="15" hidden="false" customHeight="false" outlineLevel="0" collapsed="false">
      <c r="E17" s="8" t="s">
        <v>15</v>
      </c>
      <c r="F17" s="8" t="n">
        <f aca="false">COUNTIF(E6:E13,"Retirada")</f>
        <v>8</v>
      </c>
    </row>
    <row r="19" customFormat="false" ht="15" hidden="false" customHeight="false" outlineLevel="0" collapsed="false">
      <c r="A19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2026-10-07T13:58:47Z</dcterms:created>
  <dc:creator>openpyxl</dc:creator>
  <dc:description/>
  <dc:language>en-US</dc:language>
  <cp:lastModifiedBy/>
  <dcterms:modified xsi:type="dcterms:W3CDTF">2026-10-07T13:58:47Z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