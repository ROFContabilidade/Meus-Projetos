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Resumo mensal" sheetId="2" state="visible" r:id="rId4"/>
    <sheet name="Diferenças" sheetId="3" state="visible" r:id="rId5"/>
    <sheet name="Lançamentos agrupad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<sst xmlns="http://schemas.openxmlformats.org/spreadsheetml/2006/main" count="207" uniqueCount="96">
  <si>
    <t xml:space="preserve">DCK SERVIÇOS DE T.I. LTDA - EPP - CNPJ 13.645.287/0001-59 (Domínio 144)</t>
  </si>
  <si>
    <t xml:space="preserve">Conferência extrato × razão - conta 2871 Banco Sicredi - 02/01/2026 a 20/10/2026</t>
  </si>
  <si>
    <t xml:space="preserve">Saldo inicial (01/01/2026)</t>
  </si>
  <si>
    <t xml:space="preserve">Saldo final do extrato (20/10/2026)</t>
  </si>
  <si>
    <t xml:space="preserve">Saldo final do razão (20/10/2026)</t>
  </si>
  <si>
    <t xml:space="preserve">Diferença (razão acima do extrato)</t>
  </si>
  <si>
    <t xml:space="preserve">Movimentos no extrato</t>
  </si>
  <si>
    <t xml:space="preserve">Lançamentos no razão</t>
  </si>
  <si>
    <t xml:space="preserve">Meses conciliados</t>
  </si>
  <si>
    <t xml:space="preserve">Resultado</t>
  </si>
  <si>
    <t xml:space="preserve">Janeiro a maio e setembro fecham movimento a movimento. As diferenças do mês estão em junho, julho, agosto e outubro; a diferença de junho a agosto segue acumulada no saldo do razão até outubro.</t>
  </si>
  <si>
    <t xml:space="preserve">1) TEDs "SIC/DCK para ITAU-DCK" lançadas no razão sem movimento no extrato Sicredi: 22/06 (500,00), 10/07 (400.000,00 e 150.000,00), 17/07 (400.000,00) e 17/08 (400.000,00) = 1.350.500,00.</t>
  </si>
  <si>
    <t xml:space="preserve">2) Tarifas de cobrança de outubro (COB) cobradas no extrato e não lançadas no razão: 275,22.</t>
  </si>
  <si>
    <t xml:space="preserve">Total explicado: 1.350.775,22 (ver aba Diferenças). Diferença não explicada: 0,00.</t>
  </si>
  <si>
    <t xml:space="preserve">Abas</t>
  </si>
  <si>
    <t xml:space="preserve">Resumo mensal</t>
  </si>
  <si>
    <t xml:space="preserve">Saldos e totais de cada mês, extrato × razão</t>
  </si>
  <si>
    <t xml:space="preserve">Diferenças</t>
  </si>
  <si>
    <t xml:space="preserve">Cada divergência com data, valor, conta sugerida e o que fazer</t>
  </si>
  <si>
    <t xml:space="preserve">Lançamentos agrupados</t>
  </si>
  <si>
    <t xml:space="preserve">Dias em que um movimento do extrato (lote CNAB, fatura de cartão) está dividido em várias linhas no razão e fecha no dia</t>
  </si>
  <si>
    <t xml:space="preserve">Mês</t>
  </si>
  <si>
    <t xml:space="preserve">Saldo inicial</t>
  </si>
  <si>
    <t xml:space="preserve">Entradas no extrato</t>
  </si>
  <si>
    <t xml:space="preserve">Saídas no extrato</t>
  </si>
  <si>
    <t xml:space="preserve">Saldo final EXTRATO</t>
  </si>
  <si>
    <t xml:space="preserve">Débitos no razão</t>
  </si>
  <si>
    <t xml:space="preserve">Créditos no razão</t>
  </si>
  <si>
    <t xml:space="preserve">Saldo final RAZÃO</t>
  </si>
  <si>
    <t xml:space="preserve">Diferença acumulada (razão − extrato)</t>
  </si>
  <si>
    <t xml:space="preserve">Diferença do mês</t>
  </si>
  <si>
    <t xml:space="preserve">Situação do mês</t>
  </si>
  <si>
    <t xml:space="preserve">Janeiro/2026</t>
  </si>
  <si>
    <t xml:space="preserve">Fevereiro/2026</t>
  </si>
  <si>
    <t xml:space="preserve">Março/2026</t>
  </si>
  <si>
    <t xml:space="preserve">Abril/2026</t>
  </si>
  <si>
    <t xml:space="preserve">Maio/2026</t>
  </si>
  <si>
    <t xml:space="preserve">Junho/2026</t>
  </si>
  <si>
    <t xml:space="preserve">Julho/2026</t>
  </si>
  <si>
    <t xml:space="preserve">Agosto/2026</t>
  </si>
  <si>
    <t xml:space="preserve">Setembro/2026</t>
  </si>
  <si>
    <t xml:space="preserve">Outubro/2026 (até 20/10)</t>
  </si>
  <si>
    <t xml:space="preserve">TOTAL DO PERÍODO</t>
  </si>
  <si>
    <t xml:space="preserve">Nº</t>
  </si>
  <si>
    <t xml:space="preserve">Data</t>
  </si>
  <si>
    <t xml:space="preserve">Onde está</t>
  </si>
  <si>
    <t xml:space="preserve">N. Lanc (razão)</t>
  </si>
  <si>
    <t xml:space="preserve">Histórico</t>
  </si>
  <si>
    <t xml:space="preserve">Valor (R$)</t>
  </si>
  <si>
    <t xml:space="preserve">Quanto o razão fica ACIMA do extrato (R$)</t>
  </si>
  <si>
    <t xml:space="preserve">Conta sugerida (plano Korp)</t>
  </si>
  <si>
    <t xml:space="preserve">O que fazer</t>
  </si>
  <si>
    <t xml:space="preserve">Junho</t>
  </si>
  <si>
    <t xml:space="preserve">Só no RAZÃO</t>
  </si>
  <si>
    <t xml:space="preserve">TED TRANSFERENCIA do Banco SIC/DCK para o Banco ITAU-DCK</t>
  </si>
  <si>
    <t xml:space="preserve">1.1.1.2.5 - Transferência de recursos (2872)</t>
  </si>
  <si>
    <t xml:space="preserve">Lançado a DÉBITO na conta Sicredi (entrada), mas o extrato Sicredi não tem esse movimento. Conferir no extrato do Itaú-DCK: se a TED saiu do Sicredi, falta no extrato/lançamento invertido; se entrou do Itaú, ajustar a descrição. Estornar ou corrigir o lançamento.</t>
  </si>
  <si>
    <t xml:space="preserve">Julho</t>
  </si>
  <si>
    <t xml:space="preserve">Agosto</t>
  </si>
  <si>
    <t xml:space="preserve">Outubro</t>
  </si>
  <si>
    <t xml:space="preserve">Só no EXTRATO</t>
  </si>
  <si>
    <t xml:space="preserve">NÃO LANÇADO</t>
  </si>
  <si>
    <t xml:space="preserve">TARIFA SERV.COBR.TITULOS-COB000005 COB000005 - </t>
  </si>
  <si>
    <t xml:space="preserve">3.1.3.3.1.1 - Despesas Bancárias (2698)</t>
  </si>
  <si>
    <t xml:space="preserve">Tarifa de cobrança debitada no extrato e não lançada: o saldo do razão fica maior que o do banco. Lançar D 2698 / C 2871.</t>
  </si>
  <si>
    <t xml:space="preserve">TARIFA SERV.COBR.TITULOS-COB000013 COB000013 - </t>
  </si>
  <si>
    <t xml:space="preserve">TARIFA BAIXA DE TITULOS-COB000002 COB000002 - </t>
  </si>
  <si>
    <t xml:space="preserve">TARIFA COM R LIQUIDACAO-COB000004 COB000004 - </t>
  </si>
  <si>
    <t xml:space="preserve">TARIFA COM R LIQUIDACAO-COB000051 COB000051 - </t>
  </si>
  <si>
    <t xml:space="preserve">TARIFA SERV.COBR.TITULOS-COB000002 COB000002 - </t>
  </si>
  <si>
    <t xml:space="preserve">TARIFA COM R LIQUIDACAO-COB000010 COB000010 - </t>
  </si>
  <si>
    <t xml:space="preserve">TARIFA BAIXA DE TITULOS-COB000003 COB000003 - </t>
  </si>
  <si>
    <t xml:space="preserve">TARIFA BAIXA DE TITULOS-COB000001 COB000001 - </t>
  </si>
  <si>
    <t xml:space="preserve">TARIFA SERV.COBR.TITULOS-COB000023 COB000023 - </t>
  </si>
  <si>
    <t xml:space="preserve">TARIFA SERV.COBR.TITULOS-COB000004 COB000004 - </t>
  </si>
  <si>
    <t xml:space="preserve">TARIFA COM R LIQUIDACAO-COB000001 COB000001 - </t>
  </si>
  <si>
    <t xml:space="preserve">TARIFA COM R LIQUIDACAO-COB000006 COB000006 - </t>
  </si>
  <si>
    <t xml:space="preserve">TOTAL (razão acima do extrato)</t>
  </si>
  <si>
    <t xml:space="preserve">Conferência: diferença do Resumo mensal</t>
  </si>
  <si>
    <t xml:space="preserve">Diferença não explicada</t>
  </si>
  <si>
    <t xml:space="preserve">Linhas no razão</t>
  </si>
  <si>
    <t xml:space="preserve">Valor líquido extrato</t>
  </si>
  <si>
    <t xml:space="preserve">Valor líquido razão</t>
  </si>
  <si>
    <t xml:space="preserve">Diferença</t>
  </si>
  <si>
    <t xml:space="preserve">Situação</t>
  </si>
  <si>
    <t xml:space="preserve">Descrição dos movimentos do extrato</t>
  </si>
  <si>
    <t xml:space="preserve">CARTÃO DE CRÉDITO (-10,922.21); TERRA BRASILIS SABONETES E COS (10,373.39); LOTE CNAB (251,448.52)</t>
  </si>
  <si>
    <t xml:space="preserve">CARTÃO DE CRÉDITO (-12,876.83); LOTE CNAB (183,899.00)</t>
  </si>
  <si>
    <t xml:space="preserve">FATURA CARTÃO DCK (-44,711.65); LOTE CNAB (4,159.85)</t>
  </si>
  <si>
    <t xml:space="preserve">FATURA DCK (-15,371.28); DENTAL MED SUL E COMP (3,350.00)</t>
  </si>
  <si>
    <t xml:space="preserve">SICREDI (-3.96); LOTE CNAB (114,066.44)</t>
  </si>
  <si>
    <t xml:space="preserve">48.912.842 DIEGO SOARES MACHAD (-3,572.03); BACKBLAZE (-16,197.17); LOTE CNAB (275,147.47)</t>
  </si>
  <si>
    <t xml:space="preserve">FATURA DCK (-17,544.57); LOTE CNAB (9,296.69)</t>
  </si>
  <si>
    <t xml:space="preserve">LOTE CNAB (145,156.99); LOTE CNAB (215,073.10)</t>
  </si>
  <si>
    <t xml:space="preserve">GITHUB (-36,835.08); COMP - INDUSTRIA E COMERCIO DE (82,150.88)</t>
  </si>
  <si>
    <t xml:space="preserve">LOTE CNAB (437,751.22)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</si>
</sst>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;[RED]\-#,##0.00"/>
    <numFmt numFmtId="167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333723.41</v>
      </c>
    </row>
    <row r="5" customFormat="false" ht="15" hidden="false" customHeight="false" outlineLevel="0" collapsed="false">
      <c r="A5" s="0" t="s">
        <v>3</v>
      </c>
      <c r="B5" s="3" t="n">
        <v>344458.35</v>
      </c>
    </row>
    <row r="6" customFormat="false" ht="15" hidden="false" customHeight="false" outlineLevel="0" collapsed="false">
      <c r="A6" s="0" t="s">
        <v>4</v>
      </c>
      <c r="B6" s="3" t="n">
        <v>1695233.57</v>
      </c>
    </row>
    <row r="7" customFormat="false" ht="15" hidden="false" customHeight="false" outlineLevel="0" collapsed="false">
      <c r="A7" s="0" t="s">
        <v>5</v>
      </c>
      <c r="B7" s="3" t="n">
        <f aca="false">ROUND(B6-B5,2)</f>
        <v>1350775.22</v>
      </c>
    </row>
    <row r="9" customFormat="false" ht="15" hidden="false" customHeight="false" outlineLevel="0" collapsed="false">
      <c r="A9" s="0" t="s">
        <v>6</v>
      </c>
      <c r="B9" s="0" t="n">
        <v>1016</v>
      </c>
    </row>
    <row r="10" customFormat="false" ht="15" hidden="false" customHeight="false" outlineLevel="0" collapsed="false">
      <c r="A10" s="0" t="s">
        <v>7</v>
      </c>
      <c r="B10" s="0" t="n">
        <v>1932</v>
      </c>
    </row>
    <row r="11" customFormat="false" ht="15" hidden="false" customHeight="false" outlineLevel="0" collapsed="false">
      <c r="A11" s="0" t="s">
        <v>8</v>
      </c>
      <c r="B11" s="0" t="n">
        <v>10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0" t="s">
        <v>15</v>
      </c>
      <c r="B20" s="0" t="s">
        <v>16</v>
      </c>
    </row>
    <row r="21" customFormat="false" ht="15" hidden="false" customHeight="false" outlineLevel="0" collapsed="false">
      <c r="A21" s="0" t="s">
        <v>17</v>
      </c>
      <c r="B21" s="0" t="s">
        <v>18</v>
      </c>
    </row>
    <row r="22" customFormat="false" ht="15" hidden="false" customHeight="false" outlineLevel="0" collapsed="false">
      <c r="A22" s="0" t="s">
        <v>19</v>
      </c>
      <c r="B22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6"/>
  </cols>
  <sheetData>
    <row r="1" customFormat="false" ht="36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customFormat="false" ht="15" hidden="false" customHeight="false" outlineLevel="0" collapsed="false">
      <c r="A2" s="5" t="s">
        <v>32</v>
      </c>
      <c r="B2" s="6" t="n">
        <v>333723.41</v>
      </c>
      <c r="C2" s="6" t="n">
        <v>635989.06</v>
      </c>
      <c r="D2" s="6" t="n">
        <v>723291.07</v>
      </c>
      <c r="E2" s="6" t="n">
        <f aca="false">B2+C2-D2</f>
        <v>246421.4</v>
      </c>
      <c r="F2" s="6" t="n">
        <v>635989.06</v>
      </c>
      <c r="G2" s="6" t="n">
        <v>723291.07</v>
      </c>
      <c r="H2" s="6" t="n">
        <f aca="false">B2+F2-G2</f>
        <v>246421.4</v>
      </c>
      <c r="I2" s="6" t="n">
        <f aca="false">H2-E2</f>
        <v>0</v>
      </c>
      <c r="J2" s="6" t="n">
        <f aca="false">ROUND((F2-G2)-(C2-D2),2)</f>
        <v>0</v>
      </c>
      <c r="K2" s="7" t="str">
        <f aca="false">IF(ABS(J2)&lt;0.005,"Conciliado","DIVERGENTE")</f>
        <v>Conciliado</v>
      </c>
    </row>
    <row r="3" customFormat="false" ht="15" hidden="false" customHeight="false" outlineLevel="0" collapsed="false">
      <c r="A3" s="5" t="s">
        <v>33</v>
      </c>
      <c r="B3" s="6" t="n">
        <f aca="false">E2</f>
        <v>246421.4</v>
      </c>
      <c r="C3" s="6" t="n">
        <v>1052108.38</v>
      </c>
      <c r="D3" s="6" t="n">
        <v>1011807.43</v>
      </c>
      <c r="E3" s="6" t="n">
        <f aca="false">B3+C3-D3</f>
        <v>286722.35</v>
      </c>
      <c r="F3" s="6" t="n">
        <v>1052108.38</v>
      </c>
      <c r="G3" s="6" t="n">
        <v>1011807.43</v>
      </c>
      <c r="H3" s="6" t="n">
        <f aca="false">H2+F3-G3</f>
        <v>286722.35</v>
      </c>
      <c r="I3" s="6" t="n">
        <f aca="false">H3-E3</f>
        <v>0</v>
      </c>
      <c r="J3" s="6" t="n">
        <f aca="false">ROUND((F3-G3)-(C3-D3),2)</f>
        <v>0</v>
      </c>
      <c r="K3" s="7" t="str">
        <f aca="false">IF(ABS(J3)&lt;0.005,"Conciliado","DIVERGENTE")</f>
        <v>Conciliado</v>
      </c>
    </row>
    <row r="4" customFormat="false" ht="15" hidden="false" customHeight="false" outlineLevel="0" collapsed="false">
      <c r="A4" s="5" t="s">
        <v>34</v>
      </c>
      <c r="B4" s="6" t="n">
        <f aca="false">E3</f>
        <v>286722.35</v>
      </c>
      <c r="C4" s="6" t="n">
        <v>597279.45</v>
      </c>
      <c r="D4" s="6" t="n">
        <v>117021</v>
      </c>
      <c r="E4" s="6" t="n">
        <f aca="false">B4+C4-D4</f>
        <v>766980.8</v>
      </c>
      <c r="F4" s="6" t="n">
        <v>597279.45</v>
      </c>
      <c r="G4" s="6" t="n">
        <v>117021</v>
      </c>
      <c r="H4" s="6" t="n">
        <f aca="false">H3+F4-G4</f>
        <v>766980.8</v>
      </c>
      <c r="I4" s="6" t="n">
        <f aca="false">H4-E4</f>
        <v>0</v>
      </c>
      <c r="J4" s="6" t="n">
        <f aca="false">ROUND((F4-G4)-(C4-D4),2)</f>
        <v>0</v>
      </c>
      <c r="K4" s="7" t="str">
        <f aca="false">IF(ABS(J4)&lt;0.005,"Conciliado","DIVERGENTE")</f>
        <v>Conciliado</v>
      </c>
    </row>
    <row r="5" customFormat="false" ht="15" hidden="false" customHeight="false" outlineLevel="0" collapsed="false">
      <c r="A5" s="5" t="s">
        <v>35</v>
      </c>
      <c r="B5" s="6" t="n">
        <f aca="false">E4</f>
        <v>766980.8</v>
      </c>
      <c r="C5" s="6" t="n">
        <v>381984.92</v>
      </c>
      <c r="D5" s="6" t="n">
        <v>860311.28</v>
      </c>
      <c r="E5" s="6" t="n">
        <f aca="false">B5+C5-D5</f>
        <v>288654.44</v>
      </c>
      <c r="F5" s="6" t="n">
        <v>381984.92</v>
      </c>
      <c r="G5" s="6" t="n">
        <v>860311.28</v>
      </c>
      <c r="H5" s="6" t="n">
        <f aca="false">H4+F5-G5</f>
        <v>288654.44</v>
      </c>
      <c r="I5" s="6" t="n">
        <f aca="false">H5-E5</f>
        <v>0</v>
      </c>
      <c r="J5" s="6" t="n">
        <f aca="false">ROUND((F5-G5)-(C5-D5),2)</f>
        <v>0</v>
      </c>
      <c r="K5" s="7" t="str">
        <f aca="false">IF(ABS(J5)&lt;0.005,"Conciliado","DIVERGENTE")</f>
        <v>Conciliado</v>
      </c>
    </row>
    <row r="6" customFormat="false" ht="15" hidden="false" customHeight="false" outlineLevel="0" collapsed="false">
      <c r="A6" s="5" t="s">
        <v>36</v>
      </c>
      <c r="B6" s="6" t="n">
        <f aca="false">E5</f>
        <v>288654.44</v>
      </c>
      <c r="C6" s="6" t="n">
        <v>469742.55</v>
      </c>
      <c r="D6" s="6" t="n">
        <v>104007.46</v>
      </c>
      <c r="E6" s="6" t="n">
        <f aca="false">B6+C6-D6</f>
        <v>654389.53</v>
      </c>
      <c r="F6" s="6" t="n">
        <v>469742.55</v>
      </c>
      <c r="G6" s="6" t="n">
        <v>104007.46</v>
      </c>
      <c r="H6" s="6" t="n">
        <f aca="false">H5+F6-G6</f>
        <v>654389.53</v>
      </c>
      <c r="I6" s="6" t="n">
        <f aca="false">H6-E6</f>
        <v>0</v>
      </c>
      <c r="J6" s="6" t="n">
        <f aca="false">ROUND((F6-G6)-(C6-D6),2)</f>
        <v>0</v>
      </c>
      <c r="K6" s="7" t="str">
        <f aca="false">IF(ABS(J6)&lt;0.005,"Conciliado","DIVERGENTE")</f>
        <v>Conciliado</v>
      </c>
    </row>
    <row r="7" customFormat="false" ht="15" hidden="false" customHeight="false" outlineLevel="0" collapsed="false">
      <c r="A7" s="5" t="s">
        <v>37</v>
      </c>
      <c r="B7" s="6" t="n">
        <f aca="false">E6</f>
        <v>654389.53</v>
      </c>
      <c r="C7" s="6" t="n">
        <v>771931.79</v>
      </c>
      <c r="D7" s="6" t="n">
        <v>134544.88</v>
      </c>
      <c r="E7" s="6" t="n">
        <f aca="false">B7+C7-D7</f>
        <v>1291776.44</v>
      </c>
      <c r="F7" s="6" t="n">
        <v>772431.79</v>
      </c>
      <c r="G7" s="6" t="n">
        <v>134544.88</v>
      </c>
      <c r="H7" s="6" t="n">
        <f aca="false">H6+F7-G7</f>
        <v>1292276.44</v>
      </c>
      <c r="I7" s="6" t="n">
        <f aca="false">H7-E7</f>
        <v>500</v>
      </c>
      <c r="J7" s="6" t="n">
        <f aca="false">ROUND((F7-G7)-(C7-D7),2)</f>
        <v>500</v>
      </c>
      <c r="K7" s="7" t="str">
        <f aca="false">IF(ABS(J7)&lt;0.005,"Conciliado","DIVERGENTE")</f>
        <v>DIVERGENTE</v>
      </c>
    </row>
    <row r="8" customFormat="false" ht="15" hidden="false" customHeight="false" outlineLevel="0" collapsed="false">
      <c r="A8" s="5" t="s">
        <v>38</v>
      </c>
      <c r="B8" s="6" t="n">
        <f aca="false">E7</f>
        <v>1291776.44</v>
      </c>
      <c r="C8" s="6" t="n">
        <v>720405.2</v>
      </c>
      <c r="D8" s="6" t="n">
        <v>1397456.61</v>
      </c>
      <c r="E8" s="6" t="n">
        <f aca="false">B8+C8-D8</f>
        <v>614725.03</v>
      </c>
      <c r="F8" s="6" t="n">
        <v>1670405.2</v>
      </c>
      <c r="G8" s="6" t="n">
        <v>1397456.61</v>
      </c>
      <c r="H8" s="6" t="n">
        <f aca="false">H7+F8-G8</f>
        <v>1565225.03</v>
      </c>
      <c r="I8" s="6" t="n">
        <f aca="false">H8-E8</f>
        <v>950500</v>
      </c>
      <c r="J8" s="6" t="n">
        <f aca="false">ROUND((F8-G8)-(C8-D8),2)</f>
        <v>950000</v>
      </c>
      <c r="K8" s="7" t="str">
        <f aca="false">IF(ABS(J8)&lt;0.005,"Conciliado","DIVERGENTE")</f>
        <v>DIVERGENTE</v>
      </c>
    </row>
    <row r="9" customFormat="false" ht="15" hidden="false" customHeight="false" outlineLevel="0" collapsed="false">
      <c r="A9" s="5" t="s">
        <v>39</v>
      </c>
      <c r="B9" s="6" t="n">
        <f aca="false">E8</f>
        <v>614725.03</v>
      </c>
      <c r="C9" s="6" t="n">
        <v>728697.63</v>
      </c>
      <c r="D9" s="6" t="n">
        <v>570257.22</v>
      </c>
      <c r="E9" s="6" t="n">
        <f aca="false">B9+C9-D9</f>
        <v>773165.44</v>
      </c>
      <c r="F9" s="6" t="n">
        <v>1128697.63</v>
      </c>
      <c r="G9" s="6" t="n">
        <v>570257.22</v>
      </c>
      <c r="H9" s="6" t="n">
        <f aca="false">H8+F9-G9</f>
        <v>2123665.44</v>
      </c>
      <c r="I9" s="6" t="n">
        <f aca="false">H9-E9</f>
        <v>1350500</v>
      </c>
      <c r="J9" s="6" t="n">
        <f aca="false">ROUND((F9-G9)-(C9-D9),2)</f>
        <v>400000</v>
      </c>
      <c r="K9" s="7" t="str">
        <f aca="false">IF(ABS(J9)&lt;0.005,"Conciliado","DIVERGENTE")</f>
        <v>DIVERGENTE</v>
      </c>
    </row>
    <row r="10" customFormat="false" ht="15" hidden="false" customHeight="false" outlineLevel="0" collapsed="false">
      <c r="A10" s="5" t="s">
        <v>40</v>
      </c>
      <c r="B10" s="6" t="n">
        <f aca="false">E9</f>
        <v>773165.44</v>
      </c>
      <c r="C10" s="6" t="n">
        <v>885385.09</v>
      </c>
      <c r="D10" s="6" t="n">
        <v>1406979.52</v>
      </c>
      <c r="E10" s="6" t="n">
        <f aca="false">B10+C10-D10</f>
        <v>251571.01</v>
      </c>
      <c r="F10" s="6" t="n">
        <v>885385.09</v>
      </c>
      <c r="G10" s="6" t="n">
        <v>1406979.52</v>
      </c>
      <c r="H10" s="6" t="n">
        <f aca="false">H9+F10-G10</f>
        <v>1602071.01</v>
      </c>
      <c r="I10" s="6" t="n">
        <f aca="false">H10-E10</f>
        <v>1350500</v>
      </c>
      <c r="J10" s="6" t="n">
        <f aca="false">ROUND((F10-G10)-(C10-D10),2)</f>
        <v>0</v>
      </c>
      <c r="K10" s="7" t="str">
        <f aca="false">IF(ABS(J10)&lt;0.005,"Conciliado","DIVERGENTE")</f>
        <v>Conciliado</v>
      </c>
    </row>
    <row r="11" customFormat="false" ht="15" hidden="false" customHeight="false" outlineLevel="0" collapsed="false">
      <c r="A11" s="5" t="s">
        <v>41</v>
      </c>
      <c r="B11" s="6" t="n">
        <f aca="false">E10</f>
        <v>251571.01</v>
      </c>
      <c r="C11" s="6" t="n">
        <v>795941.46</v>
      </c>
      <c r="D11" s="6" t="n">
        <v>703054.12</v>
      </c>
      <c r="E11" s="6" t="n">
        <f aca="false">B11+C11-D11</f>
        <v>344458.35</v>
      </c>
      <c r="F11" s="6" t="n">
        <v>795941.46</v>
      </c>
      <c r="G11" s="6" t="n">
        <v>702778.9</v>
      </c>
      <c r="H11" s="6" t="n">
        <f aca="false">H10+F11-G11</f>
        <v>1695233.57</v>
      </c>
      <c r="I11" s="6" t="n">
        <f aca="false">H11-E11</f>
        <v>1350775.22</v>
      </c>
      <c r="J11" s="6" t="n">
        <f aca="false">ROUND((F11-G11)-(C11-D11),2)</f>
        <v>275.22</v>
      </c>
      <c r="K11" s="7" t="str">
        <f aca="false">IF(ABS(J11)&lt;0.005,"Conciliado","DIVERGENTE")</f>
        <v>DIVERGENTE</v>
      </c>
    </row>
    <row r="12" customFormat="false" ht="15" hidden="false" customHeight="false" outlineLevel="0" collapsed="false">
      <c r="A12" s="8" t="s">
        <v>42</v>
      </c>
      <c r="B12" s="9" t="n">
        <v>333723.41</v>
      </c>
      <c r="C12" s="9" t="n">
        <f aca="false">SUM(C2:C11)</f>
        <v>7039465.53</v>
      </c>
      <c r="D12" s="9" t="n">
        <f aca="false">SUM(D2:D11)</f>
        <v>7028730.59</v>
      </c>
      <c r="E12" s="9" t="n">
        <f aca="false">E11</f>
        <v>344458.35</v>
      </c>
      <c r="F12" s="9" t="n">
        <f aca="false">SUM(F2:F11)</f>
        <v>8389965.53</v>
      </c>
      <c r="G12" s="9" t="n">
        <f aca="false">SUM(G2:G11)</f>
        <v>7028455.37</v>
      </c>
      <c r="H12" s="9" t="n">
        <f aca="false">H11</f>
        <v>1695233.57</v>
      </c>
      <c r="I12" s="9" t="n">
        <f aca="false">H12-E12</f>
        <v>1350775.22</v>
      </c>
      <c r="J12" s="9" t="n">
        <f aca="false">SUM(J2:J11)</f>
        <v>1350775.22</v>
      </c>
      <c r="K12" s="8" t="str">
        <f aca="false">IF(ABS(J12)&lt;0.005,"Conciliado","DIVERGENTE")</f>
        <v>DIVERGENTE</v>
      </c>
    </row>
  </sheetData>
  <conditionalFormatting sqref="K2:K12">
    <cfRule type="cellIs" priority="2" operator="equal" aboveAverage="0" equalAverage="0" bottom="0" percent="0" rank="0" text="" dxfId="0">
      <formula>"DIVERGENTE"</formula>
    </cfRule>
    <cfRule type="cellIs" priority="3" operator="equal" aboveAverage="0" equalAverage="0" bottom="0" percent="0" rank="0" text="" dxfId="1">
      <formula>"Conciliado"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6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39.75" hidden="false" customHeight="true" outlineLevel="0" collapsed="false">
      <c r="A1" s="4" t="s">
        <v>43</v>
      </c>
      <c r="B1" s="4" t="s">
        <v>21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</row>
    <row r="2" customFormat="false" ht="41.75" hidden="false" customHeight="false" outlineLevel="0" collapsed="false">
      <c r="A2" s="10" t="n">
        <v>1</v>
      </c>
      <c r="B2" s="10" t="s">
        <v>52</v>
      </c>
      <c r="C2" s="11" t="n">
        <v>46195</v>
      </c>
      <c r="D2" s="12" t="s">
        <v>53</v>
      </c>
      <c r="E2" s="10" t="n">
        <v>151851</v>
      </c>
      <c r="F2" s="10" t="s">
        <v>54</v>
      </c>
      <c r="G2" s="13" t="n">
        <v>500</v>
      </c>
      <c r="H2" s="14" t="n">
        <f aca="false">G2</f>
        <v>500</v>
      </c>
      <c r="I2" s="10" t="s">
        <v>55</v>
      </c>
      <c r="J2" s="10" t="s">
        <v>56</v>
      </c>
    </row>
    <row r="3" customFormat="false" ht="41.75" hidden="false" customHeight="false" outlineLevel="0" collapsed="false">
      <c r="A3" s="10" t="n">
        <v>2</v>
      </c>
      <c r="B3" s="10" t="s">
        <v>57</v>
      </c>
      <c r="C3" s="11" t="n">
        <v>46213</v>
      </c>
      <c r="D3" s="12" t="s">
        <v>53</v>
      </c>
      <c r="E3" s="10" t="n">
        <v>151852</v>
      </c>
      <c r="F3" s="10" t="s">
        <v>54</v>
      </c>
      <c r="G3" s="13" t="n">
        <v>400000</v>
      </c>
      <c r="H3" s="14" t="n">
        <f aca="false">G3</f>
        <v>400000</v>
      </c>
      <c r="I3" s="10" t="s">
        <v>55</v>
      </c>
      <c r="J3" s="10" t="s">
        <v>56</v>
      </c>
    </row>
    <row r="4" customFormat="false" ht="41.75" hidden="false" customHeight="false" outlineLevel="0" collapsed="false">
      <c r="A4" s="10" t="n">
        <v>3</v>
      </c>
      <c r="B4" s="10" t="s">
        <v>57</v>
      </c>
      <c r="C4" s="11" t="n">
        <v>46213</v>
      </c>
      <c r="D4" s="12" t="s">
        <v>53</v>
      </c>
      <c r="E4" s="10" t="n">
        <v>151853</v>
      </c>
      <c r="F4" s="10" t="s">
        <v>54</v>
      </c>
      <c r="G4" s="13" t="n">
        <v>150000</v>
      </c>
      <c r="H4" s="14" t="n">
        <f aca="false">G4</f>
        <v>150000</v>
      </c>
      <c r="I4" s="10" t="s">
        <v>55</v>
      </c>
      <c r="J4" s="10" t="s">
        <v>56</v>
      </c>
    </row>
    <row r="5" customFormat="false" ht="41.75" hidden="false" customHeight="false" outlineLevel="0" collapsed="false">
      <c r="A5" s="10" t="n">
        <v>4</v>
      </c>
      <c r="B5" s="10" t="s">
        <v>57</v>
      </c>
      <c r="C5" s="11" t="n">
        <v>46220</v>
      </c>
      <c r="D5" s="12" t="s">
        <v>53</v>
      </c>
      <c r="E5" s="10" t="n">
        <v>151854</v>
      </c>
      <c r="F5" s="10" t="s">
        <v>54</v>
      </c>
      <c r="G5" s="13" t="n">
        <v>400000</v>
      </c>
      <c r="H5" s="14" t="n">
        <f aca="false">G5</f>
        <v>400000</v>
      </c>
      <c r="I5" s="10" t="s">
        <v>55</v>
      </c>
      <c r="J5" s="10" t="s">
        <v>56</v>
      </c>
    </row>
    <row r="6" customFormat="false" ht="41.75" hidden="false" customHeight="false" outlineLevel="0" collapsed="false">
      <c r="A6" s="10" t="n">
        <v>5</v>
      </c>
      <c r="B6" s="10" t="s">
        <v>58</v>
      </c>
      <c r="C6" s="11" t="n">
        <v>46251</v>
      </c>
      <c r="D6" s="12" t="s">
        <v>53</v>
      </c>
      <c r="E6" s="10" t="n">
        <v>151850</v>
      </c>
      <c r="F6" s="10" t="s">
        <v>54</v>
      </c>
      <c r="G6" s="13" t="n">
        <v>400000</v>
      </c>
      <c r="H6" s="14" t="n">
        <f aca="false">G6</f>
        <v>400000</v>
      </c>
      <c r="I6" s="10" t="s">
        <v>55</v>
      </c>
      <c r="J6" s="10" t="s">
        <v>56</v>
      </c>
    </row>
    <row r="7" customFormat="false" ht="28.35" hidden="false" customHeight="false" outlineLevel="0" collapsed="false">
      <c r="A7" s="10" t="n">
        <v>6</v>
      </c>
      <c r="B7" s="10" t="s">
        <v>59</v>
      </c>
      <c r="C7" s="11" t="n">
        <v>46302</v>
      </c>
      <c r="D7" s="15" t="s">
        <v>60</v>
      </c>
      <c r="E7" s="10" t="s">
        <v>61</v>
      </c>
      <c r="F7" s="10" t="s">
        <v>62</v>
      </c>
      <c r="G7" s="13" t="n">
        <v>9.9</v>
      </c>
      <c r="H7" s="14" t="n">
        <f aca="false">G7</f>
        <v>9.9</v>
      </c>
      <c r="I7" s="10" t="s">
        <v>63</v>
      </c>
      <c r="J7" s="10" t="s">
        <v>64</v>
      </c>
    </row>
    <row r="8" customFormat="false" ht="28.35" hidden="false" customHeight="false" outlineLevel="0" collapsed="false">
      <c r="A8" s="10" t="n">
        <v>7</v>
      </c>
      <c r="B8" s="10" t="s">
        <v>59</v>
      </c>
      <c r="C8" s="11" t="n">
        <v>46303</v>
      </c>
      <c r="D8" s="15" t="s">
        <v>60</v>
      </c>
      <c r="E8" s="10" t="s">
        <v>61</v>
      </c>
      <c r="F8" s="10" t="s">
        <v>65</v>
      </c>
      <c r="G8" s="13" t="n">
        <v>25.74</v>
      </c>
      <c r="H8" s="14" t="n">
        <f aca="false">G8</f>
        <v>25.74</v>
      </c>
      <c r="I8" s="10" t="s">
        <v>63</v>
      </c>
      <c r="J8" s="10" t="s">
        <v>64</v>
      </c>
    </row>
    <row r="9" customFormat="false" ht="28.35" hidden="false" customHeight="false" outlineLevel="0" collapsed="false">
      <c r="A9" s="10" t="n">
        <v>8</v>
      </c>
      <c r="B9" s="10" t="s">
        <v>59</v>
      </c>
      <c r="C9" s="11" t="n">
        <v>46303</v>
      </c>
      <c r="D9" s="15" t="s">
        <v>60</v>
      </c>
      <c r="E9" s="10" t="s">
        <v>61</v>
      </c>
      <c r="F9" s="10" t="s">
        <v>66</v>
      </c>
      <c r="G9" s="13" t="n">
        <v>3.96</v>
      </c>
      <c r="H9" s="14" t="n">
        <f aca="false">G9</f>
        <v>3.96</v>
      </c>
      <c r="I9" s="10" t="s">
        <v>63</v>
      </c>
      <c r="J9" s="10" t="s">
        <v>64</v>
      </c>
    </row>
    <row r="10" customFormat="false" ht="28.35" hidden="false" customHeight="false" outlineLevel="0" collapsed="false">
      <c r="A10" s="10" t="n">
        <v>9</v>
      </c>
      <c r="B10" s="10" t="s">
        <v>59</v>
      </c>
      <c r="C10" s="11" t="n">
        <v>46308</v>
      </c>
      <c r="D10" s="15" t="s">
        <v>60</v>
      </c>
      <c r="E10" s="10" t="s">
        <v>61</v>
      </c>
      <c r="F10" s="10" t="s">
        <v>67</v>
      </c>
      <c r="G10" s="13" t="n">
        <v>7.92</v>
      </c>
      <c r="H10" s="14" t="n">
        <f aca="false">G10</f>
        <v>7.92</v>
      </c>
      <c r="I10" s="10" t="s">
        <v>63</v>
      </c>
      <c r="J10" s="10" t="s">
        <v>64</v>
      </c>
    </row>
    <row r="11" customFormat="false" ht="28.35" hidden="false" customHeight="false" outlineLevel="0" collapsed="false">
      <c r="A11" s="10" t="n">
        <v>10</v>
      </c>
      <c r="B11" s="10" t="s">
        <v>59</v>
      </c>
      <c r="C11" s="11" t="n">
        <v>46308</v>
      </c>
      <c r="D11" s="15" t="s">
        <v>60</v>
      </c>
      <c r="E11" s="10" t="s">
        <v>61</v>
      </c>
      <c r="F11" s="10" t="s">
        <v>68</v>
      </c>
      <c r="G11" s="13" t="n">
        <v>100.98</v>
      </c>
      <c r="H11" s="14" t="n">
        <f aca="false">G11</f>
        <v>100.98</v>
      </c>
      <c r="I11" s="10" t="s">
        <v>63</v>
      </c>
      <c r="J11" s="10" t="s">
        <v>64</v>
      </c>
    </row>
    <row r="12" customFormat="false" ht="28.35" hidden="false" customHeight="false" outlineLevel="0" collapsed="false">
      <c r="A12" s="10" t="n">
        <v>11</v>
      </c>
      <c r="B12" s="10" t="s">
        <v>59</v>
      </c>
      <c r="C12" s="11" t="n">
        <v>46308</v>
      </c>
      <c r="D12" s="15" t="s">
        <v>60</v>
      </c>
      <c r="E12" s="10" t="s">
        <v>61</v>
      </c>
      <c r="F12" s="10" t="s">
        <v>69</v>
      </c>
      <c r="G12" s="13" t="n">
        <v>3.96</v>
      </c>
      <c r="H12" s="14" t="n">
        <f aca="false">G12</f>
        <v>3.96</v>
      </c>
      <c r="I12" s="10" t="s">
        <v>63</v>
      </c>
      <c r="J12" s="10" t="s">
        <v>64</v>
      </c>
    </row>
    <row r="13" customFormat="false" ht="28.35" hidden="false" customHeight="false" outlineLevel="0" collapsed="false">
      <c r="A13" s="10" t="n">
        <v>12</v>
      </c>
      <c r="B13" s="10" t="s">
        <v>59</v>
      </c>
      <c r="C13" s="11" t="n">
        <v>46309</v>
      </c>
      <c r="D13" s="15" t="s">
        <v>60</v>
      </c>
      <c r="E13" s="10" t="s">
        <v>61</v>
      </c>
      <c r="F13" s="10" t="s">
        <v>70</v>
      </c>
      <c r="G13" s="13" t="n">
        <v>19.8</v>
      </c>
      <c r="H13" s="14" t="n">
        <f aca="false">G13</f>
        <v>19.8</v>
      </c>
      <c r="I13" s="10" t="s">
        <v>63</v>
      </c>
      <c r="J13" s="10" t="s">
        <v>64</v>
      </c>
    </row>
    <row r="14" customFormat="false" ht="28.35" hidden="false" customHeight="false" outlineLevel="0" collapsed="false">
      <c r="A14" s="10" t="n">
        <v>13</v>
      </c>
      <c r="B14" s="10" t="s">
        <v>59</v>
      </c>
      <c r="C14" s="11" t="n">
        <v>46310</v>
      </c>
      <c r="D14" s="15" t="s">
        <v>60</v>
      </c>
      <c r="E14" s="10" t="s">
        <v>61</v>
      </c>
      <c r="F14" s="10" t="s">
        <v>67</v>
      </c>
      <c r="G14" s="13" t="n">
        <v>7.92</v>
      </c>
      <c r="H14" s="14" t="n">
        <f aca="false">G14</f>
        <v>7.92</v>
      </c>
      <c r="I14" s="10" t="s">
        <v>63</v>
      </c>
      <c r="J14" s="10" t="s">
        <v>64</v>
      </c>
    </row>
    <row r="15" customFormat="false" ht="28.35" hidden="false" customHeight="false" outlineLevel="0" collapsed="false">
      <c r="A15" s="10" t="n">
        <v>14</v>
      </c>
      <c r="B15" s="10" t="s">
        <v>59</v>
      </c>
      <c r="C15" s="11" t="n">
        <v>46311</v>
      </c>
      <c r="D15" s="15" t="s">
        <v>60</v>
      </c>
      <c r="E15" s="10" t="s">
        <v>61</v>
      </c>
      <c r="F15" s="10" t="s">
        <v>71</v>
      </c>
      <c r="G15" s="13" t="n">
        <v>5.94</v>
      </c>
      <c r="H15" s="14" t="n">
        <f aca="false">G15</f>
        <v>5.94</v>
      </c>
      <c r="I15" s="10" t="s">
        <v>63</v>
      </c>
      <c r="J15" s="10" t="s">
        <v>64</v>
      </c>
    </row>
    <row r="16" customFormat="false" ht="28.35" hidden="false" customHeight="false" outlineLevel="0" collapsed="false">
      <c r="A16" s="10" t="n">
        <v>15</v>
      </c>
      <c r="B16" s="10" t="s">
        <v>59</v>
      </c>
      <c r="C16" s="11" t="n">
        <v>46311</v>
      </c>
      <c r="D16" s="15" t="s">
        <v>60</v>
      </c>
      <c r="E16" s="10" t="s">
        <v>61</v>
      </c>
      <c r="F16" s="10" t="s">
        <v>72</v>
      </c>
      <c r="G16" s="13" t="n">
        <v>1.98</v>
      </c>
      <c r="H16" s="14" t="n">
        <f aca="false">G16</f>
        <v>1.98</v>
      </c>
      <c r="I16" s="10" t="s">
        <v>63</v>
      </c>
      <c r="J16" s="10" t="s">
        <v>64</v>
      </c>
    </row>
    <row r="17" customFormat="false" ht="28.35" hidden="false" customHeight="false" outlineLevel="0" collapsed="false">
      <c r="A17" s="10" t="n">
        <v>16</v>
      </c>
      <c r="B17" s="10" t="s">
        <v>59</v>
      </c>
      <c r="C17" s="11" t="n">
        <v>46311</v>
      </c>
      <c r="D17" s="15" t="s">
        <v>60</v>
      </c>
      <c r="E17" s="10" t="s">
        <v>61</v>
      </c>
      <c r="F17" s="10" t="s">
        <v>73</v>
      </c>
      <c r="G17" s="13" t="n">
        <v>45.54</v>
      </c>
      <c r="H17" s="14" t="n">
        <f aca="false">G17</f>
        <v>45.54</v>
      </c>
      <c r="I17" s="10" t="s">
        <v>63</v>
      </c>
      <c r="J17" s="10" t="s">
        <v>64</v>
      </c>
    </row>
    <row r="18" customFormat="false" ht="28.35" hidden="false" customHeight="false" outlineLevel="0" collapsed="false">
      <c r="A18" s="10" t="n">
        <v>17</v>
      </c>
      <c r="B18" s="10" t="s">
        <v>59</v>
      </c>
      <c r="C18" s="11" t="n">
        <v>46311</v>
      </c>
      <c r="D18" s="15" t="s">
        <v>60</v>
      </c>
      <c r="E18" s="10" t="s">
        <v>61</v>
      </c>
      <c r="F18" s="10" t="s">
        <v>67</v>
      </c>
      <c r="G18" s="13" t="n">
        <v>7.92</v>
      </c>
      <c r="H18" s="14" t="n">
        <f aca="false">G18</f>
        <v>7.92</v>
      </c>
      <c r="I18" s="10" t="s">
        <v>63</v>
      </c>
      <c r="J18" s="10" t="s">
        <v>64</v>
      </c>
    </row>
    <row r="19" customFormat="false" ht="28.35" hidden="false" customHeight="false" outlineLevel="0" collapsed="false">
      <c r="A19" s="10" t="n">
        <v>18</v>
      </c>
      <c r="B19" s="10" t="s">
        <v>59</v>
      </c>
      <c r="C19" s="11" t="n">
        <v>46314</v>
      </c>
      <c r="D19" s="15" t="s">
        <v>60</v>
      </c>
      <c r="E19" s="10" t="s">
        <v>61</v>
      </c>
      <c r="F19" s="10" t="s">
        <v>67</v>
      </c>
      <c r="G19" s="13" t="n">
        <v>7.92</v>
      </c>
      <c r="H19" s="14" t="n">
        <f aca="false">G19</f>
        <v>7.92</v>
      </c>
      <c r="I19" s="10" t="s">
        <v>63</v>
      </c>
      <c r="J19" s="10" t="s">
        <v>64</v>
      </c>
    </row>
    <row r="20" customFormat="false" ht="28.35" hidden="false" customHeight="false" outlineLevel="0" collapsed="false">
      <c r="A20" s="10" t="n">
        <v>19</v>
      </c>
      <c r="B20" s="10" t="s">
        <v>59</v>
      </c>
      <c r="C20" s="11" t="n">
        <v>46315</v>
      </c>
      <c r="D20" s="15" t="s">
        <v>60</v>
      </c>
      <c r="E20" s="10" t="s">
        <v>61</v>
      </c>
      <c r="F20" s="10" t="s">
        <v>72</v>
      </c>
      <c r="G20" s="13" t="n">
        <v>1.98</v>
      </c>
      <c r="H20" s="14" t="n">
        <f aca="false">G20</f>
        <v>1.98</v>
      </c>
      <c r="I20" s="10" t="s">
        <v>63</v>
      </c>
      <c r="J20" s="10" t="s">
        <v>64</v>
      </c>
    </row>
    <row r="21" customFormat="false" ht="28.35" hidden="false" customHeight="false" outlineLevel="0" collapsed="false">
      <c r="A21" s="10" t="n">
        <v>20</v>
      </c>
      <c r="B21" s="10" t="s">
        <v>59</v>
      </c>
      <c r="C21" s="11" t="n">
        <v>46315</v>
      </c>
      <c r="D21" s="15" t="s">
        <v>60</v>
      </c>
      <c r="E21" s="10" t="s">
        <v>61</v>
      </c>
      <c r="F21" s="10" t="s">
        <v>72</v>
      </c>
      <c r="G21" s="13" t="n">
        <v>1.98</v>
      </c>
      <c r="H21" s="14" t="n">
        <f aca="false">G21</f>
        <v>1.98</v>
      </c>
      <c r="I21" s="10" t="s">
        <v>63</v>
      </c>
      <c r="J21" s="10" t="s">
        <v>64</v>
      </c>
    </row>
    <row r="22" customFormat="false" ht="28.35" hidden="false" customHeight="false" outlineLevel="0" collapsed="false">
      <c r="A22" s="10" t="n">
        <v>21</v>
      </c>
      <c r="B22" s="10" t="s">
        <v>59</v>
      </c>
      <c r="C22" s="11" t="n">
        <v>46315</v>
      </c>
      <c r="D22" s="15" t="s">
        <v>60</v>
      </c>
      <c r="E22" s="10" t="s">
        <v>61</v>
      </c>
      <c r="F22" s="10" t="s">
        <v>74</v>
      </c>
      <c r="G22" s="13" t="n">
        <v>7.92</v>
      </c>
      <c r="H22" s="14" t="n">
        <f aca="false">G22</f>
        <v>7.92</v>
      </c>
      <c r="I22" s="10" t="s">
        <v>63</v>
      </c>
      <c r="J22" s="10" t="s">
        <v>64</v>
      </c>
    </row>
    <row r="23" customFormat="false" ht="28.35" hidden="false" customHeight="false" outlineLevel="0" collapsed="false">
      <c r="A23" s="10" t="n">
        <v>22</v>
      </c>
      <c r="B23" s="10" t="s">
        <v>59</v>
      </c>
      <c r="C23" s="11" t="n">
        <v>46315</v>
      </c>
      <c r="D23" s="15" t="s">
        <v>60</v>
      </c>
      <c r="E23" s="10" t="s">
        <v>61</v>
      </c>
      <c r="F23" s="10" t="s">
        <v>75</v>
      </c>
      <c r="G23" s="13" t="n">
        <v>1.98</v>
      </c>
      <c r="H23" s="14" t="n">
        <f aca="false">G23</f>
        <v>1.98</v>
      </c>
      <c r="I23" s="10" t="s">
        <v>63</v>
      </c>
      <c r="J23" s="10" t="s">
        <v>64</v>
      </c>
    </row>
    <row r="24" customFormat="false" ht="28.35" hidden="false" customHeight="false" outlineLevel="0" collapsed="false">
      <c r="A24" s="10" t="n">
        <v>23</v>
      </c>
      <c r="B24" s="10" t="s">
        <v>59</v>
      </c>
      <c r="C24" s="11" t="n">
        <v>46315</v>
      </c>
      <c r="D24" s="15" t="s">
        <v>60</v>
      </c>
      <c r="E24" s="10" t="s">
        <v>61</v>
      </c>
      <c r="F24" s="10" t="s">
        <v>76</v>
      </c>
      <c r="G24" s="13" t="n">
        <v>11.88</v>
      </c>
      <c r="H24" s="14" t="n">
        <f aca="false">G24</f>
        <v>11.88</v>
      </c>
      <c r="I24" s="10" t="s">
        <v>63</v>
      </c>
      <c r="J24" s="10" t="s">
        <v>64</v>
      </c>
    </row>
    <row r="25" customFormat="false" ht="15" hidden="false" customHeight="false" outlineLevel="0" collapsed="false">
      <c r="A25" s="16"/>
      <c r="B25" s="16"/>
      <c r="C25" s="17"/>
      <c r="D25" s="16"/>
      <c r="E25" s="16"/>
      <c r="F25" s="16" t="s">
        <v>77</v>
      </c>
      <c r="G25" s="18"/>
      <c r="H25" s="19" t="n">
        <f aca="false">SUM(H2:H24)</f>
        <v>1350775.22</v>
      </c>
      <c r="I25" s="16"/>
      <c r="J25" s="16"/>
    </row>
    <row r="26" customFormat="false" ht="15" hidden="false" customHeight="false" outlineLevel="0" collapsed="false">
      <c r="A26" s="16"/>
      <c r="B26" s="16"/>
      <c r="C26" s="17"/>
      <c r="D26" s="16"/>
      <c r="E26" s="16"/>
      <c r="F26" s="16" t="s">
        <v>78</v>
      </c>
      <c r="G26" s="18"/>
      <c r="H26" s="19" t="n">
        <f aca="false">'Resumo mensal'!I12</f>
        <v>1350775.22</v>
      </c>
      <c r="I26" s="16"/>
      <c r="J26" s="16"/>
    </row>
    <row r="27" customFormat="false" ht="15" hidden="false" customHeight="false" outlineLevel="0" collapsed="false">
      <c r="A27" s="16"/>
      <c r="B27" s="16"/>
      <c r="C27" s="17"/>
      <c r="D27" s="16"/>
      <c r="E27" s="16"/>
      <c r="F27" s="16" t="s">
        <v>79</v>
      </c>
      <c r="G27" s="18"/>
      <c r="H27" s="19" t="n">
        <f aca="false">ROUND(H25-H26,2)</f>
        <v>0</v>
      </c>
      <c r="I27" s="16"/>
      <c r="J2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0"/>
  </cols>
  <sheetData>
    <row r="1" customFormat="false" ht="36" hidden="false" customHeight="true" outlineLevel="0" collapsed="false">
      <c r="A1" s="4" t="s">
        <v>44</v>
      </c>
      <c r="B1" s="4" t="s">
        <v>6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</row>
    <row r="2" customFormat="false" ht="15" hidden="false" customHeight="false" outlineLevel="0" collapsed="false">
      <c r="A2" s="11" t="n">
        <v>46035</v>
      </c>
      <c r="B2" s="10" t="n">
        <v>3</v>
      </c>
      <c r="C2" s="10" t="n">
        <v>47</v>
      </c>
      <c r="D2" s="14" t="n">
        <v>250899.7</v>
      </c>
      <c r="E2" s="14" t="n">
        <v>250899.7</v>
      </c>
      <c r="F2" s="14" t="n">
        <f aca="false">E2-D2</f>
        <v>0</v>
      </c>
      <c r="G2" s="10" t="str">
        <f aca="false">IF(ABS(F2)&lt;0.005,"Fecha no dia","Ver aba Diferenças")</f>
        <v>Fecha no dia</v>
      </c>
      <c r="H2" s="10" t="s">
        <v>86</v>
      </c>
    </row>
    <row r="3" customFormat="false" ht="15" hidden="false" customHeight="false" outlineLevel="0" collapsed="false">
      <c r="A3" s="11" t="n">
        <v>46125</v>
      </c>
      <c r="B3" s="10" t="n">
        <v>2</v>
      </c>
      <c r="C3" s="10" t="n">
        <v>40</v>
      </c>
      <c r="D3" s="14" t="n">
        <v>171022.17</v>
      </c>
      <c r="E3" s="14" t="n">
        <v>171022.17</v>
      </c>
      <c r="F3" s="14" t="n">
        <f aca="false">E3-D3</f>
        <v>0</v>
      </c>
      <c r="G3" s="10" t="str">
        <f aca="false">IF(ABS(F3)&lt;0.005,"Fecha no dia","Ver aba Diferenças")</f>
        <v>Fecha no dia</v>
      </c>
      <c r="H3" s="10" t="s">
        <v>87</v>
      </c>
    </row>
    <row r="4" customFormat="false" ht="15" hidden="false" customHeight="false" outlineLevel="0" collapsed="false">
      <c r="A4" s="11" t="n">
        <v>46155</v>
      </c>
      <c r="B4" s="10" t="n">
        <v>2</v>
      </c>
      <c r="C4" s="10" t="n">
        <v>27</v>
      </c>
      <c r="D4" s="14" t="n">
        <v>-40551.8</v>
      </c>
      <c r="E4" s="14" t="n">
        <v>-40551.8</v>
      </c>
      <c r="F4" s="14" t="n">
        <f aca="false">E4-D4</f>
        <v>0</v>
      </c>
      <c r="G4" s="10" t="str">
        <f aca="false">IF(ABS(F4)&lt;0.005,"Fecha no dia","Ver aba Diferenças")</f>
        <v>Fecha no dia</v>
      </c>
      <c r="H4" s="10" t="s">
        <v>88</v>
      </c>
    </row>
    <row r="5" customFormat="false" ht="15" hidden="false" customHeight="false" outlineLevel="0" collapsed="false">
      <c r="A5" s="11" t="n">
        <v>46188</v>
      </c>
      <c r="B5" s="10" t="n">
        <v>2</v>
      </c>
      <c r="C5" s="10" t="n">
        <v>20</v>
      </c>
      <c r="D5" s="14" t="n">
        <v>-12021.28</v>
      </c>
      <c r="E5" s="14" t="n">
        <v>-12021.28</v>
      </c>
      <c r="F5" s="14" t="n">
        <f aca="false">E5-D5</f>
        <v>0</v>
      </c>
      <c r="G5" s="10" t="str">
        <f aca="false">IF(ABS(F5)&lt;0.005,"Fecha no dia","Ver aba Diferenças")</f>
        <v>Fecha no dia</v>
      </c>
      <c r="H5" s="10" t="s">
        <v>89</v>
      </c>
    </row>
    <row r="6" customFormat="false" ht="15" hidden="false" customHeight="false" outlineLevel="0" collapsed="false">
      <c r="A6" s="11" t="n">
        <v>46189</v>
      </c>
      <c r="B6" s="10" t="n">
        <v>2</v>
      </c>
      <c r="C6" s="10" t="n">
        <v>17</v>
      </c>
      <c r="D6" s="14" t="n">
        <v>114062.48</v>
      </c>
      <c r="E6" s="14" t="n">
        <v>114062.48</v>
      </c>
      <c r="F6" s="14" t="n">
        <f aca="false">E6-D6</f>
        <v>0</v>
      </c>
      <c r="G6" s="10" t="str">
        <f aca="false">IF(ABS(F6)&lt;0.005,"Fecha no dia","Ver aba Diferenças")</f>
        <v>Fecha no dia</v>
      </c>
      <c r="H6" s="10" t="s">
        <v>90</v>
      </c>
    </row>
    <row r="7" customFormat="false" ht="15" hidden="false" customHeight="false" outlineLevel="0" collapsed="false">
      <c r="A7" s="11" t="n">
        <v>46216</v>
      </c>
      <c r="B7" s="10" t="n">
        <v>3</v>
      </c>
      <c r="C7" s="10" t="n">
        <v>52</v>
      </c>
      <c r="D7" s="14" t="n">
        <v>255378.27</v>
      </c>
      <c r="E7" s="14" t="n">
        <v>255378.27</v>
      </c>
      <c r="F7" s="14" t="n">
        <f aca="false">E7-D7</f>
        <v>0</v>
      </c>
      <c r="G7" s="10" t="str">
        <f aca="false">IF(ABS(F7)&lt;0.005,"Fecha no dia","Ver aba Diferenças")</f>
        <v>Fecha no dia</v>
      </c>
      <c r="H7" s="10" t="s">
        <v>91</v>
      </c>
    </row>
    <row r="8" customFormat="false" ht="15" hidden="false" customHeight="false" outlineLevel="0" collapsed="false">
      <c r="A8" s="11" t="n">
        <v>46247</v>
      </c>
      <c r="B8" s="10" t="n">
        <v>2</v>
      </c>
      <c r="C8" s="10" t="n">
        <v>21</v>
      </c>
      <c r="D8" s="14" t="n">
        <v>-8247.88</v>
      </c>
      <c r="E8" s="14" t="n">
        <v>-8247.88</v>
      </c>
      <c r="F8" s="14" t="n">
        <f aca="false">E8-D8</f>
        <v>0</v>
      </c>
      <c r="G8" s="10" t="str">
        <f aca="false">IF(ABS(F8)&lt;0.005,"Fecha no dia","Ver aba Diferenças")</f>
        <v>Fecha no dia</v>
      </c>
      <c r="H8" s="10" t="s">
        <v>92</v>
      </c>
    </row>
    <row r="9" customFormat="false" ht="15" hidden="false" customHeight="false" outlineLevel="0" collapsed="false">
      <c r="A9" s="11" t="n">
        <v>46276</v>
      </c>
      <c r="B9" s="10" t="n">
        <v>2</v>
      </c>
      <c r="C9" s="10" t="n">
        <v>35</v>
      </c>
      <c r="D9" s="14" t="n">
        <v>360230.09</v>
      </c>
      <c r="E9" s="14" t="n">
        <v>360230.09</v>
      </c>
      <c r="F9" s="14" t="n">
        <f aca="false">E9-D9</f>
        <v>0</v>
      </c>
      <c r="G9" s="10" t="str">
        <f aca="false">IF(ABS(F9)&lt;0.005,"Fecha no dia","Ver aba Diferenças")</f>
        <v>Fecha no dia</v>
      </c>
      <c r="H9" s="10" t="s">
        <v>93</v>
      </c>
    </row>
    <row r="10" customFormat="false" ht="15" hidden="false" customHeight="false" outlineLevel="0" collapsed="false">
      <c r="A10" s="11" t="n">
        <v>46308</v>
      </c>
      <c r="B10" s="10" t="n">
        <v>2</v>
      </c>
      <c r="C10" s="10" t="n">
        <v>28</v>
      </c>
      <c r="D10" s="14" t="n">
        <v>45315.8</v>
      </c>
      <c r="E10" s="14" t="n">
        <v>45315.8</v>
      </c>
      <c r="F10" s="14" t="n">
        <f aca="false">E10-D10</f>
        <v>0</v>
      </c>
      <c r="G10" s="10" t="str">
        <f aca="false">IF(ABS(F10)&lt;0.005,"Fecha no dia","Ver aba Diferenças")</f>
        <v>Fecha no dia</v>
      </c>
      <c r="H10" s="10" t="s">
        <v>94</v>
      </c>
    </row>
    <row r="11" customFormat="false" ht="15" hidden="false" customHeight="false" outlineLevel="0" collapsed="false">
      <c r="A11" s="11" t="n">
        <v>46309</v>
      </c>
      <c r="B11" s="10" t="n">
        <v>1</v>
      </c>
      <c r="C11" s="10" t="n">
        <v>55</v>
      </c>
      <c r="D11" s="14" t="n">
        <v>437751.22</v>
      </c>
      <c r="E11" s="14" t="n">
        <v>437751.22</v>
      </c>
      <c r="F11" s="14" t="n">
        <f aca="false">E11-D11</f>
        <v>0</v>
      </c>
      <c r="G11" s="10" t="str">
        <f aca="false">IF(ABS(F11)&lt;0.005,"Fecha no dia","Ver aba Diferenças")</f>
        <v>Fecha no dia</v>
      </c>
      <c r="H11" s="1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2026-10-21T20:00:13Z</dcterms:created>
  <dc:creator>openpyxl</dc:creator>
  <dc:description/>
  <dc:language>en-US</dc:language>
  <cp:lastModifiedBy/>
  <dcterms:modified xsi:type="dcterms:W3CDTF">2026-10-21T20:00:13Z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